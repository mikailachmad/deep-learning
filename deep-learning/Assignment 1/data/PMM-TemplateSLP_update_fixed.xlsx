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uliah\Tugas dan Projek\Pembelajaran Mesin Mendalam\repo\slp-iris-classification\data\"/>
    </mc:Choice>
  </mc:AlternateContent>
  <xr:revisionPtr revIDLastSave="0" documentId="13_ncr:1_{36802E0B-48A5-4FAD-987B-6DB6F2E5043A}" xr6:coauthVersionLast="47" xr6:coauthVersionMax="47" xr10:uidLastSave="{00000000-0000-0000-0000-000000000000}"/>
  <bookViews>
    <workbookView xWindow="14295" yWindow="0" windowWidth="14610" windowHeight="15585" tabRatio="500" activeTab="2" xr2:uid="{00000000-000D-0000-FFFF-FFFF00000000}"/>
  </bookViews>
  <sheets>
    <sheet name="Data" sheetId="1" r:id="rId1"/>
    <sheet name="SLP-Training" sheetId="2" r:id="rId2"/>
    <sheet name="SLP-Validati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6" i="3" l="1"/>
  <c r="F106" i="3"/>
  <c r="E106" i="3"/>
  <c r="D106" i="3"/>
  <c r="C106" i="3"/>
  <c r="G105" i="3"/>
  <c r="F105" i="3"/>
  <c r="E105" i="3"/>
  <c r="D105" i="3"/>
  <c r="C105" i="3"/>
  <c r="G104" i="3"/>
  <c r="F104" i="3"/>
  <c r="E104" i="3"/>
  <c r="D104" i="3"/>
  <c r="C104" i="3"/>
  <c r="G103" i="3"/>
  <c r="F103" i="3"/>
  <c r="E103" i="3"/>
  <c r="D103" i="3"/>
  <c r="C103" i="3"/>
  <c r="G102" i="3"/>
  <c r="F102" i="3"/>
  <c r="E102" i="3"/>
  <c r="D102" i="3"/>
  <c r="C102" i="3"/>
  <c r="G101" i="3"/>
  <c r="F101" i="3"/>
  <c r="E101" i="3"/>
  <c r="D101" i="3"/>
  <c r="C101" i="3"/>
  <c r="G100" i="3"/>
  <c r="F100" i="3"/>
  <c r="E100" i="3"/>
  <c r="D100" i="3"/>
  <c r="C100" i="3"/>
  <c r="G99" i="3"/>
  <c r="F99" i="3"/>
  <c r="E99" i="3"/>
  <c r="D99" i="3"/>
  <c r="C99" i="3"/>
  <c r="G98" i="3"/>
  <c r="F98" i="3"/>
  <c r="E98" i="3"/>
  <c r="D98" i="3"/>
  <c r="C98" i="3"/>
  <c r="G97" i="3"/>
  <c r="F97" i="3"/>
  <c r="E97" i="3"/>
  <c r="D97" i="3"/>
  <c r="C97" i="3"/>
  <c r="G96" i="3"/>
  <c r="F96" i="3"/>
  <c r="E96" i="3"/>
  <c r="D96" i="3"/>
  <c r="C96" i="3"/>
  <c r="G95" i="3"/>
  <c r="F95" i="3"/>
  <c r="E95" i="3"/>
  <c r="D95" i="3"/>
  <c r="C95" i="3"/>
  <c r="G94" i="3"/>
  <c r="F94" i="3"/>
  <c r="E94" i="3"/>
  <c r="D94" i="3"/>
  <c r="C94" i="3"/>
  <c r="G93" i="3"/>
  <c r="F93" i="3"/>
  <c r="E93" i="3"/>
  <c r="D93" i="3"/>
  <c r="C93" i="3"/>
  <c r="G92" i="3"/>
  <c r="F92" i="3"/>
  <c r="E92" i="3"/>
  <c r="D92" i="3"/>
  <c r="C92" i="3"/>
  <c r="G91" i="3"/>
  <c r="F91" i="3"/>
  <c r="E91" i="3"/>
  <c r="D91" i="3"/>
  <c r="C91" i="3"/>
  <c r="G90" i="3"/>
  <c r="F90" i="3"/>
  <c r="E90" i="3"/>
  <c r="D90" i="3"/>
  <c r="C90" i="3"/>
  <c r="G89" i="3"/>
  <c r="F89" i="3"/>
  <c r="E89" i="3"/>
  <c r="D89" i="3"/>
  <c r="C89" i="3"/>
  <c r="G88" i="3"/>
  <c r="F88" i="3"/>
  <c r="E88" i="3"/>
  <c r="D88" i="3"/>
  <c r="C88" i="3"/>
  <c r="G87" i="3"/>
  <c r="F87" i="3"/>
  <c r="E87" i="3"/>
  <c r="D87" i="3"/>
  <c r="C87" i="3"/>
  <c r="G86" i="3"/>
  <c r="F86" i="3"/>
  <c r="E86" i="3"/>
  <c r="D86" i="3"/>
  <c r="C86" i="3"/>
  <c r="G85" i="3"/>
  <c r="F85" i="3"/>
  <c r="E85" i="3"/>
  <c r="D85" i="3"/>
  <c r="C85" i="3"/>
  <c r="G84" i="3"/>
  <c r="F84" i="3"/>
  <c r="E84" i="3"/>
  <c r="D84" i="3"/>
  <c r="C84" i="3"/>
  <c r="G83" i="3"/>
  <c r="F83" i="3"/>
  <c r="E83" i="3"/>
  <c r="D83" i="3"/>
  <c r="C83" i="3"/>
  <c r="G82" i="3"/>
  <c r="F82" i="3"/>
  <c r="E82" i="3"/>
  <c r="D82" i="3"/>
  <c r="C82" i="3"/>
  <c r="G81" i="3"/>
  <c r="F81" i="3"/>
  <c r="E81" i="3"/>
  <c r="D81" i="3"/>
  <c r="C81" i="3"/>
  <c r="G80" i="3"/>
  <c r="F80" i="3"/>
  <c r="E80" i="3"/>
  <c r="D80" i="3"/>
  <c r="C80" i="3"/>
  <c r="G79" i="3"/>
  <c r="F79" i="3"/>
  <c r="E79" i="3"/>
  <c r="D79" i="3"/>
  <c r="C79" i="3"/>
  <c r="G78" i="3"/>
  <c r="F78" i="3"/>
  <c r="E78" i="3"/>
  <c r="D78" i="3"/>
  <c r="C78" i="3"/>
  <c r="G77" i="3"/>
  <c r="F77" i="3"/>
  <c r="E77" i="3"/>
  <c r="D77" i="3"/>
  <c r="C77" i="3"/>
  <c r="G76" i="3"/>
  <c r="F76" i="3"/>
  <c r="E76" i="3"/>
  <c r="D76" i="3"/>
  <c r="C76" i="3"/>
  <c r="G75" i="3"/>
  <c r="F75" i="3"/>
  <c r="E75" i="3"/>
  <c r="D75" i="3"/>
  <c r="C75" i="3"/>
  <c r="G74" i="3"/>
  <c r="F74" i="3"/>
  <c r="E74" i="3"/>
  <c r="D74" i="3"/>
  <c r="C74" i="3"/>
  <c r="G73" i="3"/>
  <c r="F73" i="3"/>
  <c r="E73" i="3"/>
  <c r="D73" i="3"/>
  <c r="C73" i="3"/>
  <c r="G72" i="3"/>
  <c r="F72" i="3"/>
  <c r="E72" i="3"/>
  <c r="D72" i="3"/>
  <c r="C72" i="3"/>
  <c r="G71" i="3"/>
  <c r="F71" i="3"/>
  <c r="E71" i="3"/>
  <c r="D71" i="3"/>
  <c r="C71" i="3"/>
  <c r="G70" i="3"/>
  <c r="F70" i="3"/>
  <c r="E70" i="3"/>
  <c r="D70" i="3"/>
  <c r="C70" i="3"/>
  <c r="G69" i="3"/>
  <c r="F69" i="3"/>
  <c r="E69" i="3"/>
  <c r="D69" i="3"/>
  <c r="C69" i="3"/>
  <c r="G68" i="3"/>
  <c r="F68" i="3"/>
  <c r="E68" i="3"/>
  <c r="D68" i="3"/>
  <c r="C68" i="3"/>
  <c r="G67" i="3"/>
  <c r="F67" i="3"/>
  <c r="E67" i="3"/>
  <c r="D67" i="3"/>
  <c r="C67" i="3"/>
  <c r="G66" i="3"/>
  <c r="F66" i="3"/>
  <c r="E66" i="3"/>
  <c r="D66" i="3"/>
  <c r="C66" i="3"/>
  <c r="G65" i="3"/>
  <c r="F65" i="3"/>
  <c r="E65" i="3"/>
  <c r="D65" i="3"/>
  <c r="C65" i="3"/>
  <c r="G64" i="3"/>
  <c r="F64" i="3"/>
  <c r="E64" i="3"/>
  <c r="D64" i="3"/>
  <c r="C64" i="3"/>
  <c r="G63" i="3"/>
  <c r="F63" i="3"/>
  <c r="E63" i="3"/>
  <c r="D63" i="3"/>
  <c r="C63" i="3"/>
  <c r="G62" i="3"/>
  <c r="F62" i="3"/>
  <c r="E62" i="3"/>
  <c r="D62" i="3"/>
  <c r="C62" i="3"/>
  <c r="G61" i="3"/>
  <c r="F61" i="3"/>
  <c r="E61" i="3"/>
  <c r="D61" i="3"/>
  <c r="C61" i="3"/>
  <c r="G60" i="3"/>
  <c r="F60" i="3"/>
  <c r="E60" i="3"/>
  <c r="D60" i="3"/>
  <c r="C60" i="3"/>
  <c r="G59" i="3"/>
  <c r="F59" i="3"/>
  <c r="E59" i="3"/>
  <c r="D59" i="3"/>
  <c r="C59" i="3"/>
  <c r="G58" i="3"/>
  <c r="F58" i="3"/>
  <c r="E58" i="3"/>
  <c r="D58" i="3"/>
  <c r="C58" i="3"/>
  <c r="G57" i="3"/>
  <c r="F57" i="3"/>
  <c r="E57" i="3"/>
  <c r="D57" i="3"/>
  <c r="C57" i="3"/>
  <c r="G56" i="3"/>
  <c r="F56" i="3"/>
  <c r="E56" i="3"/>
  <c r="D56" i="3"/>
  <c r="C56" i="3"/>
  <c r="G55" i="3"/>
  <c r="F55" i="3"/>
  <c r="E55" i="3"/>
  <c r="D55" i="3"/>
  <c r="C55" i="3"/>
  <c r="G54" i="3"/>
  <c r="F54" i="3"/>
  <c r="E54" i="3"/>
  <c r="D54" i="3"/>
  <c r="C54" i="3"/>
  <c r="G53" i="3"/>
  <c r="F53" i="3"/>
  <c r="E53" i="3"/>
  <c r="D53" i="3"/>
  <c r="C53" i="3"/>
  <c r="G52" i="3"/>
  <c r="F52" i="3"/>
  <c r="E52" i="3"/>
  <c r="D52" i="3"/>
  <c r="C52" i="3"/>
  <c r="G51" i="3"/>
  <c r="F51" i="3"/>
  <c r="E51" i="3"/>
  <c r="D51" i="3"/>
  <c r="C51" i="3"/>
  <c r="G50" i="3"/>
  <c r="F50" i="3"/>
  <c r="E50" i="3"/>
  <c r="D50" i="3"/>
  <c r="C50" i="3"/>
  <c r="G49" i="3"/>
  <c r="F49" i="3"/>
  <c r="E49" i="3"/>
  <c r="D49" i="3"/>
  <c r="C49" i="3"/>
  <c r="G48" i="3"/>
  <c r="F48" i="3"/>
  <c r="E48" i="3"/>
  <c r="D48" i="3"/>
  <c r="C48" i="3"/>
  <c r="G47" i="3"/>
  <c r="F47" i="3"/>
  <c r="E47" i="3"/>
  <c r="D47" i="3"/>
  <c r="C47" i="3"/>
  <c r="G46" i="3" a="1"/>
  <c r="G46" i="3"/>
  <c r="F46" i="3" a="1"/>
  <c r="F46" i="3" s="1"/>
  <c r="E46" i="3" a="1"/>
  <c r="E46" i="3"/>
  <c r="D46" i="3" a="1"/>
  <c r="D46" i="3" s="1"/>
  <c r="C46" i="3" a="1"/>
  <c r="C46" i="3" s="1"/>
  <c r="G45" i="3" a="1"/>
  <c r="G45" i="3"/>
  <c r="F45" i="3" a="1"/>
  <c r="F45" i="3"/>
  <c r="E45" i="3" a="1"/>
  <c r="E45" i="3" s="1"/>
  <c r="D45" i="3" a="1"/>
  <c r="D45" i="3" s="1"/>
  <c r="C45" i="3" a="1"/>
  <c r="C45" i="3" s="1"/>
  <c r="G44" i="3" a="1"/>
  <c r="G44" i="3" s="1"/>
  <c r="F44" i="3" a="1"/>
  <c r="F44" i="3" s="1"/>
  <c r="E44" i="3" a="1"/>
  <c r="E44" i="3" s="1"/>
  <c r="D44" i="3" a="1"/>
  <c r="D44" i="3"/>
  <c r="C44" i="3" a="1"/>
  <c r="C44" i="3" s="1"/>
  <c r="G43" i="3" a="1"/>
  <c r="G43" i="3" s="1"/>
  <c r="F43" i="3" a="1"/>
  <c r="F43" i="3" s="1"/>
  <c r="E43" i="3" a="1"/>
  <c r="E43" i="3" s="1"/>
  <c r="D43" i="3" a="1"/>
  <c r="D43" i="3"/>
  <c r="C43" i="3" a="1"/>
  <c r="C43" i="3" s="1"/>
  <c r="G42" i="3" a="1"/>
  <c r="G42" i="3"/>
  <c r="F42" i="3" a="1"/>
  <c r="F42" i="3" s="1"/>
  <c r="E42" i="3" a="1"/>
  <c r="E42" i="3" s="1"/>
  <c r="D42" i="3" a="1"/>
  <c r="D42" i="3" s="1"/>
  <c r="C42" i="3" a="1"/>
  <c r="C42" i="3"/>
  <c r="G41" i="3" a="1"/>
  <c r="G41" i="3" s="1"/>
  <c r="F41" i="3" a="1"/>
  <c r="F41" i="3"/>
  <c r="E41" i="3" a="1"/>
  <c r="E41" i="3" s="1"/>
  <c r="D41" i="3" a="1"/>
  <c r="D41" i="3"/>
  <c r="C41" i="3" a="1"/>
  <c r="C41" i="3" s="1"/>
  <c r="G40" i="3" a="1"/>
  <c r="G40" i="3"/>
  <c r="F40" i="3" a="1"/>
  <c r="F40" i="3" s="1"/>
  <c r="E40" i="3" a="1"/>
  <c r="E40" i="3" s="1"/>
  <c r="D40" i="3" a="1"/>
  <c r="D40" i="3" s="1"/>
  <c r="C40" i="3" a="1"/>
  <c r="C40" i="3" s="1"/>
  <c r="G39" i="3" a="1"/>
  <c r="G39" i="3" s="1"/>
  <c r="F39" i="3" a="1"/>
  <c r="F39" i="3" s="1"/>
  <c r="E39" i="3" a="1"/>
  <c r="E39" i="3"/>
  <c r="D39" i="3" a="1"/>
  <c r="D39" i="3" s="1"/>
  <c r="C39" i="3" a="1"/>
  <c r="C39" i="3" s="1"/>
  <c r="G38" i="3" a="1"/>
  <c r="G38" i="3" s="1"/>
  <c r="F38" i="3" a="1"/>
  <c r="F38" i="3" s="1"/>
  <c r="E38" i="3" a="1"/>
  <c r="E38" i="3"/>
  <c r="D38" i="3" a="1"/>
  <c r="D38" i="3" s="1"/>
  <c r="C38" i="3" a="1"/>
  <c r="C38" i="3"/>
  <c r="G37" i="3" a="1"/>
  <c r="G37" i="3"/>
  <c r="F37" i="3" a="1"/>
  <c r="F37" i="3" s="1"/>
  <c r="E37" i="3" a="1"/>
  <c r="E37" i="3" s="1"/>
  <c r="D37" i="3" a="1"/>
  <c r="D37" i="3"/>
  <c r="C37" i="3" a="1"/>
  <c r="C37" i="3" s="1"/>
  <c r="G36" i="3" a="1"/>
  <c r="G36" i="3"/>
  <c r="F36" i="3" a="1"/>
  <c r="F36" i="3" s="1"/>
  <c r="E36" i="3" a="1"/>
  <c r="E36" i="3" s="1"/>
  <c r="D36" i="3" a="1"/>
  <c r="D36" i="3"/>
  <c r="C36" i="3" a="1"/>
  <c r="C36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G34" i="3" a="1"/>
  <c r="G34" i="3" s="1"/>
  <c r="F34" i="3" a="1"/>
  <c r="F34" i="3"/>
  <c r="E34" i="3" a="1"/>
  <c r="E34" i="3" s="1"/>
  <c r="D34" i="3" a="1"/>
  <c r="D34" i="3" s="1"/>
  <c r="C34" i="3" a="1"/>
  <c r="C34" i="3"/>
  <c r="G33" i="3" a="1"/>
  <c r="G33" i="3" s="1"/>
  <c r="F33" i="3" a="1"/>
  <c r="F33" i="3"/>
  <c r="E33" i="3" a="1"/>
  <c r="E33" i="3" s="1"/>
  <c r="D33" i="3" a="1"/>
  <c r="D33" i="3"/>
  <c r="C33" i="3" a="1"/>
  <c r="C33" i="3" s="1"/>
  <c r="G32" i="3" a="1"/>
  <c r="G32" i="3" s="1"/>
  <c r="F32" i="3" a="1"/>
  <c r="F32" i="3" s="1"/>
  <c r="E32" i="3" a="1"/>
  <c r="E32" i="3"/>
  <c r="D32" i="3" a="1"/>
  <c r="D32" i="3"/>
  <c r="C32" i="3" a="1"/>
  <c r="C32" i="3" s="1"/>
  <c r="G31" i="3" a="1"/>
  <c r="G31" i="3"/>
  <c r="F31" i="3" a="1"/>
  <c r="F31" i="3"/>
  <c r="E31" i="3" a="1"/>
  <c r="E31" i="3" s="1"/>
  <c r="D31" i="3" a="1"/>
  <c r="D31" i="3" s="1"/>
  <c r="C31" i="3" a="1"/>
  <c r="C31" i="3" s="1"/>
  <c r="G30" i="3" a="1"/>
  <c r="G30" i="3"/>
  <c r="F30" i="3" a="1"/>
  <c r="F30" i="3"/>
  <c r="E30" i="3" a="1"/>
  <c r="E30" i="3" s="1"/>
  <c r="D30" i="3" a="1"/>
  <c r="D30" i="3"/>
  <c r="C30" i="3" a="1"/>
  <c r="C30" i="3"/>
  <c r="G29" i="3" a="1"/>
  <c r="G29" i="3" s="1"/>
  <c r="F29" i="3" a="1"/>
  <c r="F29" i="3" s="1"/>
  <c r="E29" i="3" a="1"/>
  <c r="E29" i="3" s="1"/>
  <c r="D29" i="3" a="1"/>
  <c r="D29" i="3"/>
  <c r="C29" i="3" a="1"/>
  <c r="C29" i="3" s="1"/>
  <c r="G28" i="3" a="1"/>
  <c r="G28" i="3" s="1"/>
  <c r="F28" i="3" a="1"/>
  <c r="F28" i="3"/>
  <c r="E28" i="3" a="1"/>
  <c r="E28" i="3"/>
  <c r="D28" i="3" a="1"/>
  <c r="D28" i="3" s="1"/>
  <c r="C28" i="3" a="1"/>
  <c r="C28" i="3" s="1"/>
  <c r="G27" i="3" a="1"/>
  <c r="G27" i="3" s="1"/>
  <c r="F27" i="3" a="1"/>
  <c r="F27" i="3"/>
  <c r="E27" i="3" a="1"/>
  <c r="E27" i="3" s="1"/>
  <c r="D27" i="3" a="1"/>
  <c r="D27" i="3" s="1"/>
  <c r="C27" i="3" a="1"/>
  <c r="C27" i="3"/>
  <c r="G26" i="3" a="1"/>
  <c r="G26" i="3" s="1"/>
  <c r="F26" i="3" a="1"/>
  <c r="F26" i="3"/>
  <c r="E26" i="3" a="1"/>
  <c r="E26" i="3" s="1"/>
  <c r="D26" i="3" a="1"/>
  <c r="D26" i="3"/>
  <c r="C26" i="3" a="1"/>
  <c r="C26" i="3" s="1"/>
  <c r="G25" i="3" a="1"/>
  <c r="G25" i="3"/>
  <c r="F25" i="3" a="1"/>
  <c r="F25" i="3" s="1"/>
  <c r="E25" i="3" a="1"/>
  <c r="E25" i="3"/>
  <c r="D25" i="3" a="1"/>
  <c r="D25" i="3"/>
  <c r="C25" i="3" a="1"/>
  <c r="C25" i="3"/>
  <c r="G24" i="3" a="1"/>
  <c r="G24" i="3" s="1"/>
  <c r="F24" i="3" a="1"/>
  <c r="F24" i="3"/>
  <c r="E24" i="3" a="1"/>
  <c r="E24" i="3" s="1"/>
  <c r="D24" i="3" a="1"/>
  <c r="D24" i="3"/>
  <c r="C24" i="3" a="1"/>
  <c r="C24" i="3" s="1"/>
  <c r="G23" i="3" a="1"/>
  <c r="G23" i="3"/>
  <c r="F23" i="3" a="1"/>
  <c r="F23" i="3"/>
  <c r="E23" i="3" a="1"/>
  <c r="E23" i="3"/>
  <c r="D23" i="3" a="1"/>
  <c r="D23" i="3" s="1"/>
  <c r="C23" i="3" a="1"/>
  <c r="C23" i="3"/>
  <c r="G22" i="3" a="1"/>
  <c r="G22" i="3" s="1"/>
  <c r="F22" i="3" a="1"/>
  <c r="F22" i="3"/>
  <c r="E22" i="3" a="1"/>
  <c r="E22" i="3" s="1"/>
  <c r="D22" i="3" a="1"/>
  <c r="D22" i="3"/>
  <c r="C22" i="3" a="1"/>
  <c r="C22" i="3"/>
  <c r="G21" i="3" a="1"/>
  <c r="G21" i="3"/>
  <c r="F21" i="3" a="1"/>
  <c r="F21" i="3" s="1"/>
  <c r="E21" i="3" a="1"/>
  <c r="E21" i="3" s="1"/>
  <c r="D21" i="3" a="1"/>
  <c r="D21" i="3" s="1"/>
  <c r="C21" i="3" a="1"/>
  <c r="C21" i="3"/>
  <c r="G20" i="3" a="1"/>
  <c r="G20" i="3" s="1"/>
  <c r="F20" i="3" a="1"/>
  <c r="F20" i="3"/>
  <c r="E20" i="3" a="1"/>
  <c r="E20" i="3"/>
  <c r="D20" i="3" a="1"/>
  <c r="D20" i="3"/>
  <c r="C20" i="3" a="1"/>
  <c r="C20" i="3" s="1"/>
  <c r="G19" i="3" a="1"/>
  <c r="G19" i="3" s="1"/>
  <c r="F19" i="3" a="1"/>
  <c r="F19" i="3" s="1"/>
  <c r="E19" i="3" a="1"/>
  <c r="E19" i="3"/>
  <c r="D19" i="3" a="1"/>
  <c r="D19" i="3" s="1"/>
  <c r="C19" i="3" a="1"/>
  <c r="C19" i="3"/>
  <c r="G18" i="3" a="1"/>
  <c r="G18" i="3"/>
  <c r="F18" i="3" a="1"/>
  <c r="F18" i="3"/>
  <c r="E18" i="3" a="1"/>
  <c r="E18" i="3" s="1"/>
  <c r="D18" i="3" a="1"/>
  <c r="D18" i="3" s="1"/>
  <c r="C18" i="3" a="1"/>
  <c r="C18" i="3" s="1"/>
  <c r="G17" i="3" a="1"/>
  <c r="G17" i="3"/>
  <c r="F17" i="3" a="1"/>
  <c r="F17" i="3" s="1"/>
  <c r="E17" i="3" a="1"/>
  <c r="E17" i="3" s="1"/>
  <c r="D17" i="3" a="1"/>
  <c r="D17" i="3" s="1"/>
  <c r="C17" i="3" a="1"/>
  <c r="C17" i="3"/>
  <c r="G16" i="3" a="1"/>
  <c r="G16" i="3" s="1"/>
  <c r="F16" i="3" a="1"/>
  <c r="F16" i="3" s="1"/>
  <c r="E16" i="3" a="1"/>
  <c r="E16" i="3" s="1"/>
  <c r="D16" i="3" a="1"/>
  <c r="D16" i="3"/>
  <c r="C16" i="3" a="1"/>
  <c r="C16" i="3" s="1"/>
  <c r="G15" i="3" a="1"/>
  <c r="G15" i="3" s="1"/>
  <c r="F15" i="3" a="1"/>
  <c r="F15" i="3" s="1"/>
  <c r="E15" i="3" a="1"/>
  <c r="E15" i="3" s="1"/>
  <c r="D15" i="3" a="1"/>
  <c r="D15" i="3" s="1"/>
  <c r="C15" i="3" a="1"/>
  <c r="C15" i="3" s="1"/>
  <c r="G14" i="3" a="1"/>
  <c r="G14" i="3" s="1"/>
  <c r="F14" i="3" a="1"/>
  <c r="F14" i="3"/>
  <c r="E14" i="3" a="1"/>
  <c r="E14" i="3" s="1"/>
  <c r="D14" i="3" a="1"/>
  <c r="D14" i="3" s="1"/>
  <c r="C14" i="3" a="1"/>
  <c r="C14" i="3" s="1"/>
  <c r="G13" i="3" a="1"/>
  <c r="G13" i="3" s="1"/>
  <c r="F13" i="3" a="1"/>
  <c r="F13" i="3" s="1"/>
  <c r="E13" i="3" a="1"/>
  <c r="E13" i="3" s="1"/>
  <c r="D13" i="3" a="1"/>
  <c r="D13" i="3" s="1"/>
  <c r="C13" i="3" a="1"/>
  <c r="C13" i="3"/>
  <c r="G12" i="3" a="1"/>
  <c r="G12" i="3" s="1"/>
  <c r="F12" i="3" a="1"/>
  <c r="F12" i="3" s="1"/>
  <c r="E12" i="3" a="1"/>
  <c r="E12" i="3"/>
  <c r="D12" i="3" a="1"/>
  <c r="D12" i="3"/>
  <c r="C12" i="3" a="1"/>
  <c r="C12" i="3" s="1"/>
  <c r="G11" i="3" a="1"/>
  <c r="G11" i="3" s="1"/>
  <c r="F11" i="3" a="1"/>
  <c r="F11" i="3" s="1"/>
  <c r="E11" i="3" a="1"/>
  <c r="E11" i="3" s="1"/>
  <c r="D11" i="3" a="1"/>
  <c r="D11" i="3" s="1"/>
  <c r="C11" i="3" a="1"/>
  <c r="C11" i="3" s="1"/>
  <c r="G10" i="3" a="1"/>
  <c r="G10" i="3" s="1"/>
  <c r="F10" i="3" a="1"/>
  <c r="F10" i="3" s="1"/>
  <c r="E10" i="3" a="1"/>
  <c r="E10" i="3" s="1"/>
  <c r="D10" i="3" a="1"/>
  <c r="D10" i="3" s="1"/>
  <c r="C10" i="3" a="1"/>
  <c r="C10" i="3" s="1"/>
  <c r="G9" i="3" a="1"/>
  <c r="G9" i="3"/>
  <c r="F9" i="3" a="1"/>
  <c r="F9" i="3" s="1"/>
  <c r="E9" i="3" a="1"/>
  <c r="E9" i="3" s="1"/>
  <c r="D9" i="3" a="1"/>
  <c r="D9" i="3"/>
  <c r="C9" i="3" a="1"/>
  <c r="C9" i="3"/>
  <c r="G8" i="3" a="1"/>
  <c r="G8" i="3" s="1"/>
  <c r="F8" i="3" a="1"/>
  <c r="F8" i="3" s="1"/>
  <c r="E8" i="3" a="1"/>
  <c r="E8" i="3" s="1"/>
  <c r="D8" i="3" a="1"/>
  <c r="D8" i="3" s="1"/>
  <c r="C8" i="3" a="1"/>
  <c r="C8" i="3" s="1"/>
  <c r="G7" i="3" a="1"/>
  <c r="G7" i="3"/>
  <c r="F7" i="3" a="1"/>
  <c r="F7" i="3"/>
  <c r="E7" i="3" a="1"/>
  <c r="E7" i="3"/>
  <c r="D7" i="3" a="1"/>
  <c r="D7" i="3" s="1"/>
  <c r="C7" i="3" a="1"/>
  <c r="C7" i="3" s="1"/>
  <c r="N5" i="2"/>
  <c r="O5" i="2" s="1"/>
  <c r="X5" i="2" l="1"/>
  <c r="M6" i="2" s="1"/>
  <c r="W5" i="2"/>
  <c r="L6" i="2" s="1"/>
  <c r="V5" i="2"/>
  <c r="K6" i="2" s="1"/>
  <c r="T5" i="2"/>
  <c r="I6" i="2" s="1"/>
  <c r="P5" i="2"/>
  <c r="H5" i="2" s="1"/>
  <c r="Q5" i="2"/>
  <c r="R5" i="2" s="1"/>
  <c r="U5" i="2"/>
  <c r="J6" i="2" s="1"/>
  <c r="N6" i="2" l="1"/>
  <c r="O6" i="2" s="1"/>
  <c r="V6" i="2" l="1"/>
  <c r="K7" i="2" s="1"/>
  <c r="X6" i="2"/>
  <c r="M7" i="2" s="1"/>
  <c r="W6" i="2"/>
  <c r="L7" i="2" s="1"/>
  <c r="P6" i="2"/>
  <c r="H6" i="2" s="1"/>
  <c r="U6" i="2"/>
  <c r="J7" i="2" s="1"/>
  <c r="T6" i="2"/>
  <c r="I7" i="2" s="1"/>
  <c r="Q6" i="2"/>
  <c r="R6" i="2" s="1"/>
  <c r="N7" i="2" l="1"/>
  <c r="O7" i="2" s="1"/>
  <c r="X7" i="2" l="1"/>
  <c r="M8" i="2" s="1"/>
  <c r="V7" i="2"/>
  <c r="K8" i="2" s="1"/>
  <c r="W7" i="2"/>
  <c r="L8" i="2" s="1"/>
  <c r="Q7" i="2"/>
  <c r="R7" i="2" s="1"/>
  <c r="U7" i="2"/>
  <c r="J8" i="2" s="1"/>
  <c r="P7" i="2"/>
  <c r="H7" i="2" s="1"/>
  <c r="T7" i="2"/>
  <c r="I8" i="2" s="1"/>
  <c r="N8" i="2" l="1"/>
  <c r="O8" i="2" s="1"/>
  <c r="X8" i="2" l="1"/>
  <c r="M9" i="2" s="1"/>
  <c r="W8" i="2"/>
  <c r="L9" i="2" s="1"/>
  <c r="V8" i="2"/>
  <c r="K9" i="2" s="1"/>
  <c r="T8" i="2"/>
  <c r="I9" i="2" s="1"/>
  <c r="P8" i="2"/>
  <c r="H8" i="2" s="1"/>
  <c r="Q8" i="2"/>
  <c r="R8" i="2" s="1"/>
  <c r="U8" i="2"/>
  <c r="J9" i="2" s="1"/>
  <c r="N9" i="2" l="1"/>
  <c r="O9" i="2" s="1"/>
  <c r="X9" i="2" l="1"/>
  <c r="M10" i="2" s="1"/>
  <c r="W9" i="2"/>
  <c r="L10" i="2" s="1"/>
  <c r="V9" i="2"/>
  <c r="K10" i="2" s="1"/>
  <c r="T9" i="2"/>
  <c r="I10" i="2" s="1"/>
  <c r="U9" i="2"/>
  <c r="J10" i="2" s="1"/>
  <c r="Q9" i="2"/>
  <c r="R9" i="2" s="1"/>
  <c r="P9" i="2"/>
  <c r="H9" i="2" s="1"/>
  <c r="N10" i="2" l="1"/>
  <c r="O10" i="2" s="1"/>
  <c r="X10" i="2" l="1"/>
  <c r="M11" i="2" s="1"/>
  <c r="V10" i="2"/>
  <c r="K11" i="2" s="1"/>
  <c r="W10" i="2"/>
  <c r="L11" i="2" s="1"/>
  <c r="T10" i="2"/>
  <c r="I11" i="2" s="1"/>
  <c r="U10" i="2"/>
  <c r="J11" i="2" s="1"/>
  <c r="Q10" i="2"/>
  <c r="R10" i="2" s="1"/>
  <c r="P10" i="2"/>
  <c r="H10" i="2" s="1"/>
  <c r="N11" i="2" l="1"/>
  <c r="O11" i="2" s="1"/>
  <c r="X11" i="2" l="1"/>
  <c r="M12" i="2" s="1"/>
  <c r="W11" i="2"/>
  <c r="L12" i="2" s="1"/>
  <c r="V11" i="2"/>
  <c r="K12" i="2" s="1"/>
  <c r="U11" i="2"/>
  <c r="J12" i="2" s="1"/>
  <c r="T11" i="2"/>
  <c r="I12" i="2" s="1"/>
  <c r="Q11" i="2"/>
  <c r="R11" i="2" s="1"/>
  <c r="P11" i="2"/>
  <c r="H11" i="2" s="1"/>
  <c r="N12" i="2" l="1"/>
  <c r="O12" i="2" s="1"/>
  <c r="X12" i="2" l="1"/>
  <c r="M13" i="2" s="1"/>
  <c r="V12" i="2"/>
  <c r="K13" i="2" s="1"/>
  <c r="W12" i="2"/>
  <c r="L13" i="2" s="1"/>
  <c r="T12" i="2"/>
  <c r="I13" i="2" s="1"/>
  <c r="U12" i="2"/>
  <c r="J13" i="2" s="1"/>
  <c r="P12" i="2"/>
  <c r="H12" i="2" s="1"/>
  <c r="Q12" i="2"/>
  <c r="R12" i="2" s="1"/>
  <c r="N13" i="2" l="1"/>
  <c r="O13" i="2" s="1"/>
  <c r="X13" i="2" l="1"/>
  <c r="M14" i="2" s="1"/>
  <c r="U13" i="2"/>
  <c r="J14" i="2" s="1"/>
  <c r="W13" i="2"/>
  <c r="L14" i="2" s="1"/>
  <c r="V13" i="2"/>
  <c r="K14" i="2" s="1"/>
  <c r="T13" i="2"/>
  <c r="I14" i="2" s="1"/>
  <c r="Q13" i="2"/>
  <c r="R13" i="2" s="1"/>
  <c r="P13" i="2"/>
  <c r="H13" i="2" s="1"/>
  <c r="N14" i="2" l="1"/>
  <c r="O14" i="2" s="1"/>
  <c r="X14" i="2" l="1"/>
  <c r="M15" i="2" s="1"/>
  <c r="V14" i="2"/>
  <c r="K15" i="2" s="1"/>
  <c r="W14" i="2"/>
  <c r="L15" i="2" s="1"/>
  <c r="U14" i="2"/>
  <c r="J15" i="2" s="1"/>
  <c r="T14" i="2"/>
  <c r="I15" i="2" s="1"/>
  <c r="Q14" i="2"/>
  <c r="R14" i="2" s="1"/>
  <c r="P14" i="2"/>
  <c r="H14" i="2" s="1"/>
  <c r="N15" i="2" l="1"/>
  <c r="O15" i="2" s="1"/>
  <c r="X15" i="2" l="1"/>
  <c r="M16" i="2" s="1"/>
  <c r="U15" i="2"/>
  <c r="J16" i="2" s="1"/>
  <c r="W15" i="2"/>
  <c r="L16" i="2" s="1"/>
  <c r="V15" i="2"/>
  <c r="K16" i="2" s="1"/>
  <c r="T15" i="2"/>
  <c r="I16" i="2" s="1"/>
  <c r="P15" i="2"/>
  <c r="H15" i="2" s="1"/>
  <c r="Q15" i="2"/>
  <c r="R15" i="2" s="1"/>
  <c r="N16" i="2" l="1"/>
  <c r="O16" i="2" s="1"/>
  <c r="X16" i="2" l="1"/>
  <c r="M17" i="2" s="1"/>
  <c r="W16" i="2"/>
  <c r="L17" i="2" s="1"/>
  <c r="V16" i="2"/>
  <c r="K17" i="2" s="1"/>
  <c r="U16" i="2"/>
  <c r="J17" i="2" s="1"/>
  <c r="T16" i="2"/>
  <c r="I17" i="2" s="1"/>
  <c r="P16" i="2"/>
  <c r="H16" i="2" s="1"/>
  <c r="Q16" i="2"/>
  <c r="R16" i="2" s="1"/>
  <c r="N17" i="2" l="1"/>
  <c r="O17" i="2" s="1"/>
  <c r="V17" i="2" l="1"/>
  <c r="K18" i="2" s="1"/>
  <c r="X17" i="2"/>
  <c r="M18" i="2" s="1"/>
  <c r="W17" i="2"/>
  <c r="L18" i="2" s="1"/>
  <c r="U17" i="2"/>
  <c r="J18" i="2" s="1"/>
  <c r="T17" i="2"/>
  <c r="I18" i="2" s="1"/>
  <c r="P17" i="2"/>
  <c r="H17" i="2" s="1"/>
  <c r="Q17" i="2"/>
  <c r="R17" i="2" s="1"/>
  <c r="N18" i="2" l="1"/>
  <c r="O18" i="2" s="1"/>
  <c r="X18" i="2" l="1"/>
  <c r="M19" i="2" s="1"/>
  <c r="U18" i="2"/>
  <c r="J19" i="2" s="1"/>
  <c r="W18" i="2"/>
  <c r="L19" i="2" s="1"/>
  <c r="V18" i="2"/>
  <c r="K19" i="2" s="1"/>
  <c r="T18" i="2"/>
  <c r="I19" i="2" s="1"/>
  <c r="P18" i="2"/>
  <c r="H18" i="2" s="1"/>
  <c r="Q18" i="2"/>
  <c r="R18" i="2" s="1"/>
  <c r="N19" i="2" l="1"/>
  <c r="O19" i="2" s="1"/>
  <c r="X19" i="2" l="1"/>
  <c r="M20" i="2" s="1"/>
  <c r="U19" i="2"/>
  <c r="J20" i="2" s="1"/>
  <c r="W19" i="2"/>
  <c r="L20" i="2" s="1"/>
  <c r="V19" i="2"/>
  <c r="K20" i="2" s="1"/>
  <c r="T19" i="2"/>
  <c r="I20" i="2" s="1"/>
  <c r="P19" i="2"/>
  <c r="H19" i="2" s="1"/>
  <c r="Q19" i="2"/>
  <c r="R19" i="2" s="1"/>
  <c r="N20" i="2" l="1"/>
  <c r="O20" i="2" s="1"/>
  <c r="X20" i="2" l="1"/>
  <c r="M21" i="2" s="1"/>
  <c r="W20" i="2"/>
  <c r="L21" i="2" s="1"/>
  <c r="V20" i="2"/>
  <c r="K21" i="2" s="1"/>
  <c r="U20" i="2"/>
  <c r="J21" i="2" s="1"/>
  <c r="T20" i="2"/>
  <c r="I21" i="2" s="1"/>
  <c r="P20" i="2"/>
  <c r="H20" i="2" s="1"/>
  <c r="Q20" i="2"/>
  <c r="R20" i="2" s="1"/>
  <c r="N21" i="2" l="1"/>
  <c r="O21" i="2" s="1"/>
  <c r="X21" i="2" l="1"/>
  <c r="M22" i="2" s="1"/>
  <c r="W21" i="2"/>
  <c r="L22" i="2" s="1"/>
  <c r="V21" i="2"/>
  <c r="K22" i="2" s="1"/>
  <c r="U21" i="2"/>
  <c r="J22" i="2" s="1"/>
  <c r="T21" i="2"/>
  <c r="I22" i="2" s="1"/>
  <c r="P21" i="2"/>
  <c r="H21" i="2" s="1"/>
  <c r="Q21" i="2"/>
  <c r="R21" i="2" s="1"/>
  <c r="N22" i="2" l="1"/>
  <c r="O22" i="2" s="1"/>
  <c r="U22" i="2" l="1"/>
  <c r="J23" i="2" s="1"/>
  <c r="X22" i="2"/>
  <c r="M23" i="2" s="1"/>
  <c r="V22" i="2"/>
  <c r="K23" i="2" s="1"/>
  <c r="W22" i="2"/>
  <c r="L23" i="2" s="1"/>
  <c r="T22" i="2"/>
  <c r="I23" i="2" s="1"/>
  <c r="P22" i="2"/>
  <c r="H22" i="2" s="1"/>
  <c r="Q22" i="2"/>
  <c r="R22" i="2" s="1"/>
  <c r="N23" i="2" l="1"/>
  <c r="O23" i="2" s="1"/>
  <c r="X23" i="2" l="1"/>
  <c r="M24" i="2" s="1"/>
  <c r="W23" i="2"/>
  <c r="L24" i="2" s="1"/>
  <c r="V23" i="2"/>
  <c r="K24" i="2" s="1"/>
  <c r="U23" i="2"/>
  <c r="J24" i="2" s="1"/>
  <c r="T23" i="2"/>
  <c r="I24" i="2" s="1"/>
  <c r="P23" i="2"/>
  <c r="H23" i="2" s="1"/>
  <c r="Q23" i="2"/>
  <c r="R23" i="2" s="1"/>
  <c r="N24" i="2" l="1"/>
  <c r="O24" i="2" s="1"/>
  <c r="V24" i="2" l="1"/>
  <c r="K25" i="2" s="1"/>
  <c r="X24" i="2"/>
  <c r="M25" i="2" s="1"/>
  <c r="W24" i="2"/>
  <c r="L25" i="2" s="1"/>
  <c r="U24" i="2"/>
  <c r="J25" i="2" s="1"/>
  <c r="T24" i="2"/>
  <c r="I25" i="2" s="1"/>
  <c r="P24" i="2"/>
  <c r="H24" i="2" s="1"/>
  <c r="Q24" i="2"/>
  <c r="R24" i="2" s="1"/>
  <c r="N25" i="2" l="1"/>
  <c r="O25" i="2" s="1"/>
  <c r="X25" i="2" l="1"/>
  <c r="M26" i="2" s="1"/>
  <c r="W25" i="2"/>
  <c r="L26" i="2" s="1"/>
  <c r="V25" i="2"/>
  <c r="K26" i="2" s="1"/>
  <c r="U25" i="2"/>
  <c r="J26" i="2" s="1"/>
  <c r="T25" i="2"/>
  <c r="I26" i="2" s="1"/>
  <c r="P25" i="2"/>
  <c r="H25" i="2" s="1"/>
  <c r="Q25" i="2"/>
  <c r="R25" i="2" s="1"/>
  <c r="N26" i="2" l="1"/>
  <c r="O26" i="2" s="1"/>
  <c r="U26" i="2" l="1"/>
  <c r="J27" i="2" s="1"/>
  <c r="X26" i="2"/>
  <c r="M27" i="2" s="1"/>
  <c r="W26" i="2"/>
  <c r="L27" i="2" s="1"/>
  <c r="V26" i="2"/>
  <c r="K27" i="2" s="1"/>
  <c r="T26" i="2"/>
  <c r="I27" i="2" s="1"/>
  <c r="P26" i="2"/>
  <c r="H26" i="2" s="1"/>
  <c r="Q26" i="2"/>
  <c r="R26" i="2" s="1"/>
  <c r="N27" i="2" l="1"/>
  <c r="O27" i="2" s="1"/>
  <c r="X27" i="2" l="1"/>
  <c r="M28" i="2" s="1"/>
  <c r="W27" i="2"/>
  <c r="L28" i="2" s="1"/>
  <c r="V27" i="2"/>
  <c r="K28" i="2" s="1"/>
  <c r="U27" i="2"/>
  <c r="J28" i="2" s="1"/>
  <c r="T27" i="2"/>
  <c r="I28" i="2" s="1"/>
  <c r="P27" i="2"/>
  <c r="H27" i="2" s="1"/>
  <c r="Q27" i="2"/>
  <c r="R27" i="2" s="1"/>
  <c r="N28" i="2" l="1"/>
  <c r="O28" i="2" s="1"/>
  <c r="X28" i="2" l="1"/>
  <c r="M29" i="2" s="1"/>
  <c r="W28" i="2"/>
  <c r="L29" i="2" s="1"/>
  <c r="V28" i="2"/>
  <c r="K29" i="2" s="1"/>
  <c r="U28" i="2"/>
  <c r="J29" i="2" s="1"/>
  <c r="T28" i="2"/>
  <c r="I29" i="2" s="1"/>
  <c r="P28" i="2"/>
  <c r="H28" i="2" s="1"/>
  <c r="Q28" i="2"/>
  <c r="R28" i="2" s="1"/>
  <c r="N29" i="2" l="1"/>
  <c r="O29" i="2" s="1"/>
  <c r="X29" i="2" l="1"/>
  <c r="M30" i="2" s="1"/>
  <c r="W29" i="2"/>
  <c r="L30" i="2" s="1"/>
  <c r="V29" i="2"/>
  <c r="K30" i="2" s="1"/>
  <c r="U29" i="2"/>
  <c r="J30" i="2" s="1"/>
  <c r="T29" i="2"/>
  <c r="I30" i="2" s="1"/>
  <c r="P29" i="2"/>
  <c r="H29" i="2" s="1"/>
  <c r="Q29" i="2"/>
  <c r="R29" i="2" s="1"/>
  <c r="N30" i="2" l="1"/>
  <c r="O30" i="2" s="1"/>
  <c r="X30" i="2" l="1"/>
  <c r="M31" i="2" s="1"/>
  <c r="U30" i="2"/>
  <c r="J31" i="2" s="1"/>
  <c r="W30" i="2"/>
  <c r="L31" i="2" s="1"/>
  <c r="V30" i="2"/>
  <c r="K31" i="2" s="1"/>
  <c r="T30" i="2"/>
  <c r="I31" i="2" s="1"/>
  <c r="P30" i="2"/>
  <c r="H30" i="2" s="1"/>
  <c r="Q30" i="2"/>
  <c r="R30" i="2" s="1"/>
  <c r="N31" i="2" l="1"/>
  <c r="O31" i="2" s="1"/>
  <c r="X31" i="2" l="1"/>
  <c r="M32" i="2" s="1"/>
  <c r="W31" i="2"/>
  <c r="L32" i="2" s="1"/>
  <c r="V31" i="2"/>
  <c r="K32" i="2" s="1"/>
  <c r="U31" i="2"/>
  <c r="J32" i="2" s="1"/>
  <c r="T31" i="2"/>
  <c r="I32" i="2" s="1"/>
  <c r="Q31" i="2"/>
  <c r="R31" i="2" s="1"/>
  <c r="P31" i="2"/>
  <c r="H31" i="2" s="1"/>
  <c r="N32" i="2" l="1"/>
  <c r="O32" i="2" s="1"/>
  <c r="X32" i="2" l="1"/>
  <c r="M33" i="2" s="1"/>
  <c r="W32" i="2"/>
  <c r="L33" i="2" s="1"/>
  <c r="V32" i="2"/>
  <c r="K33" i="2" s="1"/>
  <c r="U32" i="2"/>
  <c r="J33" i="2" s="1"/>
  <c r="T32" i="2"/>
  <c r="I33" i="2" s="1"/>
  <c r="Q32" i="2"/>
  <c r="R32" i="2" s="1"/>
  <c r="P32" i="2"/>
  <c r="H32" i="2" s="1"/>
  <c r="N33" i="2" l="1"/>
  <c r="O33" i="2" s="1"/>
  <c r="X33" i="2" l="1"/>
  <c r="M34" i="2" s="1"/>
  <c r="W33" i="2"/>
  <c r="L34" i="2" s="1"/>
  <c r="V33" i="2"/>
  <c r="K34" i="2" s="1"/>
  <c r="U33" i="2"/>
  <c r="J34" i="2" s="1"/>
  <c r="T33" i="2"/>
  <c r="I34" i="2" s="1"/>
  <c r="Q33" i="2"/>
  <c r="R33" i="2" s="1"/>
  <c r="P33" i="2"/>
  <c r="H33" i="2" s="1"/>
  <c r="N34" i="2" l="1"/>
  <c r="O34" i="2" s="1"/>
  <c r="U34" i="2" l="1"/>
  <c r="J35" i="2" s="1"/>
  <c r="X34" i="2"/>
  <c r="M35" i="2" s="1"/>
  <c r="W34" i="2"/>
  <c r="L35" i="2" s="1"/>
  <c r="V34" i="2"/>
  <c r="K35" i="2" s="1"/>
  <c r="T34" i="2"/>
  <c r="I35" i="2" s="1"/>
  <c r="Q34" i="2"/>
  <c r="R34" i="2" s="1"/>
  <c r="P34" i="2"/>
  <c r="H34" i="2" s="1"/>
  <c r="N35" i="2" l="1"/>
  <c r="O35" i="2" s="1"/>
  <c r="X35" i="2" l="1"/>
  <c r="M36" i="2" s="1"/>
  <c r="W35" i="2"/>
  <c r="L36" i="2" s="1"/>
  <c r="V35" i="2"/>
  <c r="K36" i="2" s="1"/>
  <c r="U35" i="2"/>
  <c r="J36" i="2" s="1"/>
  <c r="T35" i="2"/>
  <c r="I36" i="2" s="1"/>
  <c r="Q35" i="2"/>
  <c r="R35" i="2" s="1"/>
  <c r="P35" i="2"/>
  <c r="H35" i="2" s="1"/>
  <c r="N36" i="2" l="1"/>
  <c r="O36" i="2" s="1"/>
  <c r="V36" i="2" l="1"/>
  <c r="K37" i="2" s="1"/>
  <c r="X36" i="2"/>
  <c r="M37" i="2" s="1"/>
  <c r="W36" i="2"/>
  <c r="L37" i="2" s="1"/>
  <c r="U36" i="2"/>
  <c r="J37" i="2" s="1"/>
  <c r="T36" i="2"/>
  <c r="I37" i="2" s="1"/>
  <c r="Q36" i="2"/>
  <c r="R36" i="2" s="1"/>
  <c r="P36" i="2"/>
  <c r="H36" i="2" s="1"/>
  <c r="N37" i="2" l="1"/>
  <c r="O37" i="2" s="1"/>
  <c r="V37" i="2" l="1"/>
  <c r="K38" i="2" s="1"/>
  <c r="X37" i="2"/>
  <c r="M38" i="2" s="1"/>
  <c r="W37" i="2"/>
  <c r="L38" i="2" s="1"/>
  <c r="U37" i="2"/>
  <c r="J38" i="2" s="1"/>
  <c r="T37" i="2"/>
  <c r="I38" i="2" s="1"/>
  <c r="Q37" i="2"/>
  <c r="R37" i="2" s="1"/>
  <c r="P37" i="2"/>
  <c r="H37" i="2" s="1"/>
  <c r="N38" i="2" l="1"/>
  <c r="O38" i="2" s="1"/>
  <c r="V38" i="2" l="1"/>
  <c r="K39" i="2" s="1"/>
  <c r="X38" i="2"/>
  <c r="M39" i="2" s="1"/>
  <c r="W38" i="2"/>
  <c r="L39" i="2" s="1"/>
  <c r="U38" i="2"/>
  <c r="J39" i="2" s="1"/>
  <c r="T38" i="2"/>
  <c r="I39" i="2" s="1"/>
  <c r="P38" i="2"/>
  <c r="H38" i="2" s="1"/>
  <c r="Q38" i="2"/>
  <c r="R38" i="2" s="1"/>
  <c r="N39" i="2" l="1"/>
  <c r="O39" i="2" s="1"/>
  <c r="V39" i="2" l="1"/>
  <c r="K40" i="2" s="1"/>
  <c r="X39" i="2"/>
  <c r="M40" i="2" s="1"/>
  <c r="W39" i="2"/>
  <c r="L40" i="2" s="1"/>
  <c r="U39" i="2"/>
  <c r="J40" i="2" s="1"/>
  <c r="T39" i="2"/>
  <c r="I40" i="2" s="1"/>
  <c r="Q39" i="2"/>
  <c r="R39" i="2" s="1"/>
  <c r="P39" i="2"/>
  <c r="H39" i="2" s="1"/>
  <c r="N40" i="2" l="1"/>
  <c r="O40" i="2" s="1"/>
  <c r="V40" i="2" l="1"/>
  <c r="K41" i="2" s="1"/>
  <c r="X40" i="2"/>
  <c r="M41" i="2" s="1"/>
  <c r="W40" i="2"/>
  <c r="L41" i="2" s="1"/>
  <c r="U40" i="2"/>
  <c r="J41" i="2" s="1"/>
  <c r="T40" i="2"/>
  <c r="I41" i="2" s="1"/>
  <c r="Q40" i="2"/>
  <c r="R40" i="2" s="1"/>
  <c r="P40" i="2"/>
  <c r="H40" i="2" s="1"/>
  <c r="N41" i="2" l="1"/>
  <c r="O41" i="2" s="1"/>
  <c r="V41" i="2" l="1"/>
  <c r="K42" i="2" s="1"/>
  <c r="X41" i="2"/>
  <c r="M42" i="2" s="1"/>
  <c r="W41" i="2"/>
  <c r="L42" i="2" s="1"/>
  <c r="T41" i="2"/>
  <c r="I42" i="2" s="1"/>
  <c r="U41" i="2"/>
  <c r="J42" i="2" s="1"/>
  <c r="Q41" i="2"/>
  <c r="R41" i="2" s="1"/>
  <c r="P41" i="2"/>
  <c r="H41" i="2" s="1"/>
  <c r="N42" i="2" l="1"/>
  <c r="O42" i="2" s="1"/>
  <c r="V42" i="2" l="1"/>
  <c r="K43" i="2" s="1"/>
  <c r="X42" i="2"/>
  <c r="M43" i="2" s="1"/>
  <c r="U42" i="2"/>
  <c r="J43" i="2" s="1"/>
  <c r="T42" i="2"/>
  <c r="I43" i="2" s="1"/>
  <c r="W42" i="2"/>
  <c r="L43" i="2" s="1"/>
  <c r="Q42" i="2"/>
  <c r="R42" i="2" s="1"/>
  <c r="P42" i="2"/>
  <c r="H42" i="2" s="1"/>
  <c r="N43" i="2" l="1"/>
  <c r="O43" i="2" s="1"/>
  <c r="V43" i="2" l="1"/>
  <c r="K44" i="2" s="1"/>
  <c r="W43" i="2"/>
  <c r="L44" i="2" s="1"/>
  <c r="X43" i="2"/>
  <c r="M44" i="2" s="1"/>
  <c r="U43" i="2"/>
  <c r="J44" i="2" s="1"/>
  <c r="T43" i="2"/>
  <c r="I44" i="2" s="1"/>
  <c r="Q43" i="2"/>
  <c r="R43" i="2" s="1"/>
  <c r="P43" i="2"/>
  <c r="H43" i="2" s="1"/>
  <c r="N44" i="2" l="1"/>
  <c r="O44" i="2" s="1"/>
  <c r="V44" i="2" l="1"/>
  <c r="K45" i="2" s="1"/>
  <c r="P44" i="2"/>
  <c r="H44" i="2" s="1"/>
  <c r="X44" i="2"/>
  <c r="M45" i="2" s="1"/>
  <c r="U44" i="2"/>
  <c r="J45" i="2" s="1"/>
  <c r="T44" i="2"/>
  <c r="I45" i="2" s="1"/>
  <c r="Q44" i="2"/>
  <c r="R44" i="2" s="1"/>
  <c r="W44" i="2"/>
  <c r="L45" i="2" s="1"/>
  <c r="N45" i="2" l="1"/>
  <c r="O45" i="2" s="1"/>
  <c r="V45" i="2" l="1"/>
  <c r="K46" i="2" s="1"/>
  <c r="Q45" i="2"/>
  <c r="R45" i="2" s="1"/>
  <c r="P45" i="2"/>
  <c r="H45" i="2" s="1"/>
  <c r="T45" i="2"/>
  <c r="I46" i="2" s="1"/>
  <c r="U45" i="2"/>
  <c r="J46" i="2" s="1"/>
  <c r="X45" i="2"/>
  <c r="M46" i="2" s="1"/>
  <c r="W45" i="2"/>
  <c r="L46" i="2" s="1"/>
  <c r="N46" i="2" l="1"/>
  <c r="O46" i="2" s="1"/>
  <c r="V46" i="2" l="1"/>
  <c r="K47" i="2" s="1"/>
  <c r="Q46" i="2"/>
  <c r="R46" i="2" s="1"/>
  <c r="P46" i="2"/>
  <c r="H46" i="2" s="1"/>
  <c r="U46" i="2"/>
  <c r="J47" i="2" s="1"/>
  <c r="X46" i="2"/>
  <c r="M47" i="2" s="1"/>
  <c r="W46" i="2"/>
  <c r="L47" i="2" s="1"/>
  <c r="T46" i="2"/>
  <c r="I47" i="2" s="1"/>
  <c r="N47" i="2" l="1"/>
  <c r="O47" i="2" s="1"/>
  <c r="V47" i="2" l="1"/>
  <c r="K48" i="2" s="1"/>
  <c r="T47" i="2"/>
  <c r="I48" i="2" s="1"/>
  <c r="Q47" i="2"/>
  <c r="R47" i="2" s="1"/>
  <c r="P47" i="2"/>
  <c r="H47" i="2" s="1"/>
  <c r="W47" i="2"/>
  <c r="L48" i="2" s="1"/>
  <c r="U47" i="2"/>
  <c r="J48" i="2" s="1"/>
  <c r="X47" i="2"/>
  <c r="M48" i="2" s="1"/>
  <c r="N48" i="2" l="1"/>
  <c r="O48" i="2" s="1"/>
  <c r="V48" i="2" l="1"/>
  <c r="K49" i="2" s="1"/>
  <c r="U48" i="2"/>
  <c r="J49" i="2" s="1"/>
  <c r="T48" i="2"/>
  <c r="I49" i="2" s="1"/>
  <c r="Q48" i="2"/>
  <c r="R48" i="2" s="1"/>
  <c r="P48" i="2"/>
  <c r="H48" i="2" s="1"/>
  <c r="X48" i="2"/>
  <c r="M49" i="2" s="1"/>
  <c r="W48" i="2"/>
  <c r="L49" i="2" s="1"/>
  <c r="N49" i="2" l="1"/>
  <c r="O49" i="2" s="1"/>
  <c r="V49" i="2" l="1"/>
  <c r="K50" i="2" s="1"/>
  <c r="W49" i="2"/>
  <c r="L50" i="2" s="1"/>
  <c r="U49" i="2"/>
  <c r="J50" i="2" s="1"/>
  <c r="T49" i="2"/>
  <c r="I50" i="2" s="1"/>
  <c r="Q49" i="2"/>
  <c r="R49" i="2" s="1"/>
  <c r="P49" i="2"/>
  <c r="H49" i="2" s="1"/>
  <c r="X49" i="2"/>
  <c r="M50" i="2" s="1"/>
  <c r="N50" i="2" l="1"/>
  <c r="O50" i="2" s="1"/>
  <c r="V50" i="2" l="1"/>
  <c r="K51" i="2" s="1"/>
  <c r="X50" i="2"/>
  <c r="M51" i="2" s="1"/>
  <c r="W50" i="2"/>
  <c r="L51" i="2" s="1"/>
  <c r="U50" i="2"/>
  <c r="J51" i="2" s="1"/>
  <c r="T50" i="2"/>
  <c r="I51" i="2" s="1"/>
  <c r="Q50" i="2"/>
  <c r="R50" i="2" s="1"/>
  <c r="P50" i="2"/>
  <c r="H50" i="2" s="1"/>
  <c r="N51" i="2" l="1"/>
  <c r="O51" i="2" s="1"/>
  <c r="V51" i="2" l="1"/>
  <c r="K52" i="2" s="1"/>
  <c r="X51" i="2"/>
  <c r="M52" i="2" s="1"/>
  <c r="W51" i="2"/>
  <c r="L52" i="2" s="1"/>
  <c r="U51" i="2"/>
  <c r="J52" i="2" s="1"/>
  <c r="T51" i="2"/>
  <c r="I52" i="2" s="1"/>
  <c r="Q51" i="2"/>
  <c r="R51" i="2" s="1"/>
  <c r="P51" i="2"/>
  <c r="H51" i="2" s="1"/>
  <c r="N52" i="2" l="1"/>
  <c r="O52" i="2" s="1"/>
  <c r="V52" i="2" l="1"/>
  <c r="K53" i="2" s="1"/>
  <c r="X52" i="2"/>
  <c r="M53" i="2" s="1"/>
  <c r="W52" i="2"/>
  <c r="L53" i="2" s="1"/>
  <c r="U52" i="2"/>
  <c r="J53" i="2" s="1"/>
  <c r="T52" i="2"/>
  <c r="I53" i="2" s="1"/>
  <c r="Q52" i="2"/>
  <c r="R52" i="2" s="1"/>
  <c r="P52" i="2"/>
  <c r="H52" i="2" s="1"/>
  <c r="N53" i="2" l="1"/>
  <c r="O53" i="2" s="1"/>
  <c r="V53" i="2" l="1"/>
  <c r="K54" i="2" s="1"/>
  <c r="X53" i="2"/>
  <c r="M54" i="2" s="1"/>
  <c r="W53" i="2"/>
  <c r="L54" i="2" s="1"/>
  <c r="U53" i="2"/>
  <c r="J54" i="2" s="1"/>
  <c r="T53" i="2"/>
  <c r="I54" i="2" s="1"/>
  <c r="Q53" i="2"/>
  <c r="R53" i="2" s="1"/>
  <c r="P53" i="2"/>
  <c r="H53" i="2" s="1"/>
  <c r="N54" i="2" l="1"/>
  <c r="O54" i="2" s="1"/>
  <c r="V54" i="2" l="1"/>
  <c r="K55" i="2" s="1"/>
  <c r="X54" i="2"/>
  <c r="M55" i="2" s="1"/>
  <c r="W54" i="2"/>
  <c r="L55" i="2" s="1"/>
  <c r="U54" i="2"/>
  <c r="J55" i="2" s="1"/>
  <c r="T54" i="2"/>
  <c r="I55" i="2" s="1"/>
  <c r="P54" i="2"/>
  <c r="H54" i="2" s="1"/>
  <c r="Q54" i="2"/>
  <c r="R54" i="2" s="1"/>
  <c r="N55" i="2" l="1"/>
  <c r="O55" i="2" s="1"/>
  <c r="V55" i="2" l="1"/>
  <c r="K56" i="2" s="1"/>
  <c r="X55" i="2"/>
  <c r="M56" i="2" s="1"/>
  <c r="W55" i="2"/>
  <c r="L56" i="2" s="1"/>
  <c r="U55" i="2"/>
  <c r="J56" i="2" s="1"/>
  <c r="T55" i="2"/>
  <c r="I56" i="2" s="1"/>
  <c r="Q55" i="2"/>
  <c r="R55" i="2" s="1"/>
  <c r="P55" i="2"/>
  <c r="H55" i="2" s="1"/>
  <c r="N56" i="2" l="1"/>
  <c r="O56" i="2" s="1"/>
  <c r="V56" i="2" l="1"/>
  <c r="K57" i="2" s="1"/>
  <c r="T56" i="2"/>
  <c r="I57" i="2" s="1"/>
  <c r="X56" i="2"/>
  <c r="M57" i="2" s="1"/>
  <c r="W56" i="2"/>
  <c r="L57" i="2" s="1"/>
  <c r="U56" i="2"/>
  <c r="J57" i="2" s="1"/>
  <c r="P56" i="2"/>
  <c r="H56" i="2" s="1"/>
  <c r="Q56" i="2"/>
  <c r="R56" i="2" s="1"/>
  <c r="N57" i="2" l="1"/>
  <c r="O57" i="2" s="1"/>
  <c r="V57" i="2" l="1"/>
  <c r="K58" i="2" s="1"/>
  <c r="T57" i="2"/>
  <c r="I58" i="2" s="1"/>
  <c r="W57" i="2"/>
  <c r="L58" i="2" s="1"/>
  <c r="X57" i="2"/>
  <c r="M58" i="2" s="1"/>
  <c r="U57" i="2"/>
  <c r="J58" i="2" s="1"/>
  <c r="Q57" i="2"/>
  <c r="R57" i="2" s="1"/>
  <c r="P57" i="2"/>
  <c r="H57" i="2" s="1"/>
  <c r="N58" i="2" l="1"/>
  <c r="O58" i="2" s="1"/>
  <c r="V58" i="2" l="1"/>
  <c r="K59" i="2" s="1"/>
  <c r="T58" i="2"/>
  <c r="I59" i="2" s="1"/>
  <c r="P58" i="2"/>
  <c r="H58" i="2" s="1"/>
  <c r="X58" i="2"/>
  <c r="M59" i="2" s="1"/>
  <c r="W58" i="2"/>
  <c r="L59" i="2" s="1"/>
  <c r="U58" i="2"/>
  <c r="J59" i="2" s="1"/>
  <c r="Q58" i="2"/>
  <c r="R58" i="2" s="1"/>
  <c r="N59" i="2" l="1"/>
  <c r="O59" i="2" s="1"/>
  <c r="V59" i="2" l="1"/>
  <c r="K60" i="2" s="1"/>
  <c r="T59" i="2"/>
  <c r="I60" i="2" s="1"/>
  <c r="Q59" i="2"/>
  <c r="R59" i="2" s="1"/>
  <c r="P59" i="2"/>
  <c r="H59" i="2" s="1"/>
  <c r="W59" i="2"/>
  <c r="L60" i="2" s="1"/>
  <c r="X59" i="2"/>
  <c r="M60" i="2" s="1"/>
  <c r="U59" i="2"/>
  <c r="J60" i="2" s="1"/>
  <c r="N60" i="2" l="1"/>
  <c r="O60" i="2" s="1"/>
  <c r="V60" i="2" l="1"/>
  <c r="K61" i="2" s="1"/>
  <c r="T60" i="2"/>
  <c r="I61" i="2" s="1"/>
  <c r="W60" i="2"/>
  <c r="L61" i="2" s="1"/>
  <c r="U60" i="2"/>
  <c r="J61" i="2" s="1"/>
  <c r="Q60" i="2"/>
  <c r="R60" i="2" s="1"/>
  <c r="P60" i="2"/>
  <c r="H60" i="2" s="1"/>
  <c r="X60" i="2"/>
  <c r="M61" i="2" s="1"/>
  <c r="N61" i="2" l="1"/>
  <c r="O61" i="2" s="1"/>
  <c r="V61" i="2" l="1"/>
  <c r="K62" i="2" s="1"/>
  <c r="T61" i="2"/>
  <c r="I62" i="2" s="1"/>
  <c r="X61" i="2"/>
  <c r="M62" i="2" s="1"/>
  <c r="W61" i="2"/>
  <c r="L62" i="2" s="1"/>
  <c r="U61" i="2"/>
  <c r="J62" i="2" s="1"/>
  <c r="Q61" i="2"/>
  <c r="R61" i="2" s="1"/>
  <c r="P61" i="2"/>
  <c r="H61" i="2" s="1"/>
  <c r="N62" i="2" l="1"/>
  <c r="O62" i="2" s="1"/>
  <c r="V62" i="2" l="1"/>
  <c r="K63" i="2" s="1"/>
  <c r="T62" i="2"/>
  <c r="I63" i="2" s="1"/>
  <c r="X62" i="2"/>
  <c r="M63" i="2" s="1"/>
  <c r="W62" i="2"/>
  <c r="L63" i="2" s="1"/>
  <c r="U62" i="2"/>
  <c r="J63" i="2" s="1"/>
  <c r="Q62" i="2"/>
  <c r="R62" i="2" s="1"/>
  <c r="P62" i="2"/>
  <c r="H62" i="2" s="1"/>
  <c r="N63" i="2" l="1"/>
  <c r="O63" i="2" s="1"/>
  <c r="V63" i="2" l="1"/>
  <c r="K64" i="2" s="1"/>
  <c r="T63" i="2"/>
  <c r="I64" i="2" s="1"/>
  <c r="X63" i="2"/>
  <c r="M64" i="2" s="1"/>
  <c r="W63" i="2"/>
  <c r="L64" i="2" s="1"/>
  <c r="U63" i="2"/>
  <c r="J64" i="2" s="1"/>
  <c r="P63" i="2"/>
  <c r="H63" i="2" s="1"/>
  <c r="Q63" i="2"/>
  <c r="R63" i="2" s="1"/>
  <c r="N64" i="2" l="1"/>
  <c r="O64" i="2" s="1"/>
  <c r="V64" i="2" l="1"/>
  <c r="K65" i="2" s="1"/>
  <c r="T64" i="2"/>
  <c r="I65" i="2" s="1"/>
  <c r="X64" i="2"/>
  <c r="M65" i="2" s="1"/>
  <c r="W64" i="2"/>
  <c r="L65" i="2" s="1"/>
  <c r="U64" i="2"/>
  <c r="J65" i="2" s="1"/>
  <c r="Q64" i="2"/>
  <c r="R64" i="2" s="1"/>
  <c r="P64" i="2"/>
  <c r="H64" i="2" s="1"/>
  <c r="N65" i="2" l="1"/>
  <c r="O65" i="2" s="1"/>
  <c r="V65" i="2" l="1"/>
  <c r="K66" i="2" s="1"/>
  <c r="T65" i="2"/>
  <c r="I66" i="2" s="1"/>
  <c r="W65" i="2"/>
  <c r="L66" i="2" s="1"/>
  <c r="P65" i="2"/>
  <c r="H65" i="2" s="1"/>
  <c r="Q65" i="2"/>
  <c r="R65" i="2" s="1"/>
  <c r="X65" i="2"/>
  <c r="M66" i="2" s="1"/>
  <c r="U65" i="2"/>
  <c r="J66" i="2" s="1"/>
  <c r="N66" i="2" l="1"/>
  <c r="O66" i="2" s="1"/>
  <c r="V66" i="2" l="1"/>
  <c r="K67" i="2" s="1"/>
  <c r="T66" i="2"/>
  <c r="I67" i="2" s="1"/>
  <c r="P66" i="2"/>
  <c r="H66" i="2" s="1"/>
  <c r="Q66" i="2"/>
  <c r="R66" i="2" s="1"/>
  <c r="X66" i="2"/>
  <c r="M67" i="2" s="1"/>
  <c r="W66" i="2"/>
  <c r="L67" i="2" s="1"/>
  <c r="U66" i="2"/>
  <c r="J67" i="2" s="1"/>
  <c r="N67" i="2" l="1"/>
  <c r="O67" i="2" s="1"/>
  <c r="V67" i="2" l="1"/>
  <c r="K68" i="2" s="1"/>
  <c r="T67" i="2"/>
  <c r="I68" i="2" s="1"/>
  <c r="Q67" i="2"/>
  <c r="R67" i="2" s="1"/>
  <c r="P67" i="2"/>
  <c r="H67" i="2" s="1"/>
  <c r="X67" i="2"/>
  <c r="M68" i="2" s="1"/>
  <c r="W67" i="2"/>
  <c r="L68" i="2" s="1"/>
  <c r="U67" i="2"/>
  <c r="J68" i="2" s="1"/>
  <c r="N68" i="2" l="1"/>
  <c r="O68" i="2" s="1"/>
  <c r="V68" i="2" l="1"/>
  <c r="K69" i="2" s="1"/>
  <c r="T68" i="2"/>
  <c r="I69" i="2" s="1"/>
  <c r="W68" i="2"/>
  <c r="L69" i="2" s="1"/>
  <c r="U68" i="2"/>
  <c r="J69" i="2" s="1"/>
  <c r="Q68" i="2"/>
  <c r="R68" i="2" s="1"/>
  <c r="P68" i="2"/>
  <c r="H68" i="2" s="1"/>
  <c r="X68" i="2"/>
  <c r="M69" i="2" s="1"/>
  <c r="N69" i="2" l="1"/>
  <c r="O69" i="2" s="1"/>
  <c r="V69" i="2" l="1"/>
  <c r="K70" i="2" s="1"/>
  <c r="T69" i="2"/>
  <c r="I70" i="2" s="1"/>
  <c r="X69" i="2"/>
  <c r="M70" i="2" s="1"/>
  <c r="W69" i="2"/>
  <c r="L70" i="2" s="1"/>
  <c r="U69" i="2"/>
  <c r="J70" i="2" s="1"/>
  <c r="Q69" i="2"/>
  <c r="R69" i="2" s="1"/>
  <c r="P69" i="2"/>
  <c r="H69" i="2" s="1"/>
  <c r="N70" i="2" l="1"/>
  <c r="O70" i="2" s="1"/>
  <c r="V70" i="2" l="1"/>
  <c r="K71" i="2" s="1"/>
  <c r="T70" i="2"/>
  <c r="I71" i="2" s="1"/>
  <c r="X70" i="2"/>
  <c r="M71" i="2" s="1"/>
  <c r="W70" i="2"/>
  <c r="L71" i="2" s="1"/>
  <c r="U70" i="2"/>
  <c r="J71" i="2" s="1"/>
  <c r="Q70" i="2"/>
  <c r="R70" i="2" s="1"/>
  <c r="P70" i="2"/>
  <c r="H70" i="2" s="1"/>
  <c r="N71" i="2" l="1"/>
  <c r="O71" i="2" s="1"/>
  <c r="V71" i="2" l="1"/>
  <c r="K72" i="2" s="1"/>
  <c r="T71" i="2"/>
  <c r="I72" i="2" s="1"/>
  <c r="X71" i="2"/>
  <c r="M72" i="2" s="1"/>
  <c r="W71" i="2"/>
  <c r="L72" i="2" s="1"/>
  <c r="U71" i="2"/>
  <c r="J72" i="2" s="1"/>
  <c r="Q71" i="2"/>
  <c r="R71" i="2" s="1"/>
  <c r="P71" i="2"/>
  <c r="H71" i="2" s="1"/>
  <c r="N72" i="2" l="1"/>
  <c r="O72" i="2" s="1"/>
  <c r="V72" i="2" l="1"/>
  <c r="K73" i="2" s="1"/>
  <c r="T72" i="2"/>
  <c r="I73" i="2" s="1"/>
  <c r="X72" i="2"/>
  <c r="M73" i="2" s="1"/>
  <c r="W72" i="2"/>
  <c r="L73" i="2" s="1"/>
  <c r="U72" i="2"/>
  <c r="J73" i="2" s="1"/>
  <c r="Q72" i="2"/>
  <c r="R72" i="2" s="1"/>
  <c r="P72" i="2"/>
  <c r="H72" i="2" s="1"/>
  <c r="N73" i="2" l="1"/>
  <c r="O73" i="2" s="1"/>
  <c r="V73" i="2" l="1"/>
  <c r="K74" i="2" s="1"/>
  <c r="T73" i="2"/>
  <c r="I74" i="2" s="1"/>
  <c r="X73" i="2"/>
  <c r="M74" i="2" s="1"/>
  <c r="W73" i="2"/>
  <c r="L74" i="2" s="1"/>
  <c r="U73" i="2"/>
  <c r="J74" i="2" s="1"/>
  <c r="Q73" i="2"/>
  <c r="R73" i="2" s="1"/>
  <c r="P73" i="2"/>
  <c r="H73" i="2" s="1"/>
  <c r="N74" i="2" l="1"/>
  <c r="O74" i="2" s="1"/>
  <c r="V74" i="2" l="1"/>
  <c r="K75" i="2" s="1"/>
  <c r="T74" i="2"/>
  <c r="I75" i="2" s="1"/>
  <c r="P74" i="2"/>
  <c r="H74" i="2" s="1"/>
  <c r="U74" i="2"/>
  <c r="J75" i="2" s="1"/>
  <c r="X74" i="2"/>
  <c r="M75" i="2" s="1"/>
  <c r="W74" i="2"/>
  <c r="L75" i="2" s="1"/>
  <c r="Q74" i="2"/>
  <c r="R74" i="2" s="1"/>
  <c r="N75" i="2" l="1"/>
  <c r="O75" i="2" s="1"/>
  <c r="V75" i="2" l="1"/>
  <c r="K76" i="2" s="1"/>
  <c r="T75" i="2"/>
  <c r="I76" i="2" s="1"/>
  <c r="Q75" i="2"/>
  <c r="R75" i="2" s="1"/>
  <c r="P75" i="2"/>
  <c r="H75" i="2" s="1"/>
  <c r="X75" i="2"/>
  <c r="M76" i="2" s="1"/>
  <c r="W75" i="2"/>
  <c r="L76" i="2" s="1"/>
  <c r="U75" i="2"/>
  <c r="J76" i="2" s="1"/>
  <c r="N76" i="2" l="1"/>
  <c r="O76" i="2" s="1"/>
  <c r="V76" i="2" l="1"/>
  <c r="K77" i="2" s="1"/>
  <c r="T76" i="2"/>
  <c r="I77" i="2" s="1"/>
  <c r="W76" i="2"/>
  <c r="L77" i="2" s="1"/>
  <c r="U76" i="2"/>
  <c r="J77" i="2" s="1"/>
  <c r="Q76" i="2"/>
  <c r="R76" i="2" s="1"/>
  <c r="P76" i="2"/>
  <c r="H76" i="2" s="1"/>
  <c r="X76" i="2"/>
  <c r="M77" i="2" s="1"/>
  <c r="N77" i="2" l="1"/>
  <c r="O77" i="2" s="1"/>
  <c r="V77" i="2" l="1"/>
  <c r="K78" i="2" s="1"/>
  <c r="T77" i="2"/>
  <c r="I78" i="2" s="1"/>
  <c r="X77" i="2"/>
  <c r="M78" i="2" s="1"/>
  <c r="W77" i="2"/>
  <c r="L78" i="2" s="1"/>
  <c r="U77" i="2"/>
  <c r="J78" i="2" s="1"/>
  <c r="Q77" i="2"/>
  <c r="R77" i="2" s="1"/>
  <c r="P77" i="2"/>
  <c r="H77" i="2" s="1"/>
  <c r="N78" i="2" l="1"/>
  <c r="O78" i="2" s="1"/>
  <c r="V78" i="2" l="1"/>
  <c r="K79" i="2" s="1"/>
  <c r="T78" i="2"/>
  <c r="I79" i="2" s="1"/>
  <c r="X78" i="2"/>
  <c r="M79" i="2" s="1"/>
  <c r="W78" i="2"/>
  <c r="L79" i="2" s="1"/>
  <c r="U78" i="2"/>
  <c r="J79" i="2" s="1"/>
  <c r="Q78" i="2"/>
  <c r="R78" i="2" s="1"/>
  <c r="P78" i="2"/>
  <c r="H78" i="2" s="1"/>
  <c r="N79" i="2" l="1"/>
  <c r="O79" i="2" s="1"/>
  <c r="V79" i="2" l="1"/>
  <c r="K80" i="2" s="1"/>
  <c r="T79" i="2"/>
  <c r="I80" i="2" s="1"/>
  <c r="X79" i="2"/>
  <c r="M80" i="2" s="1"/>
  <c r="W79" i="2"/>
  <c r="L80" i="2" s="1"/>
  <c r="U79" i="2"/>
  <c r="J80" i="2" s="1"/>
  <c r="Q79" i="2"/>
  <c r="R79" i="2" s="1"/>
  <c r="P79" i="2"/>
  <c r="H79" i="2" s="1"/>
  <c r="N80" i="2" l="1"/>
  <c r="O80" i="2" s="1"/>
  <c r="V80" i="2" l="1"/>
  <c r="K81" i="2" s="1"/>
  <c r="U80" i="2"/>
  <c r="J81" i="2" s="1"/>
  <c r="T80" i="2"/>
  <c r="I81" i="2" s="1"/>
  <c r="X80" i="2"/>
  <c r="M81" i="2" s="1"/>
  <c r="W80" i="2"/>
  <c r="L81" i="2" s="1"/>
  <c r="P80" i="2"/>
  <c r="H80" i="2" s="1"/>
  <c r="Q80" i="2"/>
  <c r="R80" i="2" s="1"/>
  <c r="N81" i="2" l="1"/>
  <c r="O81" i="2" s="1"/>
  <c r="V81" i="2" l="1"/>
  <c r="K82" i="2" s="1"/>
  <c r="U81" i="2"/>
  <c r="J82" i="2" s="1"/>
  <c r="T81" i="2"/>
  <c r="I82" i="2" s="1"/>
  <c r="X81" i="2"/>
  <c r="M82" i="2" s="1"/>
  <c r="W81" i="2"/>
  <c r="L82" i="2" s="1"/>
  <c r="Q81" i="2"/>
  <c r="R81" i="2" s="1"/>
  <c r="P81" i="2"/>
  <c r="H81" i="2" s="1"/>
  <c r="N82" i="2" l="1"/>
  <c r="O82" i="2" s="1"/>
  <c r="V82" i="2" l="1"/>
  <c r="K83" i="2" s="1"/>
  <c r="U82" i="2"/>
  <c r="J83" i="2" s="1"/>
  <c r="T82" i="2"/>
  <c r="I83" i="2" s="1"/>
  <c r="Q82" i="2"/>
  <c r="R82" i="2" s="1"/>
  <c r="P82" i="2"/>
  <c r="H82" i="2" s="1"/>
  <c r="X82" i="2"/>
  <c r="M83" i="2" s="1"/>
  <c r="W82" i="2"/>
  <c r="L83" i="2" s="1"/>
  <c r="N83" i="2" l="1"/>
  <c r="O83" i="2" s="1"/>
  <c r="V83" i="2" l="1"/>
  <c r="K84" i="2" s="1"/>
  <c r="U83" i="2"/>
  <c r="J84" i="2" s="1"/>
  <c r="T83" i="2"/>
  <c r="I84" i="2" s="1"/>
  <c r="X83" i="2"/>
  <c r="M84" i="2" s="1"/>
  <c r="W83" i="2"/>
  <c r="L84" i="2" s="1"/>
  <c r="Q83" i="2"/>
  <c r="R83" i="2" s="1"/>
  <c r="P83" i="2"/>
  <c r="H83" i="2" s="1"/>
  <c r="M7" i="3" l="1"/>
  <c r="L7" i="3"/>
  <c r="I7" i="3"/>
  <c r="N84" i="2"/>
  <c r="O84" i="2" s="1"/>
  <c r="J7" i="3"/>
  <c r="K7" i="3"/>
  <c r="U84" i="2" l="1"/>
  <c r="J85" i="2" s="1"/>
  <c r="T84" i="2"/>
  <c r="I85" i="2" s="1"/>
  <c r="X84" i="2"/>
  <c r="M85" i="2" s="1"/>
  <c r="W84" i="2"/>
  <c r="L85" i="2" s="1"/>
  <c r="V84" i="2"/>
  <c r="K85" i="2" s="1"/>
  <c r="Q84" i="2"/>
  <c r="R84" i="2" s="1"/>
  <c r="S84" i="2" s="1"/>
  <c r="C409" i="2" s="1"/>
  <c r="P84" i="2"/>
  <c r="H84" i="2" s="1"/>
  <c r="F409" i="2" s="1"/>
  <c r="N7" i="3"/>
  <c r="O7" i="3" s="1"/>
  <c r="P7" i="3" l="1"/>
  <c r="H7" i="3" s="1"/>
  <c r="Q7" i="3"/>
  <c r="R7" i="3" s="1"/>
  <c r="X7" i="3"/>
  <c r="M8" i="3" s="1"/>
  <c r="V7" i="3"/>
  <c r="K8" i="3" s="1"/>
  <c r="T7" i="3"/>
  <c r="I8" i="3" s="1"/>
  <c r="W7" i="3"/>
  <c r="L8" i="3" s="1"/>
  <c r="U7" i="3"/>
  <c r="J8" i="3" s="1"/>
  <c r="N85" i="2"/>
  <c r="O85" i="2" s="1"/>
  <c r="U85" i="2" l="1"/>
  <c r="J86" i="2" s="1"/>
  <c r="T85" i="2"/>
  <c r="I86" i="2" s="1"/>
  <c r="X85" i="2"/>
  <c r="M86" i="2" s="1"/>
  <c r="W85" i="2"/>
  <c r="L86" i="2" s="1"/>
  <c r="V85" i="2"/>
  <c r="K86" i="2" s="1"/>
  <c r="Q85" i="2"/>
  <c r="R85" i="2" s="1"/>
  <c r="P85" i="2"/>
  <c r="H85" i="2" s="1"/>
  <c r="N8" i="3"/>
  <c r="O8" i="3" s="1"/>
  <c r="W8" i="3" l="1"/>
  <c r="L9" i="3" s="1"/>
  <c r="V8" i="3"/>
  <c r="K9" i="3" s="1"/>
  <c r="U8" i="3"/>
  <c r="J9" i="3" s="1"/>
  <c r="X8" i="3"/>
  <c r="M9" i="3" s="1"/>
  <c r="Q8" i="3"/>
  <c r="R8" i="3" s="1"/>
  <c r="P8" i="3"/>
  <c r="H8" i="3" s="1"/>
  <c r="T8" i="3"/>
  <c r="I9" i="3" s="1"/>
  <c r="N86" i="2"/>
  <c r="O86" i="2" s="1"/>
  <c r="N9" i="3" l="1"/>
  <c r="O9" i="3" s="1"/>
  <c r="U86" i="2"/>
  <c r="J87" i="2" s="1"/>
  <c r="T86" i="2"/>
  <c r="I87" i="2" s="1"/>
  <c r="Q86" i="2"/>
  <c r="R86" i="2" s="1"/>
  <c r="P86" i="2"/>
  <c r="H86" i="2" s="1"/>
  <c r="X86" i="2"/>
  <c r="M87" i="2" s="1"/>
  <c r="W86" i="2"/>
  <c r="L87" i="2" s="1"/>
  <c r="V86" i="2"/>
  <c r="K87" i="2" s="1"/>
  <c r="N87" i="2" l="1"/>
  <c r="O87" i="2" s="1"/>
  <c r="U9" i="3"/>
  <c r="J10" i="3" s="1"/>
  <c r="X9" i="3"/>
  <c r="M10" i="3" s="1"/>
  <c r="W9" i="3"/>
  <c r="L10" i="3" s="1"/>
  <c r="V9" i="3"/>
  <c r="K10" i="3" s="1"/>
  <c r="Q9" i="3"/>
  <c r="R9" i="3" s="1"/>
  <c r="P9" i="3"/>
  <c r="H9" i="3" s="1"/>
  <c r="T9" i="3"/>
  <c r="I10" i="3" s="1"/>
  <c r="N10" i="3" l="1"/>
  <c r="O10" i="3" s="1"/>
  <c r="U87" i="2"/>
  <c r="J88" i="2" s="1"/>
  <c r="T87" i="2"/>
  <c r="I88" i="2" s="1"/>
  <c r="X87" i="2"/>
  <c r="M88" i="2" s="1"/>
  <c r="W87" i="2"/>
  <c r="L88" i="2" s="1"/>
  <c r="V87" i="2"/>
  <c r="K88" i="2" s="1"/>
  <c r="Q87" i="2"/>
  <c r="R87" i="2" s="1"/>
  <c r="P87" i="2"/>
  <c r="H87" i="2" s="1"/>
  <c r="N88" i="2" l="1"/>
  <c r="O88" i="2" s="1"/>
  <c r="Q10" i="3"/>
  <c r="R10" i="3" s="1"/>
  <c r="P10" i="3"/>
  <c r="H10" i="3" s="1"/>
  <c r="X10" i="3"/>
  <c r="M11" i="3" s="1"/>
  <c r="W10" i="3"/>
  <c r="L11" i="3" s="1"/>
  <c r="V10" i="3"/>
  <c r="K11" i="3" s="1"/>
  <c r="U10" i="3"/>
  <c r="J11" i="3" s="1"/>
  <c r="T10" i="3"/>
  <c r="I11" i="3" s="1"/>
  <c r="N11" i="3" l="1"/>
  <c r="O11" i="3" s="1"/>
  <c r="U88" i="2"/>
  <c r="J89" i="2" s="1"/>
  <c r="T88" i="2"/>
  <c r="I89" i="2" s="1"/>
  <c r="X88" i="2"/>
  <c r="M89" i="2" s="1"/>
  <c r="W88" i="2"/>
  <c r="L89" i="2" s="1"/>
  <c r="V88" i="2"/>
  <c r="K89" i="2" s="1"/>
  <c r="Q88" i="2"/>
  <c r="R88" i="2" s="1"/>
  <c r="P88" i="2"/>
  <c r="H88" i="2" s="1"/>
  <c r="N89" i="2" l="1"/>
  <c r="O89" i="2" s="1"/>
  <c r="X11" i="3"/>
  <c r="M12" i="3" s="1"/>
  <c r="W11" i="3"/>
  <c r="L12" i="3" s="1"/>
  <c r="U11" i="3"/>
  <c r="J12" i="3" s="1"/>
  <c r="P11" i="3"/>
  <c r="H11" i="3" s="1"/>
  <c r="V11" i="3"/>
  <c r="K12" i="3" s="1"/>
  <c r="T11" i="3"/>
  <c r="I12" i="3" s="1"/>
  <c r="Q11" i="3"/>
  <c r="R11" i="3" s="1"/>
  <c r="N12" i="3" l="1"/>
  <c r="O12" i="3" s="1"/>
  <c r="U89" i="2"/>
  <c r="J90" i="2" s="1"/>
  <c r="T89" i="2"/>
  <c r="I90" i="2" s="1"/>
  <c r="P89" i="2"/>
  <c r="H89" i="2" s="1"/>
  <c r="W89" i="2"/>
  <c r="L90" i="2" s="1"/>
  <c r="X89" i="2"/>
  <c r="M90" i="2" s="1"/>
  <c r="V89" i="2"/>
  <c r="K90" i="2" s="1"/>
  <c r="Q89" i="2"/>
  <c r="R89" i="2" s="1"/>
  <c r="N90" i="2" l="1"/>
  <c r="O90" i="2" s="1"/>
  <c r="W12" i="3"/>
  <c r="L13" i="3" s="1"/>
  <c r="U12" i="3"/>
  <c r="J13" i="3" s="1"/>
  <c r="X12" i="3"/>
  <c r="M13" i="3" s="1"/>
  <c r="V12" i="3"/>
  <c r="K13" i="3" s="1"/>
  <c r="T12" i="3"/>
  <c r="I13" i="3" s="1"/>
  <c r="Q12" i="3"/>
  <c r="R12" i="3" s="1"/>
  <c r="P12" i="3"/>
  <c r="H12" i="3" s="1"/>
  <c r="N13" i="3" l="1"/>
  <c r="O13" i="3" s="1"/>
  <c r="U90" i="2"/>
  <c r="J91" i="2" s="1"/>
  <c r="T90" i="2"/>
  <c r="I91" i="2" s="1"/>
  <c r="X90" i="2"/>
  <c r="M91" i="2" s="1"/>
  <c r="W90" i="2"/>
  <c r="L91" i="2" s="1"/>
  <c r="V90" i="2"/>
  <c r="K91" i="2" s="1"/>
  <c r="Q90" i="2"/>
  <c r="R90" i="2" s="1"/>
  <c r="P90" i="2"/>
  <c r="H90" i="2" s="1"/>
  <c r="N91" i="2" l="1"/>
  <c r="O91" i="2" s="1"/>
  <c r="U13" i="3"/>
  <c r="J14" i="3" s="1"/>
  <c r="T13" i="3"/>
  <c r="I14" i="3" s="1"/>
  <c r="P13" i="3"/>
  <c r="H13" i="3" s="1"/>
  <c r="X13" i="3"/>
  <c r="M14" i="3" s="1"/>
  <c r="W13" i="3"/>
  <c r="L14" i="3" s="1"/>
  <c r="V13" i="3"/>
  <c r="K14" i="3" s="1"/>
  <c r="Q13" i="3"/>
  <c r="R13" i="3" s="1"/>
  <c r="N14" i="3" l="1"/>
  <c r="O14" i="3" s="1"/>
  <c r="U91" i="2"/>
  <c r="J92" i="2" s="1"/>
  <c r="T91" i="2"/>
  <c r="I92" i="2" s="1"/>
  <c r="X91" i="2"/>
  <c r="M92" i="2" s="1"/>
  <c r="W91" i="2"/>
  <c r="L92" i="2" s="1"/>
  <c r="V91" i="2"/>
  <c r="K92" i="2" s="1"/>
  <c r="Q91" i="2"/>
  <c r="R91" i="2" s="1"/>
  <c r="P91" i="2"/>
  <c r="H91" i="2" s="1"/>
  <c r="N92" i="2" l="1"/>
  <c r="O92" i="2" s="1"/>
  <c r="W14" i="3"/>
  <c r="L15" i="3" s="1"/>
  <c r="V14" i="3"/>
  <c r="K15" i="3" s="1"/>
  <c r="P14" i="3"/>
  <c r="H14" i="3" s="1"/>
  <c r="X14" i="3"/>
  <c r="M15" i="3" s="1"/>
  <c r="U14" i="3"/>
  <c r="J15" i="3" s="1"/>
  <c r="T14" i="3"/>
  <c r="I15" i="3" s="1"/>
  <c r="Q14" i="3"/>
  <c r="R14" i="3" s="1"/>
  <c r="N15" i="3" l="1"/>
  <c r="O15" i="3" s="1"/>
  <c r="U92" i="2"/>
  <c r="J93" i="2" s="1"/>
  <c r="T92" i="2"/>
  <c r="I93" i="2" s="1"/>
  <c r="X92" i="2"/>
  <c r="M93" i="2" s="1"/>
  <c r="V92" i="2"/>
  <c r="K93" i="2" s="1"/>
  <c r="W92" i="2"/>
  <c r="L93" i="2" s="1"/>
  <c r="Q92" i="2"/>
  <c r="R92" i="2" s="1"/>
  <c r="P92" i="2"/>
  <c r="H92" i="2" s="1"/>
  <c r="N93" i="2" l="1"/>
  <c r="O93" i="2" s="1"/>
  <c r="P15" i="3"/>
  <c r="H15" i="3" s="1"/>
  <c r="X15" i="3"/>
  <c r="M16" i="3" s="1"/>
  <c r="W15" i="3"/>
  <c r="L16" i="3" s="1"/>
  <c r="V15" i="3"/>
  <c r="K16" i="3" s="1"/>
  <c r="U15" i="3"/>
  <c r="J16" i="3" s="1"/>
  <c r="T15" i="3"/>
  <c r="I16" i="3" s="1"/>
  <c r="Q15" i="3"/>
  <c r="R15" i="3" s="1"/>
  <c r="N16" i="3" l="1"/>
  <c r="O16" i="3" s="1"/>
  <c r="U93" i="2"/>
  <c r="J94" i="2" s="1"/>
  <c r="T93" i="2"/>
  <c r="I94" i="2" s="1"/>
  <c r="X93" i="2"/>
  <c r="M94" i="2" s="1"/>
  <c r="W93" i="2"/>
  <c r="L94" i="2" s="1"/>
  <c r="V93" i="2"/>
  <c r="K94" i="2" s="1"/>
  <c r="Q93" i="2"/>
  <c r="R93" i="2" s="1"/>
  <c r="P93" i="2"/>
  <c r="H93" i="2" s="1"/>
  <c r="N94" i="2" l="1"/>
  <c r="O94" i="2" s="1"/>
  <c r="W16" i="3"/>
  <c r="L17" i="3" s="1"/>
  <c r="V16" i="3"/>
  <c r="K17" i="3" s="1"/>
  <c r="U16" i="3"/>
  <c r="J17" i="3" s="1"/>
  <c r="Q16" i="3"/>
  <c r="R16" i="3" s="1"/>
  <c r="X16" i="3"/>
  <c r="M17" i="3" s="1"/>
  <c r="P16" i="3"/>
  <c r="H16" i="3" s="1"/>
  <c r="T16" i="3"/>
  <c r="I17" i="3" s="1"/>
  <c r="N17" i="3" l="1"/>
  <c r="O17" i="3" s="1"/>
  <c r="U94" i="2"/>
  <c r="J95" i="2" s="1"/>
  <c r="T94" i="2"/>
  <c r="I95" i="2" s="1"/>
  <c r="X94" i="2"/>
  <c r="M95" i="2" s="1"/>
  <c r="W94" i="2"/>
  <c r="L95" i="2" s="1"/>
  <c r="V94" i="2"/>
  <c r="K95" i="2" s="1"/>
  <c r="Q94" i="2"/>
  <c r="R94" i="2" s="1"/>
  <c r="P94" i="2"/>
  <c r="H94" i="2" s="1"/>
  <c r="N95" i="2" l="1"/>
  <c r="O95" i="2" s="1"/>
  <c r="X17" i="3"/>
  <c r="M18" i="3" s="1"/>
  <c r="V17" i="3"/>
  <c r="K18" i="3" s="1"/>
  <c r="U17" i="3"/>
  <c r="J18" i="3" s="1"/>
  <c r="T17" i="3"/>
  <c r="I18" i="3" s="1"/>
  <c r="W17" i="3"/>
  <c r="L18" i="3" s="1"/>
  <c r="Q17" i="3"/>
  <c r="R17" i="3" s="1"/>
  <c r="P17" i="3"/>
  <c r="H17" i="3" s="1"/>
  <c r="N18" i="3" l="1"/>
  <c r="O18" i="3" s="1"/>
  <c r="U95" i="2"/>
  <c r="J96" i="2" s="1"/>
  <c r="T95" i="2"/>
  <c r="I96" i="2" s="1"/>
  <c r="X95" i="2"/>
  <c r="M96" i="2" s="1"/>
  <c r="W95" i="2"/>
  <c r="L96" i="2" s="1"/>
  <c r="Q95" i="2"/>
  <c r="R95" i="2" s="1"/>
  <c r="V95" i="2"/>
  <c r="K96" i="2" s="1"/>
  <c r="P95" i="2"/>
  <c r="H95" i="2" s="1"/>
  <c r="N96" i="2" l="1"/>
  <c r="O96" i="2" s="1"/>
  <c r="Q18" i="3"/>
  <c r="R18" i="3" s="1"/>
  <c r="P18" i="3"/>
  <c r="H18" i="3" s="1"/>
  <c r="V18" i="3"/>
  <c r="K19" i="3" s="1"/>
  <c r="U18" i="3"/>
  <c r="J19" i="3" s="1"/>
  <c r="T18" i="3"/>
  <c r="I19" i="3" s="1"/>
  <c r="X18" i="3"/>
  <c r="M19" i="3" s="1"/>
  <c r="W18" i="3"/>
  <c r="L19" i="3" s="1"/>
  <c r="N19" i="3" l="1"/>
  <c r="O19" i="3" s="1"/>
  <c r="U96" i="2"/>
  <c r="J97" i="2" s="1"/>
  <c r="T96" i="2"/>
  <c r="I97" i="2" s="1"/>
  <c r="W96" i="2"/>
  <c r="L97" i="2" s="1"/>
  <c r="V96" i="2"/>
  <c r="K97" i="2" s="1"/>
  <c r="Q96" i="2"/>
  <c r="R96" i="2" s="1"/>
  <c r="P96" i="2"/>
  <c r="H96" i="2" s="1"/>
  <c r="X96" i="2"/>
  <c r="M97" i="2" s="1"/>
  <c r="N97" i="2" l="1"/>
  <c r="O97" i="2" s="1"/>
  <c r="X19" i="3"/>
  <c r="M20" i="3" s="1"/>
  <c r="W19" i="3"/>
  <c r="L20" i="3" s="1"/>
  <c r="V19" i="3"/>
  <c r="K20" i="3" s="1"/>
  <c r="U19" i="3"/>
  <c r="J20" i="3" s="1"/>
  <c r="T19" i="3"/>
  <c r="I20" i="3" s="1"/>
  <c r="Q19" i="3"/>
  <c r="R19" i="3" s="1"/>
  <c r="P19" i="3"/>
  <c r="H19" i="3" s="1"/>
  <c r="N20" i="3" l="1"/>
  <c r="O20" i="3" s="1"/>
  <c r="V97" i="2"/>
  <c r="K98" i="2" s="1"/>
  <c r="U97" i="2"/>
  <c r="J98" i="2" s="1"/>
  <c r="T97" i="2"/>
  <c r="I98" i="2" s="1"/>
  <c r="P97" i="2"/>
  <c r="H97" i="2" s="1"/>
  <c r="X97" i="2"/>
  <c r="M98" i="2" s="1"/>
  <c r="W97" i="2"/>
  <c r="L98" i="2" s="1"/>
  <c r="Q97" i="2"/>
  <c r="R97" i="2" s="1"/>
  <c r="N98" i="2" l="1"/>
  <c r="O98" i="2" s="1"/>
  <c r="X20" i="3"/>
  <c r="M21" i="3" s="1"/>
  <c r="W20" i="3"/>
  <c r="L21" i="3" s="1"/>
  <c r="V20" i="3"/>
  <c r="K21" i="3" s="1"/>
  <c r="U20" i="3"/>
  <c r="J21" i="3" s="1"/>
  <c r="Q20" i="3"/>
  <c r="R20" i="3" s="1"/>
  <c r="T20" i="3"/>
  <c r="I21" i="3" s="1"/>
  <c r="P20" i="3"/>
  <c r="H20" i="3" s="1"/>
  <c r="N21" i="3" l="1"/>
  <c r="O21" i="3" s="1"/>
  <c r="W98" i="2"/>
  <c r="L99" i="2" s="1"/>
  <c r="V98" i="2"/>
  <c r="K99" i="2" s="1"/>
  <c r="U98" i="2"/>
  <c r="J99" i="2" s="1"/>
  <c r="Q98" i="2"/>
  <c r="R98" i="2" s="1"/>
  <c r="X98" i="2"/>
  <c r="M99" i="2" s="1"/>
  <c r="T98" i="2"/>
  <c r="I99" i="2" s="1"/>
  <c r="P98" i="2"/>
  <c r="H98" i="2" s="1"/>
  <c r="N99" i="2" l="1"/>
  <c r="O99" i="2" s="1"/>
  <c r="U21" i="3"/>
  <c r="J22" i="3" s="1"/>
  <c r="T21" i="3"/>
  <c r="I22" i="3" s="1"/>
  <c r="Q21" i="3"/>
  <c r="R21" i="3" s="1"/>
  <c r="P21" i="3"/>
  <c r="H21" i="3" s="1"/>
  <c r="X21" i="3"/>
  <c r="M22" i="3" s="1"/>
  <c r="W21" i="3"/>
  <c r="L22" i="3" s="1"/>
  <c r="V21" i="3"/>
  <c r="K22" i="3" s="1"/>
  <c r="N22" i="3" l="1"/>
  <c r="O22" i="3" s="1"/>
  <c r="X99" i="2"/>
  <c r="M100" i="2" s="1"/>
  <c r="W99" i="2"/>
  <c r="L100" i="2" s="1"/>
  <c r="V99" i="2"/>
  <c r="K100" i="2" s="1"/>
  <c r="P99" i="2"/>
  <c r="H99" i="2" s="1"/>
  <c r="U99" i="2"/>
  <c r="J100" i="2" s="1"/>
  <c r="T99" i="2"/>
  <c r="I100" i="2" s="1"/>
  <c r="Q99" i="2"/>
  <c r="R99" i="2" s="1"/>
  <c r="N100" i="2" l="1"/>
  <c r="O100" i="2" s="1"/>
  <c r="X22" i="3"/>
  <c r="M23" i="3" s="1"/>
  <c r="W22" i="3"/>
  <c r="L23" i="3" s="1"/>
  <c r="V22" i="3"/>
  <c r="K23" i="3" s="1"/>
  <c r="T22" i="3"/>
  <c r="I23" i="3" s="1"/>
  <c r="Q22" i="3"/>
  <c r="R22" i="3" s="1"/>
  <c r="P22" i="3"/>
  <c r="H22" i="3" s="1"/>
  <c r="U22" i="3"/>
  <c r="J23" i="3" s="1"/>
  <c r="N23" i="3" l="1"/>
  <c r="O23" i="3" s="1"/>
  <c r="X100" i="2"/>
  <c r="M101" i="2" s="1"/>
  <c r="W100" i="2"/>
  <c r="L101" i="2" s="1"/>
  <c r="T100" i="2"/>
  <c r="I101" i="2" s="1"/>
  <c r="Q100" i="2"/>
  <c r="R100" i="2" s="1"/>
  <c r="V100" i="2"/>
  <c r="K101" i="2" s="1"/>
  <c r="U100" i="2"/>
  <c r="J101" i="2" s="1"/>
  <c r="P100" i="2"/>
  <c r="H100" i="2" s="1"/>
  <c r="N101" i="2" l="1"/>
  <c r="O101" i="2" s="1"/>
  <c r="P23" i="3"/>
  <c r="H23" i="3" s="1"/>
  <c r="X23" i="3"/>
  <c r="M24" i="3" s="1"/>
  <c r="W23" i="3"/>
  <c r="L24" i="3" s="1"/>
  <c r="T23" i="3"/>
  <c r="I24" i="3" s="1"/>
  <c r="Q23" i="3"/>
  <c r="R23" i="3" s="1"/>
  <c r="V23" i="3"/>
  <c r="K24" i="3" s="1"/>
  <c r="U23" i="3"/>
  <c r="J24" i="3" s="1"/>
  <c r="N24" i="3" l="1"/>
  <c r="O24" i="3" s="1"/>
  <c r="X101" i="2"/>
  <c r="M102" i="2" s="1"/>
  <c r="U101" i="2"/>
  <c r="J102" i="2" s="1"/>
  <c r="W101" i="2"/>
  <c r="L102" i="2" s="1"/>
  <c r="V101" i="2"/>
  <c r="K102" i="2" s="1"/>
  <c r="T101" i="2"/>
  <c r="I102" i="2" s="1"/>
  <c r="Q101" i="2"/>
  <c r="R101" i="2" s="1"/>
  <c r="P101" i="2"/>
  <c r="H101" i="2" s="1"/>
  <c r="N102" i="2" l="1"/>
  <c r="O102" i="2" s="1"/>
  <c r="W24" i="3"/>
  <c r="L25" i="3" s="1"/>
  <c r="V24" i="3"/>
  <c r="K25" i="3" s="1"/>
  <c r="U24" i="3"/>
  <c r="J25" i="3" s="1"/>
  <c r="T24" i="3"/>
  <c r="I25" i="3" s="1"/>
  <c r="Q24" i="3"/>
  <c r="R24" i="3" s="1"/>
  <c r="X24" i="3"/>
  <c r="M25" i="3" s="1"/>
  <c r="P24" i="3"/>
  <c r="H24" i="3" s="1"/>
  <c r="N25" i="3" l="1"/>
  <c r="O25" i="3" s="1"/>
  <c r="V102" i="2"/>
  <c r="K103" i="2" s="1"/>
  <c r="T102" i="2"/>
  <c r="I103" i="2" s="1"/>
  <c r="X102" i="2"/>
  <c r="M103" i="2" s="1"/>
  <c r="W102" i="2"/>
  <c r="L103" i="2" s="1"/>
  <c r="U102" i="2"/>
  <c r="J103" i="2" s="1"/>
  <c r="Q102" i="2"/>
  <c r="R102" i="2" s="1"/>
  <c r="P102" i="2"/>
  <c r="H102" i="2" s="1"/>
  <c r="N103" i="2" l="1"/>
  <c r="O103" i="2" s="1"/>
  <c r="X25" i="3"/>
  <c r="M26" i="3" s="1"/>
  <c r="V25" i="3"/>
  <c r="K26" i="3" s="1"/>
  <c r="U25" i="3"/>
  <c r="J26" i="3" s="1"/>
  <c r="T25" i="3"/>
  <c r="I26" i="3" s="1"/>
  <c r="W25" i="3"/>
  <c r="L26" i="3" s="1"/>
  <c r="Q25" i="3"/>
  <c r="R25" i="3" s="1"/>
  <c r="P25" i="3"/>
  <c r="H25" i="3" s="1"/>
  <c r="N26" i="3" l="1"/>
  <c r="O26" i="3" s="1"/>
  <c r="Q26" i="3" s="1"/>
  <c r="R26" i="3" s="1"/>
  <c r="S26" i="3" s="1"/>
  <c r="C110" i="3" s="1"/>
  <c r="P26" i="3"/>
  <c r="H26" i="3" s="1"/>
  <c r="F110" i="3" s="1"/>
  <c r="X26" i="3"/>
  <c r="U26" i="3"/>
  <c r="W26" i="3"/>
  <c r="V26" i="3"/>
  <c r="T26" i="3"/>
  <c r="X103" i="2"/>
  <c r="M104" i="2" s="1"/>
  <c r="V103" i="2"/>
  <c r="K104" i="2" s="1"/>
  <c r="W103" i="2"/>
  <c r="L104" i="2" s="1"/>
  <c r="U103" i="2"/>
  <c r="J104" i="2" s="1"/>
  <c r="T103" i="2"/>
  <c r="I104" i="2" s="1"/>
  <c r="Q103" i="2"/>
  <c r="R103" i="2" s="1"/>
  <c r="P103" i="2"/>
  <c r="H103" i="2" s="1"/>
  <c r="N104" i="2" l="1"/>
  <c r="O104" i="2" s="1"/>
  <c r="X104" i="2" l="1"/>
  <c r="M105" i="2" s="1"/>
  <c r="U104" i="2"/>
  <c r="J105" i="2" s="1"/>
  <c r="T104" i="2"/>
  <c r="I105" i="2" s="1"/>
  <c r="Q104" i="2"/>
  <c r="R104" i="2" s="1"/>
  <c r="P104" i="2"/>
  <c r="H104" i="2" s="1"/>
  <c r="V104" i="2"/>
  <c r="K105" i="2" s="1"/>
  <c r="W104" i="2"/>
  <c r="L105" i="2" s="1"/>
  <c r="N105" i="2" l="1"/>
  <c r="O105" i="2" s="1"/>
  <c r="P105" i="2" l="1"/>
  <c r="H105" i="2" s="1"/>
  <c r="X105" i="2"/>
  <c r="M106" i="2" s="1"/>
  <c r="W105" i="2"/>
  <c r="L106" i="2" s="1"/>
  <c r="V105" i="2"/>
  <c r="K106" i="2" s="1"/>
  <c r="U105" i="2"/>
  <c r="J106" i="2" s="1"/>
  <c r="T105" i="2"/>
  <c r="I106" i="2" s="1"/>
  <c r="Q105" i="2"/>
  <c r="R105" i="2" s="1"/>
  <c r="N106" i="2" l="1"/>
  <c r="O106" i="2" s="1"/>
  <c r="Q106" i="2" l="1"/>
  <c r="R106" i="2" s="1"/>
  <c r="P106" i="2"/>
  <c r="H106" i="2" s="1"/>
  <c r="U106" i="2"/>
  <c r="J107" i="2" s="1"/>
  <c r="T106" i="2"/>
  <c r="I107" i="2" s="1"/>
  <c r="X106" i="2"/>
  <c r="M107" i="2" s="1"/>
  <c r="W106" i="2"/>
  <c r="L107" i="2" s="1"/>
  <c r="V106" i="2"/>
  <c r="K107" i="2" s="1"/>
  <c r="N107" i="2" l="1"/>
  <c r="O107" i="2" s="1"/>
  <c r="U107" i="2" l="1"/>
  <c r="J108" i="2" s="1"/>
  <c r="T107" i="2"/>
  <c r="I108" i="2" s="1"/>
  <c r="Q107" i="2"/>
  <c r="R107" i="2" s="1"/>
  <c r="P107" i="2"/>
  <c r="H107" i="2" s="1"/>
  <c r="X107" i="2"/>
  <c r="M108" i="2" s="1"/>
  <c r="W107" i="2"/>
  <c r="L108" i="2" s="1"/>
  <c r="V107" i="2"/>
  <c r="K108" i="2" s="1"/>
  <c r="N108" i="2" l="1"/>
  <c r="O108" i="2" s="1"/>
  <c r="W108" i="2" l="1"/>
  <c r="L109" i="2" s="1"/>
  <c r="V108" i="2"/>
  <c r="K109" i="2" s="1"/>
  <c r="U108" i="2"/>
  <c r="J109" i="2" s="1"/>
  <c r="T108" i="2"/>
  <c r="I109" i="2" s="1"/>
  <c r="Q108" i="2"/>
  <c r="R108" i="2" s="1"/>
  <c r="X108" i="2"/>
  <c r="M109" i="2" s="1"/>
  <c r="P108" i="2"/>
  <c r="H108" i="2" s="1"/>
  <c r="N109" i="2" l="1"/>
  <c r="O109" i="2" s="1"/>
  <c r="X109" i="2" l="1"/>
  <c r="M110" i="2" s="1"/>
  <c r="W109" i="2"/>
  <c r="L110" i="2" s="1"/>
  <c r="V109" i="2"/>
  <c r="K110" i="2" s="1"/>
  <c r="U109" i="2"/>
  <c r="J110" i="2" s="1"/>
  <c r="T109" i="2"/>
  <c r="I110" i="2" s="1"/>
  <c r="Q109" i="2"/>
  <c r="R109" i="2" s="1"/>
  <c r="P109" i="2"/>
  <c r="H109" i="2" s="1"/>
  <c r="N110" i="2" l="1"/>
  <c r="O110" i="2" s="1"/>
  <c r="X110" i="2" l="1"/>
  <c r="M111" i="2" s="1"/>
  <c r="W110" i="2"/>
  <c r="L111" i="2" s="1"/>
  <c r="V110" i="2"/>
  <c r="K111" i="2" s="1"/>
  <c r="T110" i="2"/>
  <c r="I111" i="2" s="1"/>
  <c r="Q110" i="2"/>
  <c r="R110" i="2" s="1"/>
  <c r="U110" i="2"/>
  <c r="J111" i="2" s="1"/>
  <c r="P110" i="2"/>
  <c r="H110" i="2" s="1"/>
  <c r="N111" i="2" l="1"/>
  <c r="O111" i="2" s="1"/>
  <c r="X111" i="2" l="1"/>
  <c r="M112" i="2" s="1"/>
  <c r="V111" i="2"/>
  <c r="K112" i="2" s="1"/>
  <c r="T111" i="2"/>
  <c r="I112" i="2" s="1"/>
  <c r="W111" i="2"/>
  <c r="L112" i="2" s="1"/>
  <c r="U111" i="2"/>
  <c r="J112" i="2" s="1"/>
  <c r="Q111" i="2"/>
  <c r="R111" i="2" s="1"/>
  <c r="P111" i="2"/>
  <c r="H111" i="2" s="1"/>
  <c r="N112" i="2" l="1"/>
  <c r="O112" i="2" s="1"/>
  <c r="X112" i="2" l="1"/>
  <c r="M113" i="2" s="1"/>
  <c r="V112" i="2"/>
  <c r="K113" i="2" s="1"/>
  <c r="W112" i="2"/>
  <c r="L113" i="2" s="1"/>
  <c r="U112" i="2"/>
  <c r="J113" i="2" s="1"/>
  <c r="T112" i="2"/>
  <c r="I113" i="2" s="1"/>
  <c r="Q112" i="2"/>
  <c r="R112" i="2" s="1"/>
  <c r="P112" i="2"/>
  <c r="H112" i="2" s="1"/>
  <c r="N113" i="2" l="1"/>
  <c r="O113" i="2" s="1"/>
  <c r="P113" i="2" l="1"/>
  <c r="H113" i="2" s="1"/>
  <c r="X113" i="2"/>
  <c r="M114" i="2" s="1"/>
  <c r="Q113" i="2"/>
  <c r="R113" i="2" s="1"/>
  <c r="W113" i="2"/>
  <c r="L114" i="2" s="1"/>
  <c r="V113" i="2"/>
  <c r="K114" i="2" s="1"/>
  <c r="U113" i="2"/>
  <c r="J114" i="2" s="1"/>
  <c r="T113" i="2"/>
  <c r="I114" i="2" s="1"/>
  <c r="N114" i="2" l="1"/>
  <c r="O114" i="2" s="1"/>
  <c r="Q114" i="2" l="1"/>
  <c r="R114" i="2" s="1"/>
  <c r="P114" i="2"/>
  <c r="H114" i="2" s="1"/>
  <c r="X114" i="2"/>
  <c r="M115" i="2" s="1"/>
  <c r="W114" i="2"/>
  <c r="L115" i="2" s="1"/>
  <c r="V114" i="2"/>
  <c r="K115" i="2" s="1"/>
  <c r="U114" i="2"/>
  <c r="J115" i="2" s="1"/>
  <c r="T114" i="2"/>
  <c r="I115" i="2" s="1"/>
  <c r="N115" i="2" l="1"/>
  <c r="O115" i="2" s="1"/>
  <c r="U115" i="2" l="1"/>
  <c r="J116" i="2" s="1"/>
  <c r="T115" i="2"/>
  <c r="I116" i="2" s="1"/>
  <c r="Q115" i="2"/>
  <c r="R115" i="2" s="1"/>
  <c r="P115" i="2"/>
  <c r="H115" i="2" s="1"/>
  <c r="X115" i="2"/>
  <c r="M116" i="2" s="1"/>
  <c r="W115" i="2"/>
  <c r="L116" i="2" s="1"/>
  <c r="V115" i="2"/>
  <c r="K116" i="2" s="1"/>
  <c r="N116" i="2" l="1"/>
  <c r="O116" i="2" s="1"/>
  <c r="W116" i="2" l="1"/>
  <c r="L117" i="2" s="1"/>
  <c r="V116" i="2"/>
  <c r="K117" i="2" s="1"/>
  <c r="U116" i="2"/>
  <c r="J117" i="2" s="1"/>
  <c r="T116" i="2"/>
  <c r="I117" i="2" s="1"/>
  <c r="Q116" i="2"/>
  <c r="R116" i="2" s="1"/>
  <c r="P116" i="2"/>
  <c r="H116" i="2" s="1"/>
  <c r="X116" i="2"/>
  <c r="M117" i="2" s="1"/>
  <c r="N117" i="2" l="1"/>
  <c r="O117" i="2" s="1"/>
  <c r="X117" i="2" l="1"/>
  <c r="M118" i="2" s="1"/>
  <c r="W117" i="2"/>
  <c r="L118" i="2" s="1"/>
  <c r="V117" i="2"/>
  <c r="K118" i="2" s="1"/>
  <c r="U117" i="2"/>
  <c r="J118" i="2" s="1"/>
  <c r="T117" i="2"/>
  <c r="I118" i="2" s="1"/>
  <c r="Q117" i="2"/>
  <c r="R117" i="2" s="1"/>
  <c r="P117" i="2"/>
  <c r="H117" i="2" s="1"/>
  <c r="N118" i="2" l="1"/>
  <c r="O118" i="2" s="1"/>
  <c r="X118" i="2" l="1"/>
  <c r="M119" i="2" s="1"/>
  <c r="W118" i="2"/>
  <c r="L119" i="2" s="1"/>
  <c r="V118" i="2"/>
  <c r="K119" i="2" s="1"/>
  <c r="U118" i="2"/>
  <c r="J119" i="2" s="1"/>
  <c r="T118" i="2"/>
  <c r="I119" i="2" s="1"/>
  <c r="Q118" i="2"/>
  <c r="R118" i="2" s="1"/>
  <c r="P118" i="2"/>
  <c r="H118" i="2" s="1"/>
  <c r="N119" i="2" l="1"/>
  <c r="O119" i="2" s="1"/>
  <c r="X119" i="2" l="1"/>
  <c r="M120" i="2" s="1"/>
  <c r="W119" i="2"/>
  <c r="L120" i="2" s="1"/>
  <c r="V119" i="2"/>
  <c r="K120" i="2" s="1"/>
  <c r="T119" i="2"/>
  <c r="I120" i="2" s="1"/>
  <c r="U119" i="2"/>
  <c r="J120" i="2" s="1"/>
  <c r="Q119" i="2"/>
  <c r="R119" i="2" s="1"/>
  <c r="P119" i="2"/>
  <c r="H119" i="2" s="1"/>
  <c r="N120" i="2" l="1"/>
  <c r="O120" i="2" s="1"/>
  <c r="X120" i="2" l="1"/>
  <c r="M121" i="2" s="1"/>
  <c r="V120" i="2"/>
  <c r="K121" i="2" s="1"/>
  <c r="W120" i="2"/>
  <c r="L121" i="2" s="1"/>
  <c r="U120" i="2"/>
  <c r="J121" i="2" s="1"/>
  <c r="T120" i="2"/>
  <c r="I121" i="2" s="1"/>
  <c r="Q120" i="2"/>
  <c r="R120" i="2" s="1"/>
  <c r="P120" i="2"/>
  <c r="H120" i="2" s="1"/>
  <c r="N121" i="2" l="1"/>
  <c r="O121" i="2" s="1"/>
  <c r="P121" i="2" l="1"/>
  <c r="H121" i="2" s="1"/>
  <c r="X121" i="2"/>
  <c r="M122" i="2" s="1"/>
  <c r="Q121" i="2"/>
  <c r="R121" i="2" s="1"/>
  <c r="W121" i="2"/>
  <c r="L122" i="2" s="1"/>
  <c r="V121" i="2"/>
  <c r="K122" i="2" s="1"/>
  <c r="U121" i="2"/>
  <c r="J122" i="2" s="1"/>
  <c r="T121" i="2"/>
  <c r="I122" i="2" s="1"/>
  <c r="N122" i="2" l="1"/>
  <c r="O122" i="2" s="1"/>
  <c r="Q122" i="2" l="1"/>
  <c r="R122" i="2" s="1"/>
  <c r="P122" i="2"/>
  <c r="H122" i="2" s="1"/>
  <c r="X122" i="2"/>
  <c r="M123" i="2" s="1"/>
  <c r="W122" i="2"/>
  <c r="L123" i="2" s="1"/>
  <c r="V122" i="2"/>
  <c r="K123" i="2" s="1"/>
  <c r="U122" i="2"/>
  <c r="J123" i="2" s="1"/>
  <c r="T122" i="2"/>
  <c r="I123" i="2" s="1"/>
  <c r="N123" i="2" l="1"/>
  <c r="O123" i="2" s="1"/>
  <c r="U123" i="2" l="1"/>
  <c r="J124" i="2" s="1"/>
  <c r="T123" i="2"/>
  <c r="I124" i="2" s="1"/>
  <c r="Q123" i="2"/>
  <c r="R123" i="2" s="1"/>
  <c r="P123" i="2"/>
  <c r="H123" i="2" s="1"/>
  <c r="X123" i="2"/>
  <c r="M124" i="2" s="1"/>
  <c r="W123" i="2"/>
  <c r="L124" i="2" s="1"/>
  <c r="V123" i="2"/>
  <c r="K124" i="2" s="1"/>
  <c r="N124" i="2" l="1"/>
  <c r="O124" i="2" s="1"/>
  <c r="W124" i="2" l="1"/>
  <c r="L125" i="2" s="1"/>
  <c r="V124" i="2"/>
  <c r="K125" i="2" s="1"/>
  <c r="U124" i="2"/>
  <c r="J125" i="2" s="1"/>
  <c r="T124" i="2"/>
  <c r="I125" i="2" s="1"/>
  <c r="Q124" i="2"/>
  <c r="R124" i="2" s="1"/>
  <c r="P124" i="2"/>
  <c r="H124" i="2" s="1"/>
  <c r="X124" i="2"/>
  <c r="M125" i="2" s="1"/>
  <c r="N125" i="2" l="1"/>
  <c r="O125" i="2" s="1"/>
  <c r="X125" i="2" l="1"/>
  <c r="M126" i="2" s="1"/>
  <c r="W125" i="2"/>
  <c r="L126" i="2" s="1"/>
  <c r="V125" i="2"/>
  <c r="K126" i="2" s="1"/>
  <c r="U125" i="2"/>
  <c r="J126" i="2" s="1"/>
  <c r="T125" i="2"/>
  <c r="I126" i="2" s="1"/>
  <c r="Q125" i="2"/>
  <c r="R125" i="2" s="1"/>
  <c r="P125" i="2"/>
  <c r="H125" i="2" s="1"/>
  <c r="N126" i="2" l="1"/>
  <c r="O126" i="2" s="1"/>
  <c r="X126" i="2" l="1"/>
  <c r="M127" i="2" s="1"/>
  <c r="W126" i="2"/>
  <c r="L127" i="2" s="1"/>
  <c r="V126" i="2"/>
  <c r="K127" i="2" s="1"/>
  <c r="U126" i="2"/>
  <c r="J127" i="2" s="1"/>
  <c r="T126" i="2"/>
  <c r="I127" i="2" s="1"/>
  <c r="Q126" i="2"/>
  <c r="R126" i="2" s="1"/>
  <c r="P126" i="2"/>
  <c r="H126" i="2" s="1"/>
  <c r="N127" i="2" l="1"/>
  <c r="O127" i="2" s="1"/>
  <c r="X127" i="2" l="1"/>
  <c r="M128" i="2" s="1"/>
  <c r="W127" i="2"/>
  <c r="L128" i="2" s="1"/>
  <c r="V127" i="2"/>
  <c r="K128" i="2" s="1"/>
  <c r="T127" i="2"/>
  <c r="I128" i="2" s="1"/>
  <c r="U127" i="2"/>
  <c r="J128" i="2" s="1"/>
  <c r="Q127" i="2"/>
  <c r="R127" i="2" s="1"/>
  <c r="P127" i="2"/>
  <c r="H127" i="2" s="1"/>
  <c r="N128" i="2" l="1"/>
  <c r="O128" i="2" s="1"/>
  <c r="X128" i="2" l="1"/>
  <c r="M129" i="2" s="1"/>
  <c r="V128" i="2"/>
  <c r="K129" i="2" s="1"/>
  <c r="W128" i="2"/>
  <c r="L129" i="2" s="1"/>
  <c r="U128" i="2"/>
  <c r="J129" i="2" s="1"/>
  <c r="T128" i="2"/>
  <c r="I129" i="2" s="1"/>
  <c r="Q128" i="2"/>
  <c r="R128" i="2" s="1"/>
  <c r="P128" i="2"/>
  <c r="H128" i="2" s="1"/>
  <c r="N129" i="2" l="1"/>
  <c r="O129" i="2" s="1"/>
  <c r="P129" i="2" l="1"/>
  <c r="H129" i="2" s="1"/>
  <c r="X129" i="2"/>
  <c r="M130" i="2" s="1"/>
  <c r="W129" i="2"/>
  <c r="L130" i="2" s="1"/>
  <c r="V129" i="2"/>
  <c r="K130" i="2" s="1"/>
  <c r="U129" i="2"/>
  <c r="J130" i="2" s="1"/>
  <c r="T129" i="2"/>
  <c r="I130" i="2" s="1"/>
  <c r="Q129" i="2"/>
  <c r="R129" i="2" s="1"/>
  <c r="N130" i="2" l="1"/>
  <c r="O130" i="2" s="1"/>
  <c r="Q130" i="2" l="1"/>
  <c r="R130" i="2" s="1"/>
  <c r="P130" i="2"/>
  <c r="H130" i="2" s="1"/>
  <c r="X130" i="2"/>
  <c r="M131" i="2" s="1"/>
  <c r="W130" i="2"/>
  <c r="L131" i="2" s="1"/>
  <c r="V130" i="2"/>
  <c r="K131" i="2" s="1"/>
  <c r="U130" i="2"/>
  <c r="J131" i="2" s="1"/>
  <c r="T130" i="2"/>
  <c r="I131" i="2" s="1"/>
  <c r="N131" i="2" l="1"/>
  <c r="O131" i="2" s="1"/>
  <c r="U131" i="2" l="1"/>
  <c r="J132" i="2" s="1"/>
  <c r="T131" i="2"/>
  <c r="I132" i="2" s="1"/>
  <c r="Q131" i="2"/>
  <c r="R131" i="2" s="1"/>
  <c r="P131" i="2"/>
  <c r="H131" i="2" s="1"/>
  <c r="W131" i="2"/>
  <c r="L132" i="2" s="1"/>
  <c r="V131" i="2"/>
  <c r="K132" i="2" s="1"/>
  <c r="X131" i="2"/>
  <c r="M132" i="2" s="1"/>
  <c r="N132" i="2" l="1"/>
  <c r="O132" i="2" s="1"/>
  <c r="W132" i="2" l="1"/>
  <c r="L133" i="2" s="1"/>
  <c r="V132" i="2"/>
  <c r="K133" i="2" s="1"/>
  <c r="U132" i="2"/>
  <c r="J133" i="2" s="1"/>
  <c r="T132" i="2"/>
  <c r="I133" i="2" s="1"/>
  <c r="Q132" i="2"/>
  <c r="R132" i="2" s="1"/>
  <c r="P132" i="2"/>
  <c r="H132" i="2" s="1"/>
  <c r="X132" i="2"/>
  <c r="M133" i="2" s="1"/>
  <c r="N133" i="2" l="1"/>
  <c r="O133" i="2" s="1"/>
  <c r="X133" i="2" l="1"/>
  <c r="M134" i="2" s="1"/>
  <c r="W133" i="2"/>
  <c r="L134" i="2" s="1"/>
  <c r="V133" i="2"/>
  <c r="K134" i="2" s="1"/>
  <c r="U133" i="2"/>
  <c r="J134" i="2" s="1"/>
  <c r="T133" i="2"/>
  <c r="I134" i="2" s="1"/>
  <c r="Q133" i="2"/>
  <c r="R133" i="2" s="1"/>
  <c r="P133" i="2"/>
  <c r="H133" i="2" s="1"/>
  <c r="N134" i="2" l="1"/>
  <c r="O134" i="2" s="1"/>
  <c r="X134" i="2" l="1"/>
  <c r="M135" i="2" s="1"/>
  <c r="W134" i="2"/>
  <c r="L135" i="2" s="1"/>
  <c r="V134" i="2"/>
  <c r="K135" i="2" s="1"/>
  <c r="U134" i="2"/>
  <c r="J135" i="2" s="1"/>
  <c r="T134" i="2"/>
  <c r="I135" i="2" s="1"/>
  <c r="Q134" i="2"/>
  <c r="R134" i="2" s="1"/>
  <c r="P134" i="2"/>
  <c r="H134" i="2" s="1"/>
  <c r="N135" i="2" l="1"/>
  <c r="O135" i="2" s="1"/>
  <c r="X135" i="2" l="1"/>
  <c r="M136" i="2" s="1"/>
  <c r="W135" i="2"/>
  <c r="L136" i="2" s="1"/>
  <c r="V135" i="2"/>
  <c r="K136" i="2" s="1"/>
  <c r="T135" i="2"/>
  <c r="I136" i="2" s="1"/>
  <c r="U135" i="2"/>
  <c r="J136" i="2" s="1"/>
  <c r="Q135" i="2"/>
  <c r="R135" i="2" s="1"/>
  <c r="P135" i="2"/>
  <c r="H135" i="2" s="1"/>
  <c r="N136" i="2" l="1"/>
  <c r="O136" i="2" s="1"/>
  <c r="X136" i="2" l="1"/>
  <c r="M137" i="2" s="1"/>
  <c r="V136" i="2"/>
  <c r="K137" i="2" s="1"/>
  <c r="U136" i="2"/>
  <c r="J137" i="2" s="1"/>
  <c r="T136" i="2"/>
  <c r="I137" i="2" s="1"/>
  <c r="Q136" i="2"/>
  <c r="R136" i="2" s="1"/>
  <c r="P136" i="2"/>
  <c r="H136" i="2" s="1"/>
  <c r="W136" i="2"/>
  <c r="L137" i="2" s="1"/>
  <c r="N137" i="2" l="1"/>
  <c r="O137" i="2" s="1"/>
  <c r="P137" i="2" l="1"/>
  <c r="H137" i="2" s="1"/>
  <c r="X137" i="2"/>
  <c r="M138" i="2" s="1"/>
  <c r="W137" i="2"/>
  <c r="L138" i="2" s="1"/>
  <c r="V137" i="2"/>
  <c r="K138" i="2" s="1"/>
  <c r="U137" i="2"/>
  <c r="J138" i="2" s="1"/>
  <c r="T137" i="2"/>
  <c r="I138" i="2" s="1"/>
  <c r="Q137" i="2"/>
  <c r="R137" i="2" s="1"/>
  <c r="N138" i="2" l="1"/>
  <c r="O138" i="2" s="1"/>
  <c r="Q138" i="2" l="1"/>
  <c r="R138" i="2" s="1"/>
  <c r="P138" i="2"/>
  <c r="H138" i="2" s="1"/>
  <c r="X138" i="2"/>
  <c r="M139" i="2" s="1"/>
  <c r="W138" i="2"/>
  <c r="L139" i="2" s="1"/>
  <c r="V138" i="2"/>
  <c r="K139" i="2" s="1"/>
  <c r="U138" i="2"/>
  <c r="J139" i="2" s="1"/>
  <c r="T138" i="2"/>
  <c r="I139" i="2" s="1"/>
  <c r="N139" i="2" l="1"/>
  <c r="O139" i="2" s="1"/>
  <c r="U139" i="2" l="1"/>
  <c r="J140" i="2" s="1"/>
  <c r="T139" i="2"/>
  <c r="I140" i="2" s="1"/>
  <c r="Q139" i="2"/>
  <c r="R139" i="2" s="1"/>
  <c r="P139" i="2"/>
  <c r="H139" i="2" s="1"/>
  <c r="V139" i="2"/>
  <c r="K140" i="2" s="1"/>
  <c r="X139" i="2"/>
  <c r="M140" i="2" s="1"/>
  <c r="W139" i="2"/>
  <c r="L140" i="2" s="1"/>
  <c r="N140" i="2" l="1"/>
  <c r="O140" i="2" s="1"/>
  <c r="W140" i="2" l="1"/>
  <c r="L141" i="2" s="1"/>
  <c r="V140" i="2"/>
  <c r="K141" i="2" s="1"/>
  <c r="U140" i="2"/>
  <c r="J141" i="2" s="1"/>
  <c r="T140" i="2"/>
  <c r="I141" i="2" s="1"/>
  <c r="Q140" i="2"/>
  <c r="R140" i="2" s="1"/>
  <c r="P140" i="2"/>
  <c r="H140" i="2" s="1"/>
  <c r="X140" i="2"/>
  <c r="M141" i="2" s="1"/>
  <c r="N141" i="2" l="1"/>
  <c r="O141" i="2" s="1"/>
  <c r="X141" i="2" l="1"/>
  <c r="M142" i="2" s="1"/>
  <c r="W141" i="2"/>
  <c r="L142" i="2" s="1"/>
  <c r="V141" i="2"/>
  <c r="K142" i="2" s="1"/>
  <c r="U141" i="2"/>
  <c r="J142" i="2" s="1"/>
  <c r="T141" i="2"/>
  <c r="I142" i="2" s="1"/>
  <c r="Q141" i="2"/>
  <c r="R141" i="2" s="1"/>
  <c r="P141" i="2"/>
  <c r="H141" i="2" s="1"/>
  <c r="N142" i="2" l="1"/>
  <c r="O142" i="2" s="1"/>
  <c r="X142" i="2" l="1"/>
  <c r="M143" i="2" s="1"/>
  <c r="W142" i="2"/>
  <c r="L143" i="2" s="1"/>
  <c r="V142" i="2"/>
  <c r="K143" i="2" s="1"/>
  <c r="U142" i="2"/>
  <c r="J143" i="2" s="1"/>
  <c r="T142" i="2"/>
  <c r="I143" i="2" s="1"/>
  <c r="Q142" i="2"/>
  <c r="R142" i="2" s="1"/>
  <c r="P142" i="2"/>
  <c r="H142" i="2" s="1"/>
  <c r="N143" i="2" l="1"/>
  <c r="O143" i="2" s="1"/>
  <c r="X143" i="2" l="1"/>
  <c r="M144" i="2" s="1"/>
  <c r="W143" i="2"/>
  <c r="L144" i="2" s="1"/>
  <c r="V143" i="2"/>
  <c r="K144" i="2" s="1"/>
  <c r="U143" i="2"/>
  <c r="J144" i="2" s="1"/>
  <c r="T143" i="2"/>
  <c r="I144" i="2" s="1"/>
  <c r="Q143" i="2"/>
  <c r="R143" i="2" s="1"/>
  <c r="P143" i="2"/>
  <c r="H143" i="2" s="1"/>
  <c r="N144" i="2" l="1"/>
  <c r="O144" i="2" s="1"/>
  <c r="X144" i="2" l="1"/>
  <c r="M145" i="2" s="1"/>
  <c r="W144" i="2"/>
  <c r="L145" i="2" s="1"/>
  <c r="V144" i="2"/>
  <c r="K145" i="2" s="1"/>
  <c r="U144" i="2"/>
  <c r="J145" i="2" s="1"/>
  <c r="T144" i="2"/>
  <c r="I145" i="2" s="1"/>
  <c r="Q144" i="2"/>
  <c r="R144" i="2" s="1"/>
  <c r="P144" i="2"/>
  <c r="H144" i="2" s="1"/>
  <c r="N145" i="2" l="1"/>
  <c r="O145" i="2" s="1"/>
  <c r="P145" i="2" l="1"/>
  <c r="H145" i="2" s="1"/>
  <c r="X145" i="2"/>
  <c r="M146" i="2" s="1"/>
  <c r="Q145" i="2"/>
  <c r="R145" i="2" s="1"/>
  <c r="W145" i="2"/>
  <c r="L146" i="2" s="1"/>
  <c r="V145" i="2"/>
  <c r="K146" i="2" s="1"/>
  <c r="U145" i="2"/>
  <c r="J146" i="2" s="1"/>
  <c r="T145" i="2"/>
  <c r="I146" i="2" s="1"/>
  <c r="N146" i="2" l="1"/>
  <c r="O146" i="2" s="1"/>
  <c r="Q146" i="2" l="1"/>
  <c r="R146" i="2" s="1"/>
  <c r="P146" i="2"/>
  <c r="H146" i="2" s="1"/>
  <c r="X146" i="2"/>
  <c r="M147" i="2" s="1"/>
  <c r="W146" i="2"/>
  <c r="L147" i="2" s="1"/>
  <c r="V146" i="2"/>
  <c r="K147" i="2" s="1"/>
  <c r="U146" i="2"/>
  <c r="J147" i="2" s="1"/>
  <c r="T146" i="2"/>
  <c r="I147" i="2" s="1"/>
  <c r="N147" i="2" l="1"/>
  <c r="O147" i="2" s="1"/>
  <c r="U147" i="2" l="1"/>
  <c r="J148" i="2" s="1"/>
  <c r="T147" i="2"/>
  <c r="I148" i="2" s="1"/>
  <c r="Q147" i="2"/>
  <c r="R147" i="2" s="1"/>
  <c r="P147" i="2"/>
  <c r="H147" i="2" s="1"/>
  <c r="X147" i="2"/>
  <c r="M148" i="2" s="1"/>
  <c r="W147" i="2"/>
  <c r="L148" i="2" s="1"/>
  <c r="V147" i="2"/>
  <c r="K148" i="2" s="1"/>
  <c r="N148" i="2" l="1"/>
  <c r="O148" i="2" s="1"/>
  <c r="W148" i="2" l="1"/>
  <c r="L149" i="2" s="1"/>
  <c r="V148" i="2"/>
  <c r="K149" i="2" s="1"/>
  <c r="U148" i="2"/>
  <c r="J149" i="2" s="1"/>
  <c r="T148" i="2"/>
  <c r="I149" i="2" s="1"/>
  <c r="Q148" i="2"/>
  <c r="R148" i="2" s="1"/>
  <c r="P148" i="2"/>
  <c r="H148" i="2" s="1"/>
  <c r="X148" i="2"/>
  <c r="M149" i="2" s="1"/>
  <c r="N149" i="2" l="1"/>
  <c r="O149" i="2" s="1"/>
  <c r="X149" i="2" l="1"/>
  <c r="M150" i="2" s="1"/>
  <c r="W149" i="2"/>
  <c r="L150" i="2" s="1"/>
  <c r="V149" i="2"/>
  <c r="K150" i="2" s="1"/>
  <c r="U149" i="2"/>
  <c r="J150" i="2" s="1"/>
  <c r="T149" i="2"/>
  <c r="I150" i="2" s="1"/>
  <c r="Q149" i="2"/>
  <c r="R149" i="2" s="1"/>
  <c r="P149" i="2"/>
  <c r="H149" i="2" s="1"/>
  <c r="N150" i="2" l="1"/>
  <c r="O150" i="2" s="1"/>
  <c r="X150" i="2" l="1"/>
  <c r="M151" i="2" s="1"/>
  <c r="W150" i="2"/>
  <c r="L151" i="2" s="1"/>
  <c r="V150" i="2"/>
  <c r="K151" i="2" s="1"/>
  <c r="U150" i="2"/>
  <c r="J151" i="2" s="1"/>
  <c r="T150" i="2"/>
  <c r="I151" i="2" s="1"/>
  <c r="Q150" i="2"/>
  <c r="R150" i="2" s="1"/>
  <c r="P150" i="2"/>
  <c r="H150" i="2" s="1"/>
  <c r="N151" i="2" l="1"/>
  <c r="O151" i="2" s="1"/>
  <c r="X151" i="2" l="1"/>
  <c r="M152" i="2" s="1"/>
  <c r="W151" i="2"/>
  <c r="L152" i="2" s="1"/>
  <c r="V151" i="2"/>
  <c r="K152" i="2" s="1"/>
  <c r="U151" i="2"/>
  <c r="J152" i="2" s="1"/>
  <c r="T151" i="2"/>
  <c r="I152" i="2" s="1"/>
  <c r="Q151" i="2"/>
  <c r="R151" i="2" s="1"/>
  <c r="P151" i="2"/>
  <c r="H151" i="2" s="1"/>
  <c r="N152" i="2" l="1"/>
  <c r="O152" i="2" s="1"/>
  <c r="X152" i="2" l="1"/>
  <c r="M153" i="2" s="1"/>
  <c r="W152" i="2"/>
  <c r="L153" i="2" s="1"/>
  <c r="V152" i="2"/>
  <c r="K153" i="2" s="1"/>
  <c r="Q152" i="2"/>
  <c r="R152" i="2" s="1"/>
  <c r="U152" i="2"/>
  <c r="J153" i="2" s="1"/>
  <c r="T152" i="2"/>
  <c r="I153" i="2" s="1"/>
  <c r="P152" i="2"/>
  <c r="H152" i="2" s="1"/>
  <c r="N153" i="2" l="1"/>
  <c r="O153" i="2" s="1"/>
  <c r="P153" i="2" l="1"/>
  <c r="H153" i="2" s="1"/>
  <c r="X153" i="2"/>
  <c r="M154" i="2" s="1"/>
  <c r="V153" i="2"/>
  <c r="K154" i="2" s="1"/>
  <c r="T153" i="2"/>
  <c r="I154" i="2" s="1"/>
  <c r="W153" i="2"/>
  <c r="L154" i="2" s="1"/>
  <c r="U153" i="2"/>
  <c r="J154" i="2" s="1"/>
  <c r="Q153" i="2"/>
  <c r="R153" i="2" s="1"/>
  <c r="N154" i="2" l="1"/>
  <c r="O154" i="2" s="1"/>
  <c r="Q154" i="2" l="1"/>
  <c r="R154" i="2" s="1"/>
  <c r="P154" i="2"/>
  <c r="H154" i="2" s="1"/>
  <c r="X154" i="2"/>
  <c r="M155" i="2" s="1"/>
  <c r="V154" i="2"/>
  <c r="K155" i="2" s="1"/>
  <c r="W154" i="2"/>
  <c r="L155" i="2" s="1"/>
  <c r="U154" i="2"/>
  <c r="J155" i="2" s="1"/>
  <c r="T154" i="2"/>
  <c r="I155" i="2" s="1"/>
  <c r="N155" i="2" l="1"/>
  <c r="O155" i="2" s="1"/>
  <c r="U155" i="2" l="1"/>
  <c r="J156" i="2" s="1"/>
  <c r="T155" i="2"/>
  <c r="I156" i="2" s="1"/>
  <c r="Q155" i="2"/>
  <c r="R155" i="2" s="1"/>
  <c r="P155" i="2"/>
  <c r="H155" i="2" s="1"/>
  <c r="X155" i="2"/>
  <c r="M156" i="2" s="1"/>
  <c r="W155" i="2"/>
  <c r="L156" i="2" s="1"/>
  <c r="V155" i="2"/>
  <c r="K156" i="2" s="1"/>
  <c r="N156" i="2" l="1"/>
  <c r="O156" i="2" s="1"/>
  <c r="W156" i="2" l="1"/>
  <c r="L157" i="2" s="1"/>
  <c r="V156" i="2"/>
  <c r="K157" i="2" s="1"/>
  <c r="U156" i="2"/>
  <c r="J157" i="2" s="1"/>
  <c r="T156" i="2"/>
  <c r="I157" i="2" s="1"/>
  <c r="Q156" i="2"/>
  <c r="R156" i="2" s="1"/>
  <c r="P156" i="2"/>
  <c r="H156" i="2" s="1"/>
  <c r="X156" i="2"/>
  <c r="M157" i="2" s="1"/>
  <c r="N157" i="2" l="1"/>
  <c r="O157" i="2" s="1"/>
  <c r="X157" i="2" l="1"/>
  <c r="M158" i="2" s="1"/>
  <c r="W157" i="2"/>
  <c r="L158" i="2" s="1"/>
  <c r="V157" i="2"/>
  <c r="K158" i="2" s="1"/>
  <c r="U157" i="2"/>
  <c r="J158" i="2" s="1"/>
  <c r="T157" i="2"/>
  <c r="I158" i="2" s="1"/>
  <c r="Q157" i="2"/>
  <c r="R157" i="2" s="1"/>
  <c r="P157" i="2"/>
  <c r="H157" i="2" s="1"/>
  <c r="N158" i="2" l="1"/>
  <c r="O158" i="2" s="1"/>
  <c r="X158" i="2" l="1"/>
  <c r="M159" i="2" s="1"/>
  <c r="W158" i="2"/>
  <c r="L159" i="2" s="1"/>
  <c r="V158" i="2"/>
  <c r="K159" i="2" s="1"/>
  <c r="U158" i="2"/>
  <c r="J159" i="2" s="1"/>
  <c r="T158" i="2"/>
  <c r="I159" i="2" s="1"/>
  <c r="Q158" i="2"/>
  <c r="R158" i="2" s="1"/>
  <c r="P158" i="2"/>
  <c r="H158" i="2" s="1"/>
  <c r="N159" i="2" l="1"/>
  <c r="O159" i="2" s="1"/>
  <c r="X159" i="2" l="1"/>
  <c r="M160" i="2" s="1"/>
  <c r="W159" i="2"/>
  <c r="L160" i="2" s="1"/>
  <c r="V159" i="2"/>
  <c r="K160" i="2" s="1"/>
  <c r="U159" i="2"/>
  <c r="J160" i="2" s="1"/>
  <c r="T159" i="2"/>
  <c r="I160" i="2" s="1"/>
  <c r="Q159" i="2"/>
  <c r="R159" i="2" s="1"/>
  <c r="P159" i="2"/>
  <c r="H159" i="2" s="1"/>
  <c r="N160" i="2" l="1"/>
  <c r="O160" i="2" s="1"/>
  <c r="X160" i="2" l="1"/>
  <c r="M161" i="2" s="1"/>
  <c r="W160" i="2"/>
  <c r="L161" i="2" s="1"/>
  <c r="V160" i="2"/>
  <c r="K161" i="2" s="1"/>
  <c r="U160" i="2"/>
  <c r="J161" i="2" s="1"/>
  <c r="T160" i="2"/>
  <c r="I161" i="2" s="1"/>
  <c r="Q160" i="2"/>
  <c r="R160" i="2" s="1"/>
  <c r="P160" i="2"/>
  <c r="H160" i="2" s="1"/>
  <c r="N161" i="2" l="1"/>
  <c r="O161" i="2" s="1"/>
  <c r="Q161" i="2" l="1"/>
  <c r="R161" i="2" s="1"/>
  <c r="P161" i="2"/>
  <c r="H161" i="2" s="1"/>
  <c r="X161" i="2"/>
  <c r="M162" i="2" s="1"/>
  <c r="W161" i="2"/>
  <c r="L162" i="2" s="1"/>
  <c r="U161" i="2"/>
  <c r="J162" i="2" s="1"/>
  <c r="V161" i="2"/>
  <c r="K162" i="2" s="1"/>
  <c r="T161" i="2"/>
  <c r="I162" i="2" s="1"/>
  <c r="N162" i="2" l="1"/>
  <c r="O162" i="2" s="1"/>
  <c r="U162" i="2" l="1"/>
  <c r="J163" i="2" s="1"/>
  <c r="T162" i="2"/>
  <c r="I163" i="2" s="1"/>
  <c r="Q162" i="2"/>
  <c r="R162" i="2" s="1"/>
  <c r="P162" i="2"/>
  <c r="H162" i="2" s="1"/>
  <c r="X162" i="2"/>
  <c r="M163" i="2" s="1"/>
  <c r="W162" i="2"/>
  <c r="L163" i="2" s="1"/>
  <c r="V162" i="2"/>
  <c r="K163" i="2" s="1"/>
  <c r="N163" i="2" l="1"/>
  <c r="O163" i="2" s="1"/>
  <c r="X163" i="2" l="1"/>
  <c r="M164" i="2" s="1"/>
  <c r="W163" i="2"/>
  <c r="L164" i="2" s="1"/>
  <c r="V163" i="2"/>
  <c r="K164" i="2" s="1"/>
  <c r="U163" i="2"/>
  <c r="J164" i="2" s="1"/>
  <c r="T163" i="2"/>
  <c r="I164" i="2" s="1"/>
  <c r="Q163" i="2"/>
  <c r="R163" i="2" s="1"/>
  <c r="P163" i="2"/>
  <c r="H163" i="2" s="1"/>
  <c r="I27" i="3" l="1"/>
  <c r="N164" i="2"/>
  <c r="O164" i="2" s="1"/>
  <c r="L27" i="3"/>
  <c r="J27" i="3"/>
  <c r="K27" i="3"/>
  <c r="M27" i="3"/>
  <c r="X164" i="2" l="1"/>
  <c r="M165" i="2" s="1"/>
  <c r="W164" i="2"/>
  <c r="L165" i="2" s="1"/>
  <c r="V164" i="2"/>
  <c r="K165" i="2" s="1"/>
  <c r="U164" i="2"/>
  <c r="J165" i="2" s="1"/>
  <c r="T164" i="2"/>
  <c r="I165" i="2" s="1"/>
  <c r="Q164" i="2"/>
  <c r="R164" i="2" s="1"/>
  <c r="S164" i="2" s="1"/>
  <c r="C410" i="2" s="1"/>
  <c r="P164" i="2"/>
  <c r="H164" i="2" s="1"/>
  <c r="F410" i="2" s="1"/>
  <c r="N27" i="3"/>
  <c r="O27" i="3" s="1"/>
  <c r="X27" i="3" l="1"/>
  <c r="M28" i="3" s="1"/>
  <c r="W27" i="3"/>
  <c r="L28" i="3" s="1"/>
  <c r="V27" i="3"/>
  <c r="K28" i="3" s="1"/>
  <c r="U27" i="3"/>
  <c r="J28" i="3" s="1"/>
  <c r="T27" i="3"/>
  <c r="I28" i="3" s="1"/>
  <c r="Q27" i="3"/>
  <c r="R27" i="3" s="1"/>
  <c r="P27" i="3"/>
  <c r="H27" i="3" s="1"/>
  <c r="N165" i="2"/>
  <c r="O165" i="2" s="1"/>
  <c r="X165" i="2" l="1"/>
  <c r="M166" i="2" s="1"/>
  <c r="W165" i="2"/>
  <c r="L166" i="2" s="1"/>
  <c r="V165" i="2"/>
  <c r="K166" i="2" s="1"/>
  <c r="U165" i="2"/>
  <c r="J166" i="2" s="1"/>
  <c r="T165" i="2"/>
  <c r="I166" i="2" s="1"/>
  <c r="Q165" i="2"/>
  <c r="R165" i="2" s="1"/>
  <c r="P165" i="2"/>
  <c r="H165" i="2" s="1"/>
  <c r="N28" i="3"/>
  <c r="O28" i="3" s="1"/>
  <c r="X28" i="3" l="1"/>
  <c r="M29" i="3" s="1"/>
  <c r="W28" i="3"/>
  <c r="L29" i="3" s="1"/>
  <c r="V28" i="3"/>
  <c r="K29" i="3" s="1"/>
  <c r="U28" i="3"/>
  <c r="J29" i="3" s="1"/>
  <c r="T28" i="3"/>
  <c r="I29" i="3" s="1"/>
  <c r="Q28" i="3"/>
  <c r="R28" i="3" s="1"/>
  <c r="P28" i="3"/>
  <c r="H28" i="3" s="1"/>
  <c r="N166" i="2"/>
  <c r="O166" i="2" s="1"/>
  <c r="N29" i="3" l="1"/>
  <c r="O29" i="3" s="1"/>
  <c r="Q166" i="2"/>
  <c r="R166" i="2" s="1"/>
  <c r="P166" i="2"/>
  <c r="H166" i="2" s="1"/>
  <c r="X166" i="2"/>
  <c r="M167" i="2" s="1"/>
  <c r="V166" i="2"/>
  <c r="K167" i="2" s="1"/>
  <c r="W166" i="2"/>
  <c r="L167" i="2" s="1"/>
  <c r="U166" i="2"/>
  <c r="J167" i="2" s="1"/>
  <c r="T166" i="2"/>
  <c r="I167" i="2" s="1"/>
  <c r="N167" i="2" l="1"/>
  <c r="O167" i="2" s="1"/>
  <c r="T29" i="3"/>
  <c r="I30" i="3" s="1"/>
  <c r="Q29" i="3"/>
  <c r="R29" i="3" s="1"/>
  <c r="P29" i="3"/>
  <c r="H29" i="3" s="1"/>
  <c r="X29" i="3"/>
  <c r="M30" i="3" s="1"/>
  <c r="W29" i="3"/>
  <c r="L30" i="3" s="1"/>
  <c r="V29" i="3"/>
  <c r="K30" i="3" s="1"/>
  <c r="U29" i="3"/>
  <c r="J30" i="3" s="1"/>
  <c r="N30" i="3" l="1"/>
  <c r="O30" i="3" s="1"/>
  <c r="W167" i="2"/>
  <c r="L168" i="2" s="1"/>
  <c r="V167" i="2"/>
  <c r="K168" i="2" s="1"/>
  <c r="U167" i="2"/>
  <c r="J168" i="2" s="1"/>
  <c r="T167" i="2"/>
  <c r="I168" i="2" s="1"/>
  <c r="Q167" i="2"/>
  <c r="R167" i="2" s="1"/>
  <c r="P167" i="2"/>
  <c r="H167" i="2" s="1"/>
  <c r="X167" i="2"/>
  <c r="M168" i="2" s="1"/>
  <c r="X30" i="3" l="1"/>
  <c r="M31" i="3" s="1"/>
  <c r="W30" i="3"/>
  <c r="L31" i="3" s="1"/>
  <c r="V30" i="3"/>
  <c r="K31" i="3" s="1"/>
  <c r="U30" i="3"/>
  <c r="J31" i="3" s="1"/>
  <c r="T30" i="3"/>
  <c r="I31" i="3" s="1"/>
  <c r="Q30" i="3"/>
  <c r="R30" i="3" s="1"/>
  <c r="P30" i="3"/>
  <c r="H30" i="3" s="1"/>
  <c r="N168" i="2"/>
  <c r="O168" i="2" s="1"/>
  <c r="X168" i="2" l="1"/>
  <c r="M169" i="2" s="1"/>
  <c r="W168" i="2"/>
  <c r="L169" i="2" s="1"/>
  <c r="V168" i="2"/>
  <c r="K169" i="2" s="1"/>
  <c r="U168" i="2"/>
  <c r="J169" i="2" s="1"/>
  <c r="T168" i="2"/>
  <c r="I169" i="2" s="1"/>
  <c r="Q168" i="2"/>
  <c r="R168" i="2" s="1"/>
  <c r="P168" i="2"/>
  <c r="H168" i="2" s="1"/>
  <c r="N31" i="3"/>
  <c r="O31" i="3" s="1"/>
  <c r="X31" i="3" l="1"/>
  <c r="M32" i="3" s="1"/>
  <c r="W31" i="3"/>
  <c r="L32" i="3" s="1"/>
  <c r="V31" i="3"/>
  <c r="K32" i="3" s="1"/>
  <c r="T31" i="3"/>
  <c r="I32" i="3" s="1"/>
  <c r="U31" i="3"/>
  <c r="J32" i="3" s="1"/>
  <c r="Q31" i="3"/>
  <c r="R31" i="3" s="1"/>
  <c r="P31" i="3"/>
  <c r="H31" i="3" s="1"/>
  <c r="N169" i="2"/>
  <c r="O169" i="2" s="1"/>
  <c r="P169" i="2" l="1"/>
  <c r="H169" i="2" s="1"/>
  <c r="X169" i="2"/>
  <c r="M170" i="2" s="1"/>
  <c r="W169" i="2"/>
  <c r="L170" i="2" s="1"/>
  <c r="V169" i="2"/>
  <c r="K170" i="2" s="1"/>
  <c r="T169" i="2"/>
  <c r="I170" i="2" s="1"/>
  <c r="U169" i="2"/>
  <c r="J170" i="2" s="1"/>
  <c r="Q169" i="2"/>
  <c r="R169" i="2" s="1"/>
  <c r="N32" i="3"/>
  <c r="O32" i="3" s="1"/>
  <c r="U32" i="3" l="1"/>
  <c r="J33" i="3" s="1"/>
  <c r="P32" i="3"/>
  <c r="H32" i="3" s="1"/>
  <c r="X32" i="3"/>
  <c r="M33" i="3" s="1"/>
  <c r="W32" i="3"/>
  <c r="L33" i="3" s="1"/>
  <c r="V32" i="3"/>
  <c r="K33" i="3" s="1"/>
  <c r="T32" i="3"/>
  <c r="I33" i="3" s="1"/>
  <c r="Q32" i="3"/>
  <c r="R32" i="3" s="1"/>
  <c r="N170" i="2"/>
  <c r="O170" i="2" s="1"/>
  <c r="X170" i="2" l="1"/>
  <c r="M171" i="2" s="1"/>
  <c r="W170" i="2"/>
  <c r="L171" i="2" s="1"/>
  <c r="V170" i="2"/>
  <c r="K171" i="2" s="1"/>
  <c r="U170" i="2"/>
  <c r="J171" i="2" s="1"/>
  <c r="T170" i="2"/>
  <c r="I171" i="2" s="1"/>
  <c r="Q170" i="2"/>
  <c r="R170" i="2" s="1"/>
  <c r="P170" i="2"/>
  <c r="H170" i="2" s="1"/>
  <c r="N33" i="3"/>
  <c r="O33" i="3" s="1"/>
  <c r="N171" i="2" l="1"/>
  <c r="O171" i="2" s="1"/>
  <c r="W33" i="3"/>
  <c r="L34" i="3" s="1"/>
  <c r="Q33" i="3"/>
  <c r="R33" i="3" s="1"/>
  <c r="P33" i="3"/>
  <c r="H33" i="3" s="1"/>
  <c r="X33" i="3"/>
  <c r="M34" i="3" s="1"/>
  <c r="V33" i="3"/>
  <c r="K34" i="3" s="1"/>
  <c r="T33" i="3"/>
  <c r="I34" i="3" s="1"/>
  <c r="U33" i="3"/>
  <c r="J34" i="3" s="1"/>
  <c r="N34" i="3" l="1"/>
  <c r="O34" i="3" s="1"/>
  <c r="P171" i="2"/>
  <c r="H171" i="2" s="1"/>
  <c r="X171" i="2"/>
  <c r="M172" i="2" s="1"/>
  <c r="W171" i="2"/>
  <c r="L172" i="2" s="1"/>
  <c r="V171" i="2"/>
  <c r="K172" i="2" s="1"/>
  <c r="U171" i="2"/>
  <c r="J172" i="2" s="1"/>
  <c r="T171" i="2"/>
  <c r="I172" i="2" s="1"/>
  <c r="Q171" i="2"/>
  <c r="R171" i="2" s="1"/>
  <c r="N172" i="2" l="1"/>
  <c r="O172" i="2" s="1"/>
  <c r="P34" i="3"/>
  <c r="H34" i="3" s="1"/>
  <c r="X34" i="3"/>
  <c r="M35" i="3" s="1"/>
  <c r="W34" i="3"/>
  <c r="L35" i="3" s="1"/>
  <c r="V34" i="3"/>
  <c r="K35" i="3" s="1"/>
  <c r="U34" i="3"/>
  <c r="J35" i="3" s="1"/>
  <c r="T34" i="3"/>
  <c r="I35" i="3" s="1"/>
  <c r="Q34" i="3"/>
  <c r="R34" i="3" s="1"/>
  <c r="N35" i="3" l="1"/>
  <c r="O35" i="3" s="1"/>
  <c r="Q172" i="2"/>
  <c r="R172" i="2" s="1"/>
  <c r="P172" i="2"/>
  <c r="H172" i="2" s="1"/>
  <c r="V172" i="2"/>
  <c r="K173" i="2" s="1"/>
  <c r="U172" i="2"/>
  <c r="J173" i="2" s="1"/>
  <c r="T172" i="2"/>
  <c r="I173" i="2" s="1"/>
  <c r="X172" i="2"/>
  <c r="M173" i="2" s="1"/>
  <c r="W172" i="2"/>
  <c r="L173" i="2" s="1"/>
  <c r="N173" i="2" l="1"/>
  <c r="O173" i="2" s="1"/>
  <c r="W35" i="3"/>
  <c r="L36" i="3" s="1"/>
  <c r="X35" i="3"/>
  <c r="M36" i="3" s="1"/>
  <c r="V35" i="3"/>
  <c r="K36" i="3" s="1"/>
  <c r="U35" i="3"/>
  <c r="J36" i="3" s="1"/>
  <c r="T35" i="3"/>
  <c r="I36" i="3" s="1"/>
  <c r="Q35" i="3"/>
  <c r="R35" i="3" s="1"/>
  <c r="P35" i="3"/>
  <c r="H35" i="3" s="1"/>
  <c r="N36" i="3" l="1"/>
  <c r="O36" i="3" s="1"/>
  <c r="Q173" i="2"/>
  <c r="R173" i="2" s="1"/>
  <c r="P173" i="2"/>
  <c r="H173" i="2" s="1"/>
  <c r="X173" i="2"/>
  <c r="M174" i="2" s="1"/>
  <c r="W173" i="2"/>
  <c r="L174" i="2" s="1"/>
  <c r="V173" i="2"/>
  <c r="K174" i="2" s="1"/>
  <c r="U173" i="2"/>
  <c r="J174" i="2" s="1"/>
  <c r="T173" i="2"/>
  <c r="I174" i="2" s="1"/>
  <c r="N174" i="2" l="1"/>
  <c r="O174" i="2" s="1"/>
  <c r="U36" i="3"/>
  <c r="J37" i="3" s="1"/>
  <c r="Q36" i="3"/>
  <c r="R36" i="3" s="1"/>
  <c r="P36" i="3"/>
  <c r="H36" i="3" s="1"/>
  <c r="X36" i="3"/>
  <c r="M37" i="3" s="1"/>
  <c r="W36" i="3"/>
  <c r="L37" i="3" s="1"/>
  <c r="V36" i="3"/>
  <c r="K37" i="3" s="1"/>
  <c r="T36" i="3"/>
  <c r="I37" i="3" s="1"/>
  <c r="N37" i="3" l="1"/>
  <c r="O37" i="3" s="1"/>
  <c r="T174" i="2"/>
  <c r="I175" i="2" s="1"/>
  <c r="Q174" i="2"/>
  <c r="R174" i="2" s="1"/>
  <c r="P174" i="2"/>
  <c r="H174" i="2" s="1"/>
  <c r="X174" i="2"/>
  <c r="M175" i="2" s="1"/>
  <c r="W174" i="2"/>
  <c r="L175" i="2" s="1"/>
  <c r="V174" i="2"/>
  <c r="K175" i="2" s="1"/>
  <c r="U174" i="2"/>
  <c r="J175" i="2" s="1"/>
  <c r="N175" i="2" l="1"/>
  <c r="O175" i="2" s="1"/>
  <c r="X37" i="3"/>
  <c r="M38" i="3" s="1"/>
  <c r="W37" i="3"/>
  <c r="L38" i="3" s="1"/>
  <c r="V37" i="3"/>
  <c r="K38" i="3" s="1"/>
  <c r="U37" i="3"/>
  <c r="J38" i="3" s="1"/>
  <c r="T37" i="3"/>
  <c r="I38" i="3" s="1"/>
  <c r="Q37" i="3"/>
  <c r="R37" i="3" s="1"/>
  <c r="P37" i="3"/>
  <c r="H37" i="3" s="1"/>
  <c r="N38" i="3" l="1"/>
  <c r="O38" i="3" s="1"/>
  <c r="U175" i="2"/>
  <c r="J176" i="2" s="1"/>
  <c r="T175" i="2"/>
  <c r="I176" i="2" s="1"/>
  <c r="Q175" i="2"/>
  <c r="R175" i="2" s="1"/>
  <c r="P175" i="2"/>
  <c r="H175" i="2" s="1"/>
  <c r="X175" i="2"/>
  <c r="M176" i="2" s="1"/>
  <c r="W175" i="2"/>
  <c r="L176" i="2" s="1"/>
  <c r="V175" i="2"/>
  <c r="K176" i="2" s="1"/>
  <c r="N176" i="2" l="1"/>
  <c r="O176" i="2" s="1"/>
  <c r="P38" i="3"/>
  <c r="H38" i="3" s="1"/>
  <c r="U38" i="3"/>
  <c r="J39" i="3" s="1"/>
  <c r="X38" i="3"/>
  <c r="M39" i="3" s="1"/>
  <c r="W38" i="3"/>
  <c r="L39" i="3" s="1"/>
  <c r="V38" i="3"/>
  <c r="K39" i="3" s="1"/>
  <c r="T38" i="3"/>
  <c r="I39" i="3" s="1"/>
  <c r="Q38" i="3"/>
  <c r="R38" i="3" s="1"/>
  <c r="N39" i="3" l="1"/>
  <c r="O39" i="3" s="1"/>
  <c r="V176" i="2"/>
  <c r="K177" i="2" s="1"/>
  <c r="U176" i="2"/>
  <c r="J177" i="2" s="1"/>
  <c r="T176" i="2"/>
  <c r="I177" i="2" s="1"/>
  <c r="Q176" i="2"/>
  <c r="R176" i="2" s="1"/>
  <c r="P176" i="2"/>
  <c r="H176" i="2" s="1"/>
  <c r="X176" i="2"/>
  <c r="M177" i="2" s="1"/>
  <c r="W176" i="2"/>
  <c r="L177" i="2" s="1"/>
  <c r="N177" i="2" l="1"/>
  <c r="O177" i="2" s="1"/>
  <c r="W39" i="3"/>
  <c r="L40" i="3" s="1"/>
  <c r="T39" i="3"/>
  <c r="I40" i="3" s="1"/>
  <c r="Q39" i="3"/>
  <c r="R39" i="3" s="1"/>
  <c r="P39" i="3"/>
  <c r="H39" i="3" s="1"/>
  <c r="X39" i="3"/>
  <c r="M40" i="3" s="1"/>
  <c r="V39" i="3"/>
  <c r="K40" i="3" s="1"/>
  <c r="U39" i="3"/>
  <c r="J40" i="3" s="1"/>
  <c r="N40" i="3" l="1"/>
  <c r="O40" i="3" s="1"/>
  <c r="W177" i="2"/>
  <c r="L178" i="2" s="1"/>
  <c r="V177" i="2"/>
  <c r="K178" i="2" s="1"/>
  <c r="U177" i="2"/>
  <c r="J178" i="2" s="1"/>
  <c r="T177" i="2"/>
  <c r="I178" i="2" s="1"/>
  <c r="Q177" i="2"/>
  <c r="R177" i="2" s="1"/>
  <c r="X177" i="2"/>
  <c r="M178" i="2" s="1"/>
  <c r="P177" i="2"/>
  <c r="H177" i="2" s="1"/>
  <c r="N178" i="2" l="1"/>
  <c r="O178" i="2" s="1"/>
  <c r="U40" i="3"/>
  <c r="J41" i="3" s="1"/>
  <c r="P40" i="3"/>
  <c r="H40" i="3" s="1"/>
  <c r="X40" i="3"/>
  <c r="M41" i="3" s="1"/>
  <c r="W40" i="3"/>
  <c r="L41" i="3" s="1"/>
  <c r="V40" i="3"/>
  <c r="K41" i="3" s="1"/>
  <c r="T40" i="3"/>
  <c r="I41" i="3" s="1"/>
  <c r="Q40" i="3"/>
  <c r="R40" i="3" s="1"/>
  <c r="N41" i="3" l="1"/>
  <c r="O41" i="3" s="1"/>
  <c r="X178" i="2"/>
  <c r="M179" i="2" s="1"/>
  <c r="W178" i="2"/>
  <c r="L179" i="2" s="1"/>
  <c r="V178" i="2"/>
  <c r="K179" i="2" s="1"/>
  <c r="U178" i="2"/>
  <c r="J179" i="2" s="1"/>
  <c r="T178" i="2"/>
  <c r="I179" i="2" s="1"/>
  <c r="Q178" i="2"/>
  <c r="R178" i="2" s="1"/>
  <c r="P178" i="2"/>
  <c r="H178" i="2" s="1"/>
  <c r="N179" i="2" l="1"/>
  <c r="O179" i="2" s="1"/>
  <c r="W41" i="3"/>
  <c r="L42" i="3" s="1"/>
  <c r="X41" i="3"/>
  <c r="M42" i="3" s="1"/>
  <c r="V41" i="3"/>
  <c r="K42" i="3" s="1"/>
  <c r="U41" i="3"/>
  <c r="J42" i="3" s="1"/>
  <c r="T41" i="3"/>
  <c r="I42" i="3" s="1"/>
  <c r="Q41" i="3"/>
  <c r="R41" i="3" s="1"/>
  <c r="P41" i="3"/>
  <c r="H41" i="3" s="1"/>
  <c r="N42" i="3" l="1"/>
  <c r="O42" i="3" s="1"/>
  <c r="X179" i="2"/>
  <c r="M180" i="2" s="1"/>
  <c r="W179" i="2"/>
  <c r="L180" i="2" s="1"/>
  <c r="V179" i="2"/>
  <c r="K180" i="2" s="1"/>
  <c r="U179" i="2"/>
  <c r="J180" i="2" s="1"/>
  <c r="T179" i="2"/>
  <c r="I180" i="2" s="1"/>
  <c r="P179" i="2"/>
  <c r="H179" i="2" s="1"/>
  <c r="Q179" i="2"/>
  <c r="R179" i="2" s="1"/>
  <c r="N180" i="2" l="1"/>
  <c r="O180" i="2" s="1"/>
  <c r="P42" i="3"/>
  <c r="H42" i="3" s="1"/>
  <c r="U42" i="3"/>
  <c r="J43" i="3" s="1"/>
  <c r="T42" i="3"/>
  <c r="I43" i="3" s="1"/>
  <c r="Q42" i="3"/>
  <c r="R42" i="3" s="1"/>
  <c r="X42" i="3"/>
  <c r="M43" i="3" s="1"/>
  <c r="W42" i="3"/>
  <c r="L43" i="3" s="1"/>
  <c r="V42" i="3"/>
  <c r="K43" i="3" s="1"/>
  <c r="N43" i="3" l="1"/>
  <c r="O43" i="3" s="1"/>
  <c r="X180" i="2"/>
  <c r="M181" i="2" s="1"/>
  <c r="W180" i="2"/>
  <c r="L181" i="2" s="1"/>
  <c r="V180" i="2"/>
  <c r="K181" i="2" s="1"/>
  <c r="U180" i="2"/>
  <c r="J181" i="2" s="1"/>
  <c r="T180" i="2"/>
  <c r="I181" i="2" s="1"/>
  <c r="Q180" i="2"/>
  <c r="R180" i="2" s="1"/>
  <c r="P180" i="2"/>
  <c r="H180" i="2" s="1"/>
  <c r="N181" i="2" l="1"/>
  <c r="O181" i="2" s="1"/>
  <c r="W43" i="3"/>
  <c r="L44" i="3" s="1"/>
  <c r="X43" i="3"/>
  <c r="M44" i="3" s="1"/>
  <c r="V43" i="3"/>
  <c r="K44" i="3" s="1"/>
  <c r="U43" i="3"/>
  <c r="J44" i="3" s="1"/>
  <c r="T43" i="3"/>
  <c r="I44" i="3" s="1"/>
  <c r="Q43" i="3"/>
  <c r="R43" i="3" s="1"/>
  <c r="P43" i="3"/>
  <c r="H43" i="3" s="1"/>
  <c r="N44" i="3" l="1"/>
  <c r="O44" i="3" s="1"/>
  <c r="X181" i="2"/>
  <c r="M182" i="2" s="1"/>
  <c r="W181" i="2"/>
  <c r="L182" i="2" s="1"/>
  <c r="V181" i="2"/>
  <c r="K182" i="2" s="1"/>
  <c r="U181" i="2"/>
  <c r="J182" i="2" s="1"/>
  <c r="T181" i="2"/>
  <c r="I182" i="2" s="1"/>
  <c r="Q181" i="2"/>
  <c r="R181" i="2" s="1"/>
  <c r="P181" i="2"/>
  <c r="H181" i="2" s="1"/>
  <c r="N182" i="2" l="1"/>
  <c r="O182" i="2" s="1"/>
  <c r="U44" i="3"/>
  <c r="J45" i="3" s="1"/>
  <c r="X44" i="3"/>
  <c r="M45" i="3" s="1"/>
  <c r="W44" i="3"/>
  <c r="L45" i="3" s="1"/>
  <c r="V44" i="3"/>
  <c r="K45" i="3" s="1"/>
  <c r="T44" i="3"/>
  <c r="I45" i="3" s="1"/>
  <c r="Q44" i="3"/>
  <c r="R44" i="3" s="1"/>
  <c r="P44" i="3"/>
  <c r="H44" i="3" s="1"/>
  <c r="N45" i="3" l="1"/>
  <c r="O45" i="3" s="1"/>
  <c r="X182" i="2"/>
  <c r="M183" i="2" s="1"/>
  <c r="W182" i="2"/>
  <c r="L183" i="2" s="1"/>
  <c r="V182" i="2"/>
  <c r="K183" i="2" s="1"/>
  <c r="U182" i="2"/>
  <c r="J183" i="2" s="1"/>
  <c r="T182" i="2"/>
  <c r="I183" i="2" s="1"/>
  <c r="Q182" i="2"/>
  <c r="R182" i="2" s="1"/>
  <c r="P182" i="2"/>
  <c r="H182" i="2" s="1"/>
  <c r="N183" i="2" l="1"/>
  <c r="O183" i="2" s="1"/>
  <c r="X45" i="3"/>
  <c r="M46" i="3" s="1"/>
  <c r="V45" i="3"/>
  <c r="K46" i="3" s="1"/>
  <c r="W45" i="3"/>
  <c r="L46" i="3" s="1"/>
  <c r="U45" i="3"/>
  <c r="J46" i="3" s="1"/>
  <c r="T45" i="3"/>
  <c r="I46" i="3" s="1"/>
  <c r="Q45" i="3"/>
  <c r="R45" i="3" s="1"/>
  <c r="P45" i="3"/>
  <c r="H45" i="3" s="1"/>
  <c r="N46" i="3" l="1"/>
  <c r="O46" i="3" s="1"/>
  <c r="X183" i="2"/>
  <c r="M184" i="2" s="1"/>
  <c r="W183" i="2"/>
  <c r="L184" i="2" s="1"/>
  <c r="V183" i="2"/>
  <c r="K184" i="2" s="1"/>
  <c r="U183" i="2"/>
  <c r="J184" i="2" s="1"/>
  <c r="T183" i="2"/>
  <c r="I184" i="2" s="1"/>
  <c r="Q183" i="2"/>
  <c r="R183" i="2" s="1"/>
  <c r="P183" i="2"/>
  <c r="H183" i="2" s="1"/>
  <c r="N184" i="2" l="1"/>
  <c r="O184" i="2" s="1"/>
  <c r="Q46" i="3"/>
  <c r="R46" i="3" s="1"/>
  <c r="S46" i="3" s="1"/>
  <c r="C111" i="3" s="1"/>
  <c r="P46" i="3"/>
  <c r="H46" i="3" s="1"/>
  <c r="F111" i="3" s="1"/>
  <c r="X46" i="3"/>
  <c r="W46" i="3"/>
  <c r="U46" i="3"/>
  <c r="T46" i="3"/>
  <c r="V46" i="3"/>
  <c r="Q184" i="2" l="1"/>
  <c r="R184" i="2" s="1"/>
  <c r="P184" i="2"/>
  <c r="H184" i="2" s="1"/>
  <c r="X184" i="2"/>
  <c r="M185" i="2" s="1"/>
  <c r="W184" i="2"/>
  <c r="L185" i="2" s="1"/>
  <c r="V184" i="2"/>
  <c r="K185" i="2" s="1"/>
  <c r="U184" i="2"/>
  <c r="J185" i="2" s="1"/>
  <c r="T184" i="2"/>
  <c r="I185" i="2" s="1"/>
  <c r="N185" i="2" l="1"/>
  <c r="O185" i="2" s="1"/>
  <c r="T185" i="2" l="1"/>
  <c r="I186" i="2" s="1"/>
  <c r="Q185" i="2"/>
  <c r="R185" i="2" s="1"/>
  <c r="P185" i="2"/>
  <c r="H185" i="2" s="1"/>
  <c r="X185" i="2"/>
  <c r="M186" i="2" s="1"/>
  <c r="W185" i="2"/>
  <c r="L186" i="2" s="1"/>
  <c r="V185" i="2"/>
  <c r="K186" i="2" s="1"/>
  <c r="U185" i="2"/>
  <c r="J186" i="2" s="1"/>
  <c r="N186" i="2" l="1"/>
  <c r="O186" i="2" s="1"/>
  <c r="V186" i="2" l="1"/>
  <c r="K187" i="2" s="1"/>
  <c r="U186" i="2"/>
  <c r="J187" i="2" s="1"/>
  <c r="T186" i="2"/>
  <c r="I187" i="2" s="1"/>
  <c r="Q186" i="2"/>
  <c r="R186" i="2" s="1"/>
  <c r="P186" i="2"/>
  <c r="H186" i="2" s="1"/>
  <c r="X186" i="2"/>
  <c r="M187" i="2" s="1"/>
  <c r="W186" i="2"/>
  <c r="L187" i="2" s="1"/>
  <c r="N187" i="2" l="1"/>
  <c r="O187" i="2" s="1"/>
  <c r="X187" i="2" l="1"/>
  <c r="M188" i="2" s="1"/>
  <c r="W187" i="2"/>
  <c r="L188" i="2" s="1"/>
  <c r="V187" i="2"/>
  <c r="K188" i="2" s="1"/>
  <c r="U187" i="2"/>
  <c r="J188" i="2" s="1"/>
  <c r="T187" i="2"/>
  <c r="I188" i="2" s="1"/>
  <c r="Q187" i="2"/>
  <c r="R187" i="2" s="1"/>
  <c r="P187" i="2"/>
  <c r="H187" i="2" s="1"/>
  <c r="N188" i="2" l="1"/>
  <c r="O188" i="2" s="1"/>
  <c r="X188" i="2" l="1"/>
  <c r="M189" i="2" s="1"/>
  <c r="W188" i="2"/>
  <c r="L189" i="2" s="1"/>
  <c r="V188" i="2"/>
  <c r="K189" i="2" s="1"/>
  <c r="U188" i="2"/>
  <c r="J189" i="2" s="1"/>
  <c r="Q188" i="2"/>
  <c r="R188" i="2" s="1"/>
  <c r="T188" i="2"/>
  <c r="I189" i="2" s="1"/>
  <c r="P188" i="2"/>
  <c r="H188" i="2" s="1"/>
  <c r="N189" i="2" l="1"/>
  <c r="O189" i="2" s="1"/>
  <c r="X189" i="2" l="1"/>
  <c r="M190" i="2" s="1"/>
  <c r="W189" i="2"/>
  <c r="L190" i="2" s="1"/>
  <c r="T189" i="2"/>
  <c r="I190" i="2" s="1"/>
  <c r="V189" i="2"/>
  <c r="K190" i="2" s="1"/>
  <c r="U189" i="2"/>
  <c r="J190" i="2" s="1"/>
  <c r="Q189" i="2"/>
  <c r="R189" i="2" s="1"/>
  <c r="P189" i="2"/>
  <c r="H189" i="2" s="1"/>
  <c r="N190" i="2" l="1"/>
  <c r="O190" i="2" s="1"/>
  <c r="X190" i="2" l="1"/>
  <c r="M191" i="2" s="1"/>
  <c r="W190" i="2"/>
  <c r="L191" i="2" s="1"/>
  <c r="V190" i="2"/>
  <c r="K191" i="2" s="1"/>
  <c r="U190" i="2"/>
  <c r="J191" i="2" s="1"/>
  <c r="T190" i="2"/>
  <c r="I191" i="2" s="1"/>
  <c r="Q190" i="2"/>
  <c r="R190" i="2" s="1"/>
  <c r="P190" i="2"/>
  <c r="H190" i="2" s="1"/>
  <c r="N191" i="2" l="1"/>
  <c r="O191" i="2" s="1"/>
  <c r="X191" i="2" l="1"/>
  <c r="M192" i="2" s="1"/>
  <c r="P191" i="2"/>
  <c r="H191" i="2" s="1"/>
  <c r="W191" i="2"/>
  <c r="L192" i="2" s="1"/>
  <c r="V191" i="2"/>
  <c r="K192" i="2" s="1"/>
  <c r="U191" i="2"/>
  <c r="J192" i="2" s="1"/>
  <c r="T191" i="2"/>
  <c r="I192" i="2" s="1"/>
  <c r="Q191" i="2"/>
  <c r="R191" i="2" s="1"/>
  <c r="N192" i="2" l="1"/>
  <c r="O192" i="2" s="1"/>
  <c r="Q192" i="2" l="1"/>
  <c r="R192" i="2" s="1"/>
  <c r="P192" i="2"/>
  <c r="H192" i="2" s="1"/>
  <c r="X192" i="2"/>
  <c r="M193" i="2" s="1"/>
  <c r="W192" i="2"/>
  <c r="L193" i="2" s="1"/>
  <c r="V192" i="2"/>
  <c r="K193" i="2" s="1"/>
  <c r="U192" i="2"/>
  <c r="J193" i="2" s="1"/>
  <c r="T192" i="2"/>
  <c r="I193" i="2" s="1"/>
  <c r="N193" i="2" l="1"/>
  <c r="O193" i="2" s="1"/>
  <c r="T193" i="2" l="1"/>
  <c r="I194" i="2" s="1"/>
  <c r="Q193" i="2"/>
  <c r="R193" i="2" s="1"/>
  <c r="P193" i="2"/>
  <c r="H193" i="2" s="1"/>
  <c r="W193" i="2"/>
  <c r="L194" i="2" s="1"/>
  <c r="V193" i="2"/>
  <c r="K194" i="2" s="1"/>
  <c r="U193" i="2"/>
  <c r="J194" i="2" s="1"/>
  <c r="X193" i="2"/>
  <c r="M194" i="2" s="1"/>
  <c r="N194" i="2" l="1"/>
  <c r="O194" i="2" s="1"/>
  <c r="V194" i="2" l="1"/>
  <c r="K195" i="2" s="1"/>
  <c r="U194" i="2"/>
  <c r="J195" i="2" s="1"/>
  <c r="T194" i="2"/>
  <c r="I195" i="2" s="1"/>
  <c r="Q194" i="2"/>
  <c r="R194" i="2" s="1"/>
  <c r="P194" i="2"/>
  <c r="H194" i="2" s="1"/>
  <c r="X194" i="2"/>
  <c r="M195" i="2" s="1"/>
  <c r="W194" i="2"/>
  <c r="L195" i="2" s="1"/>
  <c r="N195" i="2" l="1"/>
  <c r="O195" i="2" s="1"/>
  <c r="X195" i="2" l="1"/>
  <c r="M196" i="2" s="1"/>
  <c r="W195" i="2"/>
  <c r="L196" i="2" s="1"/>
  <c r="V195" i="2"/>
  <c r="K196" i="2" s="1"/>
  <c r="U195" i="2"/>
  <c r="J196" i="2" s="1"/>
  <c r="T195" i="2"/>
  <c r="I196" i="2" s="1"/>
  <c r="Q195" i="2"/>
  <c r="R195" i="2" s="1"/>
  <c r="P195" i="2"/>
  <c r="H195" i="2" s="1"/>
  <c r="N196" i="2" l="1"/>
  <c r="O196" i="2" s="1"/>
  <c r="X196" i="2" l="1"/>
  <c r="M197" i="2" s="1"/>
  <c r="W196" i="2"/>
  <c r="L197" i="2" s="1"/>
  <c r="V196" i="2"/>
  <c r="K197" i="2" s="1"/>
  <c r="U196" i="2"/>
  <c r="J197" i="2" s="1"/>
  <c r="T196" i="2"/>
  <c r="I197" i="2" s="1"/>
  <c r="Q196" i="2"/>
  <c r="R196" i="2" s="1"/>
  <c r="P196" i="2"/>
  <c r="H196" i="2" s="1"/>
  <c r="N197" i="2" l="1"/>
  <c r="O197" i="2" s="1"/>
  <c r="X197" i="2" l="1"/>
  <c r="M198" i="2" s="1"/>
  <c r="W197" i="2"/>
  <c r="L198" i="2" s="1"/>
  <c r="V197" i="2"/>
  <c r="K198" i="2" s="1"/>
  <c r="U197" i="2"/>
  <c r="J198" i="2" s="1"/>
  <c r="T197" i="2"/>
  <c r="I198" i="2" s="1"/>
  <c r="Q197" i="2"/>
  <c r="R197" i="2" s="1"/>
  <c r="P197" i="2"/>
  <c r="H197" i="2" s="1"/>
  <c r="N198" i="2" l="1"/>
  <c r="O198" i="2" s="1"/>
  <c r="X198" i="2" l="1"/>
  <c r="M199" i="2" s="1"/>
  <c r="W198" i="2"/>
  <c r="L199" i="2" s="1"/>
  <c r="V198" i="2"/>
  <c r="K199" i="2" s="1"/>
  <c r="U198" i="2"/>
  <c r="J199" i="2" s="1"/>
  <c r="T198" i="2"/>
  <c r="I199" i="2" s="1"/>
  <c r="Q198" i="2"/>
  <c r="R198" i="2" s="1"/>
  <c r="P198" i="2"/>
  <c r="H198" i="2" s="1"/>
  <c r="N199" i="2" l="1"/>
  <c r="O199" i="2" s="1"/>
  <c r="X199" i="2" l="1"/>
  <c r="M200" i="2" s="1"/>
  <c r="W199" i="2"/>
  <c r="L200" i="2" s="1"/>
  <c r="V199" i="2"/>
  <c r="K200" i="2" s="1"/>
  <c r="U199" i="2"/>
  <c r="J200" i="2" s="1"/>
  <c r="T199" i="2"/>
  <c r="I200" i="2" s="1"/>
  <c r="Q199" i="2"/>
  <c r="R199" i="2" s="1"/>
  <c r="P199" i="2"/>
  <c r="H199" i="2" s="1"/>
  <c r="N200" i="2" l="1"/>
  <c r="O200" i="2" s="1"/>
  <c r="Q200" i="2" l="1"/>
  <c r="R200" i="2" s="1"/>
  <c r="P200" i="2"/>
  <c r="H200" i="2" s="1"/>
  <c r="X200" i="2"/>
  <c r="M201" i="2" s="1"/>
  <c r="W200" i="2"/>
  <c r="L201" i="2" s="1"/>
  <c r="V200" i="2"/>
  <c r="K201" i="2" s="1"/>
  <c r="U200" i="2"/>
  <c r="J201" i="2" s="1"/>
  <c r="T200" i="2"/>
  <c r="I201" i="2" s="1"/>
  <c r="N201" i="2" l="1"/>
  <c r="O201" i="2" s="1"/>
  <c r="T201" i="2" l="1"/>
  <c r="I202" i="2" s="1"/>
  <c r="Q201" i="2"/>
  <c r="R201" i="2" s="1"/>
  <c r="P201" i="2"/>
  <c r="H201" i="2" s="1"/>
  <c r="V201" i="2"/>
  <c r="K202" i="2" s="1"/>
  <c r="U201" i="2"/>
  <c r="J202" i="2" s="1"/>
  <c r="X201" i="2"/>
  <c r="M202" i="2" s="1"/>
  <c r="W201" i="2"/>
  <c r="L202" i="2" s="1"/>
  <c r="N202" i="2" l="1"/>
  <c r="O202" i="2" s="1"/>
  <c r="V202" i="2" l="1"/>
  <c r="K203" i="2" s="1"/>
  <c r="U202" i="2"/>
  <c r="J203" i="2" s="1"/>
  <c r="T202" i="2"/>
  <c r="I203" i="2" s="1"/>
  <c r="Q202" i="2"/>
  <c r="R202" i="2" s="1"/>
  <c r="P202" i="2"/>
  <c r="H202" i="2" s="1"/>
  <c r="X202" i="2"/>
  <c r="M203" i="2" s="1"/>
  <c r="W202" i="2"/>
  <c r="L203" i="2" s="1"/>
  <c r="N203" i="2" l="1"/>
  <c r="O203" i="2" s="1"/>
  <c r="X203" i="2" l="1"/>
  <c r="M204" i="2" s="1"/>
  <c r="W203" i="2"/>
  <c r="L204" i="2" s="1"/>
  <c r="V203" i="2"/>
  <c r="K204" i="2" s="1"/>
  <c r="U203" i="2"/>
  <c r="J204" i="2" s="1"/>
  <c r="T203" i="2"/>
  <c r="I204" i="2" s="1"/>
  <c r="Q203" i="2"/>
  <c r="R203" i="2" s="1"/>
  <c r="P203" i="2"/>
  <c r="H203" i="2" s="1"/>
  <c r="N204" i="2" l="1"/>
  <c r="O204" i="2" s="1"/>
  <c r="X204" i="2" l="1"/>
  <c r="M205" i="2" s="1"/>
  <c r="W204" i="2"/>
  <c r="L205" i="2" s="1"/>
  <c r="V204" i="2"/>
  <c r="K205" i="2" s="1"/>
  <c r="U204" i="2"/>
  <c r="J205" i="2" s="1"/>
  <c r="T204" i="2"/>
  <c r="I205" i="2" s="1"/>
  <c r="Q204" i="2"/>
  <c r="R204" i="2" s="1"/>
  <c r="P204" i="2"/>
  <c r="H204" i="2" s="1"/>
  <c r="N205" i="2" l="1"/>
  <c r="O205" i="2" s="1"/>
  <c r="X205" i="2" l="1"/>
  <c r="M206" i="2" s="1"/>
  <c r="W205" i="2"/>
  <c r="L206" i="2" s="1"/>
  <c r="V205" i="2"/>
  <c r="K206" i="2" s="1"/>
  <c r="U205" i="2"/>
  <c r="J206" i="2" s="1"/>
  <c r="T205" i="2"/>
  <c r="I206" i="2" s="1"/>
  <c r="Q205" i="2"/>
  <c r="R205" i="2" s="1"/>
  <c r="P205" i="2"/>
  <c r="H205" i="2" s="1"/>
  <c r="N206" i="2" l="1"/>
  <c r="O206" i="2" s="1"/>
  <c r="X206" i="2" l="1"/>
  <c r="M207" i="2" s="1"/>
  <c r="W206" i="2"/>
  <c r="L207" i="2" s="1"/>
  <c r="V206" i="2"/>
  <c r="K207" i="2" s="1"/>
  <c r="T206" i="2"/>
  <c r="I207" i="2" s="1"/>
  <c r="U206" i="2"/>
  <c r="J207" i="2" s="1"/>
  <c r="Q206" i="2"/>
  <c r="R206" i="2" s="1"/>
  <c r="P206" i="2"/>
  <c r="H206" i="2" s="1"/>
  <c r="N207" i="2" l="1"/>
  <c r="O207" i="2" s="1"/>
  <c r="X207" i="2" l="1"/>
  <c r="M208" i="2" s="1"/>
  <c r="V207" i="2"/>
  <c r="K208" i="2" s="1"/>
  <c r="P207" i="2"/>
  <c r="H207" i="2" s="1"/>
  <c r="W207" i="2"/>
  <c r="L208" i="2" s="1"/>
  <c r="U207" i="2"/>
  <c r="J208" i="2" s="1"/>
  <c r="T207" i="2"/>
  <c r="I208" i="2" s="1"/>
  <c r="Q207" i="2"/>
  <c r="R207" i="2" s="1"/>
  <c r="N208" i="2" l="1"/>
  <c r="O208" i="2" s="1"/>
  <c r="Q208" i="2" l="1"/>
  <c r="R208" i="2" s="1"/>
  <c r="P208" i="2"/>
  <c r="H208" i="2" s="1"/>
  <c r="X208" i="2"/>
  <c r="M209" i="2" s="1"/>
  <c r="W208" i="2"/>
  <c r="L209" i="2" s="1"/>
  <c r="V208" i="2"/>
  <c r="K209" i="2" s="1"/>
  <c r="U208" i="2"/>
  <c r="J209" i="2" s="1"/>
  <c r="T208" i="2"/>
  <c r="I209" i="2" s="1"/>
  <c r="N209" i="2" l="1"/>
  <c r="O209" i="2" s="1"/>
  <c r="T209" i="2" l="1"/>
  <c r="I210" i="2" s="1"/>
  <c r="Q209" i="2"/>
  <c r="R209" i="2" s="1"/>
  <c r="P209" i="2"/>
  <c r="H209" i="2" s="1"/>
  <c r="X209" i="2"/>
  <c r="M210" i="2" s="1"/>
  <c r="W209" i="2"/>
  <c r="L210" i="2" s="1"/>
  <c r="V209" i="2"/>
  <c r="K210" i="2" s="1"/>
  <c r="U209" i="2"/>
  <c r="J210" i="2" s="1"/>
  <c r="N210" i="2" l="1"/>
  <c r="O210" i="2" s="1"/>
  <c r="V210" i="2" l="1"/>
  <c r="K211" i="2" s="1"/>
  <c r="U210" i="2"/>
  <c r="J211" i="2" s="1"/>
  <c r="T210" i="2"/>
  <c r="I211" i="2" s="1"/>
  <c r="Q210" i="2"/>
  <c r="R210" i="2" s="1"/>
  <c r="P210" i="2"/>
  <c r="H210" i="2" s="1"/>
  <c r="X210" i="2"/>
  <c r="M211" i="2" s="1"/>
  <c r="W210" i="2"/>
  <c r="L211" i="2" s="1"/>
  <c r="N211" i="2" l="1"/>
  <c r="O211" i="2" s="1"/>
  <c r="X211" i="2" l="1"/>
  <c r="M212" i="2" s="1"/>
  <c r="W211" i="2"/>
  <c r="L212" i="2" s="1"/>
  <c r="V211" i="2"/>
  <c r="K212" i="2" s="1"/>
  <c r="U211" i="2"/>
  <c r="J212" i="2" s="1"/>
  <c r="T211" i="2"/>
  <c r="I212" i="2" s="1"/>
  <c r="Q211" i="2"/>
  <c r="R211" i="2" s="1"/>
  <c r="P211" i="2"/>
  <c r="H211" i="2" s="1"/>
  <c r="N212" i="2" l="1"/>
  <c r="O212" i="2" s="1"/>
  <c r="X212" i="2" l="1"/>
  <c r="M213" i="2" s="1"/>
  <c r="W212" i="2"/>
  <c r="L213" i="2" s="1"/>
  <c r="V212" i="2"/>
  <c r="K213" i="2" s="1"/>
  <c r="U212" i="2"/>
  <c r="J213" i="2" s="1"/>
  <c r="T212" i="2"/>
  <c r="I213" i="2" s="1"/>
  <c r="Q212" i="2"/>
  <c r="R212" i="2" s="1"/>
  <c r="P212" i="2"/>
  <c r="H212" i="2" s="1"/>
  <c r="N213" i="2" l="1"/>
  <c r="O213" i="2" s="1"/>
  <c r="X213" i="2" l="1"/>
  <c r="M214" i="2" s="1"/>
  <c r="W213" i="2"/>
  <c r="L214" i="2" s="1"/>
  <c r="V213" i="2"/>
  <c r="K214" i="2" s="1"/>
  <c r="U213" i="2"/>
  <c r="J214" i="2" s="1"/>
  <c r="T213" i="2"/>
  <c r="I214" i="2" s="1"/>
  <c r="Q213" i="2"/>
  <c r="R213" i="2" s="1"/>
  <c r="P213" i="2"/>
  <c r="H213" i="2" s="1"/>
  <c r="N214" i="2" l="1"/>
  <c r="O214" i="2" s="1"/>
  <c r="X214" i="2" l="1"/>
  <c r="M215" i="2" s="1"/>
  <c r="W214" i="2"/>
  <c r="L215" i="2" s="1"/>
  <c r="V214" i="2"/>
  <c r="K215" i="2" s="1"/>
  <c r="T214" i="2"/>
  <c r="I215" i="2" s="1"/>
  <c r="U214" i="2"/>
  <c r="J215" i="2" s="1"/>
  <c r="Q214" i="2"/>
  <c r="R214" i="2" s="1"/>
  <c r="P214" i="2"/>
  <c r="H214" i="2" s="1"/>
  <c r="N215" i="2" l="1"/>
  <c r="O215" i="2" s="1"/>
  <c r="X215" i="2" l="1"/>
  <c r="M216" i="2" s="1"/>
  <c r="V215" i="2"/>
  <c r="K216" i="2" s="1"/>
  <c r="W215" i="2"/>
  <c r="L216" i="2" s="1"/>
  <c r="U215" i="2"/>
  <c r="J216" i="2" s="1"/>
  <c r="T215" i="2"/>
  <c r="I216" i="2" s="1"/>
  <c r="Q215" i="2"/>
  <c r="R215" i="2" s="1"/>
  <c r="P215" i="2"/>
  <c r="H215" i="2" s="1"/>
  <c r="N216" i="2" l="1"/>
  <c r="O216" i="2" s="1"/>
  <c r="Q216" i="2" l="1"/>
  <c r="R216" i="2" s="1"/>
  <c r="P216" i="2"/>
  <c r="H216" i="2" s="1"/>
  <c r="X216" i="2"/>
  <c r="M217" i="2" s="1"/>
  <c r="W216" i="2"/>
  <c r="L217" i="2" s="1"/>
  <c r="V216" i="2"/>
  <c r="K217" i="2" s="1"/>
  <c r="U216" i="2"/>
  <c r="J217" i="2" s="1"/>
  <c r="T216" i="2"/>
  <c r="I217" i="2" s="1"/>
  <c r="N217" i="2" l="1"/>
  <c r="O217" i="2" s="1"/>
  <c r="T217" i="2" l="1"/>
  <c r="I218" i="2" s="1"/>
  <c r="Q217" i="2"/>
  <c r="R217" i="2" s="1"/>
  <c r="P217" i="2"/>
  <c r="H217" i="2" s="1"/>
  <c r="X217" i="2"/>
  <c r="M218" i="2" s="1"/>
  <c r="W217" i="2"/>
  <c r="L218" i="2" s="1"/>
  <c r="V217" i="2"/>
  <c r="K218" i="2" s="1"/>
  <c r="U217" i="2"/>
  <c r="J218" i="2" s="1"/>
  <c r="N218" i="2" l="1"/>
  <c r="O218" i="2" s="1"/>
  <c r="V218" i="2" l="1"/>
  <c r="K219" i="2" s="1"/>
  <c r="U218" i="2"/>
  <c r="J219" i="2" s="1"/>
  <c r="T218" i="2"/>
  <c r="I219" i="2" s="1"/>
  <c r="Q218" i="2"/>
  <c r="R218" i="2" s="1"/>
  <c r="P218" i="2"/>
  <c r="H218" i="2" s="1"/>
  <c r="X218" i="2"/>
  <c r="M219" i="2" s="1"/>
  <c r="W218" i="2"/>
  <c r="L219" i="2" s="1"/>
  <c r="N219" i="2" l="1"/>
  <c r="O219" i="2" s="1"/>
  <c r="X219" i="2" l="1"/>
  <c r="M220" i="2" s="1"/>
  <c r="W219" i="2"/>
  <c r="L220" i="2" s="1"/>
  <c r="V219" i="2"/>
  <c r="K220" i="2" s="1"/>
  <c r="U219" i="2"/>
  <c r="J220" i="2" s="1"/>
  <c r="T219" i="2"/>
  <c r="I220" i="2" s="1"/>
  <c r="Q219" i="2"/>
  <c r="R219" i="2" s="1"/>
  <c r="P219" i="2"/>
  <c r="H219" i="2" s="1"/>
  <c r="N220" i="2" l="1"/>
  <c r="O220" i="2" s="1"/>
  <c r="X220" i="2" l="1"/>
  <c r="M221" i="2" s="1"/>
  <c r="W220" i="2"/>
  <c r="L221" i="2" s="1"/>
  <c r="V220" i="2"/>
  <c r="K221" i="2" s="1"/>
  <c r="U220" i="2"/>
  <c r="J221" i="2" s="1"/>
  <c r="T220" i="2"/>
  <c r="I221" i="2" s="1"/>
  <c r="Q220" i="2"/>
  <c r="R220" i="2" s="1"/>
  <c r="P220" i="2"/>
  <c r="H220" i="2" s="1"/>
  <c r="N221" i="2" l="1"/>
  <c r="O221" i="2" s="1"/>
  <c r="X221" i="2" l="1"/>
  <c r="M222" i="2" s="1"/>
  <c r="W221" i="2"/>
  <c r="L222" i="2" s="1"/>
  <c r="V221" i="2"/>
  <c r="K222" i="2" s="1"/>
  <c r="U221" i="2"/>
  <c r="J222" i="2" s="1"/>
  <c r="T221" i="2"/>
  <c r="I222" i="2" s="1"/>
  <c r="Q221" i="2"/>
  <c r="R221" i="2" s="1"/>
  <c r="P221" i="2"/>
  <c r="H221" i="2" s="1"/>
  <c r="N222" i="2" l="1"/>
  <c r="O222" i="2" s="1"/>
  <c r="X222" i="2" l="1"/>
  <c r="M223" i="2" s="1"/>
  <c r="W222" i="2"/>
  <c r="L223" i="2" s="1"/>
  <c r="U222" i="2"/>
  <c r="J223" i="2" s="1"/>
  <c r="Q222" i="2"/>
  <c r="R222" i="2" s="1"/>
  <c r="P222" i="2"/>
  <c r="H222" i="2" s="1"/>
  <c r="V222" i="2"/>
  <c r="K223" i="2" s="1"/>
  <c r="T222" i="2"/>
  <c r="I223" i="2" s="1"/>
  <c r="N223" i="2" l="1"/>
  <c r="O223" i="2" s="1"/>
  <c r="Q223" i="2" l="1"/>
  <c r="R223" i="2" s="1"/>
  <c r="P223" i="2"/>
  <c r="H223" i="2" s="1"/>
  <c r="X223" i="2"/>
  <c r="M224" i="2" s="1"/>
  <c r="W223" i="2"/>
  <c r="L224" i="2" s="1"/>
  <c r="V223" i="2"/>
  <c r="K224" i="2" s="1"/>
  <c r="U223" i="2"/>
  <c r="J224" i="2" s="1"/>
  <c r="T223" i="2"/>
  <c r="I224" i="2" s="1"/>
  <c r="N224" i="2" l="1"/>
  <c r="O224" i="2" s="1"/>
  <c r="U224" i="2" l="1"/>
  <c r="J225" i="2" s="1"/>
  <c r="T224" i="2"/>
  <c r="I225" i="2" s="1"/>
  <c r="Q224" i="2"/>
  <c r="R224" i="2" s="1"/>
  <c r="P224" i="2"/>
  <c r="H224" i="2" s="1"/>
  <c r="X224" i="2"/>
  <c r="M225" i="2" s="1"/>
  <c r="W224" i="2"/>
  <c r="L225" i="2" s="1"/>
  <c r="V224" i="2"/>
  <c r="K225" i="2" s="1"/>
  <c r="N225" i="2" l="1"/>
  <c r="O225" i="2" s="1"/>
  <c r="X225" i="2" l="1"/>
  <c r="M226" i="2" s="1"/>
  <c r="W225" i="2"/>
  <c r="L226" i="2" s="1"/>
  <c r="V225" i="2"/>
  <c r="K226" i="2" s="1"/>
  <c r="U225" i="2"/>
  <c r="J226" i="2" s="1"/>
  <c r="T225" i="2"/>
  <c r="I226" i="2" s="1"/>
  <c r="Q225" i="2"/>
  <c r="R225" i="2" s="1"/>
  <c r="P225" i="2"/>
  <c r="H225" i="2" s="1"/>
  <c r="N226" i="2" l="1"/>
  <c r="O226" i="2" s="1"/>
  <c r="X226" i="2" l="1"/>
  <c r="M227" i="2" s="1"/>
  <c r="W226" i="2"/>
  <c r="L227" i="2" s="1"/>
  <c r="V226" i="2"/>
  <c r="K227" i="2" s="1"/>
  <c r="U226" i="2"/>
  <c r="J227" i="2" s="1"/>
  <c r="T226" i="2"/>
  <c r="I227" i="2" s="1"/>
  <c r="Q226" i="2"/>
  <c r="R226" i="2" s="1"/>
  <c r="P226" i="2"/>
  <c r="H226" i="2" s="1"/>
  <c r="N227" i="2" l="1"/>
  <c r="O227" i="2" s="1"/>
  <c r="X227" i="2" l="1"/>
  <c r="M228" i="2" s="1"/>
  <c r="W227" i="2"/>
  <c r="L228" i="2" s="1"/>
  <c r="V227" i="2"/>
  <c r="K228" i="2" s="1"/>
  <c r="U227" i="2"/>
  <c r="J228" i="2" s="1"/>
  <c r="T227" i="2"/>
  <c r="I228" i="2" s="1"/>
  <c r="Q227" i="2"/>
  <c r="R227" i="2" s="1"/>
  <c r="P227" i="2"/>
  <c r="H227" i="2" s="1"/>
  <c r="N228" i="2" l="1"/>
  <c r="O228" i="2" s="1"/>
  <c r="P228" i="2" l="1"/>
  <c r="H228" i="2" s="1"/>
  <c r="X228" i="2"/>
  <c r="M229" i="2" s="1"/>
  <c r="W228" i="2"/>
  <c r="L229" i="2" s="1"/>
  <c r="V228" i="2"/>
  <c r="K229" i="2" s="1"/>
  <c r="U228" i="2"/>
  <c r="J229" i="2" s="1"/>
  <c r="T228" i="2"/>
  <c r="I229" i="2" s="1"/>
  <c r="Q228" i="2"/>
  <c r="R228" i="2" s="1"/>
  <c r="N229" i="2" l="1"/>
  <c r="O229" i="2" s="1"/>
  <c r="T229" i="2" l="1"/>
  <c r="I230" i="2" s="1"/>
  <c r="Q229" i="2"/>
  <c r="R229" i="2" s="1"/>
  <c r="P229" i="2"/>
  <c r="H229" i="2" s="1"/>
  <c r="X229" i="2"/>
  <c r="M230" i="2" s="1"/>
  <c r="W229" i="2"/>
  <c r="L230" i="2" s="1"/>
  <c r="V229" i="2"/>
  <c r="K230" i="2" s="1"/>
  <c r="U229" i="2"/>
  <c r="J230" i="2" s="1"/>
  <c r="N230" i="2" l="1"/>
  <c r="O230" i="2" s="1"/>
  <c r="X230" i="2" l="1"/>
  <c r="M231" i="2" s="1"/>
  <c r="W230" i="2"/>
  <c r="L231" i="2" s="1"/>
  <c r="V230" i="2"/>
  <c r="K231" i="2" s="1"/>
  <c r="U230" i="2"/>
  <c r="J231" i="2" s="1"/>
  <c r="T230" i="2"/>
  <c r="I231" i="2" s="1"/>
  <c r="Q230" i="2"/>
  <c r="R230" i="2" s="1"/>
  <c r="P230" i="2"/>
  <c r="H230" i="2" s="1"/>
  <c r="N231" i="2" l="1"/>
  <c r="O231" i="2" s="1"/>
  <c r="X231" i="2" l="1"/>
  <c r="M232" i="2" s="1"/>
  <c r="W231" i="2"/>
  <c r="L232" i="2" s="1"/>
  <c r="V231" i="2"/>
  <c r="K232" i="2" s="1"/>
  <c r="U231" i="2"/>
  <c r="J232" i="2" s="1"/>
  <c r="T231" i="2"/>
  <c r="I232" i="2" s="1"/>
  <c r="Q231" i="2"/>
  <c r="R231" i="2" s="1"/>
  <c r="P231" i="2"/>
  <c r="H231" i="2" s="1"/>
  <c r="N232" i="2" l="1"/>
  <c r="O232" i="2" s="1"/>
  <c r="Q232" i="2" l="1"/>
  <c r="R232" i="2" s="1"/>
  <c r="P232" i="2"/>
  <c r="H232" i="2" s="1"/>
  <c r="X232" i="2"/>
  <c r="M233" i="2" s="1"/>
  <c r="W232" i="2"/>
  <c r="L233" i="2" s="1"/>
  <c r="V232" i="2"/>
  <c r="K233" i="2" s="1"/>
  <c r="U232" i="2"/>
  <c r="J233" i="2" s="1"/>
  <c r="T232" i="2"/>
  <c r="I233" i="2" s="1"/>
  <c r="N233" i="2" l="1"/>
  <c r="O233" i="2" s="1"/>
  <c r="W233" i="2" l="1"/>
  <c r="L234" i="2" s="1"/>
  <c r="V233" i="2"/>
  <c r="K234" i="2" s="1"/>
  <c r="U233" i="2"/>
  <c r="J234" i="2" s="1"/>
  <c r="T233" i="2"/>
  <c r="I234" i="2" s="1"/>
  <c r="Q233" i="2"/>
  <c r="R233" i="2" s="1"/>
  <c r="P233" i="2"/>
  <c r="H233" i="2" s="1"/>
  <c r="X233" i="2"/>
  <c r="M234" i="2" s="1"/>
  <c r="N234" i="2" l="1"/>
  <c r="O234" i="2" s="1"/>
  <c r="X234" i="2" l="1"/>
  <c r="M235" i="2" s="1"/>
  <c r="W234" i="2"/>
  <c r="L235" i="2" s="1"/>
  <c r="V234" i="2"/>
  <c r="K235" i="2" s="1"/>
  <c r="U234" i="2"/>
  <c r="J235" i="2" s="1"/>
  <c r="T234" i="2"/>
  <c r="I235" i="2" s="1"/>
  <c r="Q234" i="2"/>
  <c r="R234" i="2" s="1"/>
  <c r="P234" i="2"/>
  <c r="H234" i="2" s="1"/>
  <c r="N235" i="2" l="1"/>
  <c r="O235" i="2" s="1"/>
  <c r="P235" i="2" l="1"/>
  <c r="H235" i="2" s="1"/>
  <c r="X235" i="2"/>
  <c r="M236" i="2" s="1"/>
  <c r="W235" i="2"/>
  <c r="L236" i="2" s="1"/>
  <c r="V235" i="2"/>
  <c r="K236" i="2" s="1"/>
  <c r="U235" i="2"/>
  <c r="J236" i="2" s="1"/>
  <c r="T235" i="2"/>
  <c r="I236" i="2" s="1"/>
  <c r="Q235" i="2"/>
  <c r="R235" i="2" s="1"/>
  <c r="N236" i="2" l="1"/>
  <c r="O236" i="2" s="1"/>
  <c r="V236" i="2" l="1"/>
  <c r="K237" i="2" s="1"/>
  <c r="U236" i="2"/>
  <c r="J237" i="2" s="1"/>
  <c r="T236" i="2"/>
  <c r="I237" i="2" s="1"/>
  <c r="Q236" i="2"/>
  <c r="R236" i="2" s="1"/>
  <c r="P236" i="2"/>
  <c r="H236" i="2" s="1"/>
  <c r="X236" i="2"/>
  <c r="M237" i="2" s="1"/>
  <c r="W236" i="2"/>
  <c r="L237" i="2" s="1"/>
  <c r="N237" i="2" l="1"/>
  <c r="O237" i="2" s="1"/>
  <c r="V237" i="2" l="1"/>
  <c r="K238" i="2" s="1"/>
  <c r="X237" i="2"/>
  <c r="M238" i="2" s="1"/>
  <c r="W237" i="2"/>
  <c r="L238" i="2" s="1"/>
  <c r="U237" i="2"/>
  <c r="J238" i="2" s="1"/>
  <c r="T237" i="2"/>
  <c r="I238" i="2" s="1"/>
  <c r="Q237" i="2"/>
  <c r="R237" i="2" s="1"/>
  <c r="P237" i="2"/>
  <c r="H237" i="2" s="1"/>
  <c r="N238" i="2" l="1"/>
  <c r="O238" i="2" s="1"/>
  <c r="V238" i="2" l="1"/>
  <c r="K239" i="2" s="1"/>
  <c r="Q238" i="2"/>
  <c r="R238" i="2" s="1"/>
  <c r="P238" i="2"/>
  <c r="H238" i="2" s="1"/>
  <c r="X238" i="2"/>
  <c r="M239" i="2" s="1"/>
  <c r="W238" i="2"/>
  <c r="L239" i="2" s="1"/>
  <c r="U238" i="2"/>
  <c r="J239" i="2" s="1"/>
  <c r="T238" i="2"/>
  <c r="I239" i="2" s="1"/>
  <c r="N239" i="2" l="1"/>
  <c r="O239" i="2" s="1"/>
  <c r="V239" i="2" l="1"/>
  <c r="K240" i="2" s="1"/>
  <c r="X239" i="2"/>
  <c r="M240" i="2" s="1"/>
  <c r="W239" i="2"/>
  <c r="L240" i="2" s="1"/>
  <c r="U239" i="2"/>
  <c r="J240" i="2" s="1"/>
  <c r="T239" i="2"/>
  <c r="I240" i="2" s="1"/>
  <c r="Q239" i="2"/>
  <c r="R239" i="2" s="1"/>
  <c r="P239" i="2"/>
  <c r="H239" i="2" s="1"/>
  <c r="N240" i="2" l="1"/>
  <c r="O240" i="2" s="1"/>
  <c r="V240" i="2" l="1"/>
  <c r="K241" i="2" s="1"/>
  <c r="P240" i="2"/>
  <c r="H240" i="2" s="1"/>
  <c r="X240" i="2"/>
  <c r="M241" i="2" s="1"/>
  <c r="Q240" i="2"/>
  <c r="R240" i="2" s="1"/>
  <c r="W240" i="2"/>
  <c r="L241" i="2" s="1"/>
  <c r="U240" i="2"/>
  <c r="J241" i="2" s="1"/>
  <c r="T240" i="2"/>
  <c r="I241" i="2" s="1"/>
  <c r="N241" i="2" l="1"/>
  <c r="O241" i="2" s="1"/>
  <c r="V241" i="2" l="1"/>
  <c r="K242" i="2" s="1"/>
  <c r="X241" i="2"/>
  <c r="M242" i="2" s="1"/>
  <c r="W241" i="2"/>
  <c r="L242" i="2" s="1"/>
  <c r="U241" i="2"/>
  <c r="J242" i="2" s="1"/>
  <c r="T241" i="2"/>
  <c r="I242" i="2" s="1"/>
  <c r="Q241" i="2"/>
  <c r="R241" i="2" s="1"/>
  <c r="P241" i="2"/>
  <c r="H241" i="2" s="1"/>
  <c r="N242" i="2" l="1"/>
  <c r="O242" i="2" s="1"/>
  <c r="V242" i="2" l="1"/>
  <c r="K243" i="2" s="1"/>
  <c r="X242" i="2"/>
  <c r="M243" i="2" s="1"/>
  <c r="W242" i="2"/>
  <c r="L243" i="2" s="1"/>
  <c r="U242" i="2"/>
  <c r="J243" i="2" s="1"/>
  <c r="T242" i="2"/>
  <c r="I243" i="2" s="1"/>
  <c r="Q242" i="2"/>
  <c r="R242" i="2" s="1"/>
  <c r="P242" i="2"/>
  <c r="H242" i="2" s="1"/>
  <c r="N243" i="2" l="1"/>
  <c r="O243" i="2" s="1"/>
  <c r="P243" i="2" l="1"/>
  <c r="H243" i="2" s="1"/>
  <c r="W243" i="2"/>
  <c r="L244" i="2" s="1"/>
  <c r="X243" i="2"/>
  <c r="M244" i="2" s="1"/>
  <c r="V243" i="2"/>
  <c r="K244" i="2" s="1"/>
  <c r="U243" i="2"/>
  <c r="J244" i="2" s="1"/>
  <c r="T243" i="2"/>
  <c r="I244" i="2" s="1"/>
  <c r="Q243" i="2"/>
  <c r="R243" i="2" s="1"/>
  <c r="I47" i="3" l="1"/>
  <c r="N244" i="2"/>
  <c r="O244" i="2" s="1"/>
  <c r="K47" i="3"/>
  <c r="L47" i="3"/>
  <c r="J47" i="3"/>
  <c r="M47" i="3"/>
  <c r="P244" i="2" l="1"/>
  <c r="H244" i="2" s="1"/>
  <c r="F411" i="2" s="1"/>
  <c r="X244" i="2"/>
  <c r="M245" i="2" s="1"/>
  <c r="W244" i="2"/>
  <c r="L245" i="2" s="1"/>
  <c r="V244" i="2"/>
  <c r="K245" i="2" s="1"/>
  <c r="U244" i="2"/>
  <c r="J245" i="2" s="1"/>
  <c r="T244" i="2"/>
  <c r="I245" i="2" s="1"/>
  <c r="Q244" i="2"/>
  <c r="R244" i="2" s="1"/>
  <c r="S244" i="2" s="1"/>
  <c r="C411" i="2" s="1"/>
  <c r="N47" i="3"/>
  <c r="O47" i="3" s="1"/>
  <c r="N245" i="2" l="1"/>
  <c r="O245" i="2" s="1"/>
  <c r="X47" i="3"/>
  <c r="M48" i="3" s="1"/>
  <c r="V47" i="3"/>
  <c r="K48" i="3" s="1"/>
  <c r="Q47" i="3"/>
  <c r="R47" i="3" s="1"/>
  <c r="W47" i="3"/>
  <c r="L48" i="3" s="1"/>
  <c r="U47" i="3"/>
  <c r="J48" i="3" s="1"/>
  <c r="T47" i="3"/>
  <c r="I48" i="3" s="1"/>
  <c r="P47" i="3"/>
  <c r="H47" i="3" s="1"/>
  <c r="N48" i="3" l="1"/>
  <c r="O48" i="3" s="1"/>
  <c r="Q245" i="2"/>
  <c r="R245" i="2" s="1"/>
  <c r="P245" i="2"/>
  <c r="H245" i="2" s="1"/>
  <c r="X245" i="2"/>
  <c r="M246" i="2" s="1"/>
  <c r="W245" i="2"/>
  <c r="L246" i="2" s="1"/>
  <c r="V245" i="2"/>
  <c r="K246" i="2" s="1"/>
  <c r="U245" i="2"/>
  <c r="J246" i="2" s="1"/>
  <c r="T245" i="2"/>
  <c r="I246" i="2" s="1"/>
  <c r="W48" i="3" l="1"/>
  <c r="L49" i="3" s="1"/>
  <c r="V48" i="3"/>
  <c r="K49" i="3" s="1"/>
  <c r="P48" i="3"/>
  <c r="H48" i="3" s="1"/>
  <c r="X48" i="3"/>
  <c r="M49" i="3" s="1"/>
  <c r="U48" i="3"/>
  <c r="J49" i="3" s="1"/>
  <c r="T48" i="3"/>
  <c r="I49" i="3" s="1"/>
  <c r="Q48" i="3"/>
  <c r="R48" i="3" s="1"/>
  <c r="N246" i="2"/>
  <c r="O246" i="2" s="1"/>
  <c r="N49" i="3" l="1"/>
  <c r="O49" i="3" s="1"/>
  <c r="T246" i="2"/>
  <c r="I247" i="2" s="1"/>
  <c r="Q246" i="2"/>
  <c r="R246" i="2" s="1"/>
  <c r="P246" i="2"/>
  <c r="H246" i="2" s="1"/>
  <c r="X246" i="2"/>
  <c r="M247" i="2" s="1"/>
  <c r="W246" i="2"/>
  <c r="L247" i="2" s="1"/>
  <c r="V246" i="2"/>
  <c r="K247" i="2" s="1"/>
  <c r="U246" i="2"/>
  <c r="J247" i="2" s="1"/>
  <c r="N247" i="2" l="1"/>
  <c r="O247" i="2" s="1"/>
  <c r="Q49" i="3"/>
  <c r="R49" i="3" s="1"/>
  <c r="P49" i="3"/>
  <c r="H49" i="3" s="1"/>
  <c r="X49" i="3"/>
  <c r="M50" i="3" s="1"/>
  <c r="V49" i="3"/>
  <c r="K50" i="3" s="1"/>
  <c r="U49" i="3"/>
  <c r="J50" i="3" s="1"/>
  <c r="T49" i="3"/>
  <c r="I50" i="3" s="1"/>
  <c r="W49" i="3"/>
  <c r="L50" i="3" s="1"/>
  <c r="N50" i="3" l="1"/>
  <c r="O50" i="3" s="1"/>
  <c r="V247" i="2"/>
  <c r="K248" i="2" s="1"/>
  <c r="U247" i="2"/>
  <c r="J248" i="2" s="1"/>
  <c r="T247" i="2"/>
  <c r="I248" i="2" s="1"/>
  <c r="Q247" i="2"/>
  <c r="R247" i="2" s="1"/>
  <c r="P247" i="2"/>
  <c r="H247" i="2" s="1"/>
  <c r="X247" i="2"/>
  <c r="M248" i="2" s="1"/>
  <c r="W247" i="2"/>
  <c r="L248" i="2" s="1"/>
  <c r="N248" i="2" l="1"/>
  <c r="O248" i="2" s="1"/>
  <c r="W50" i="3"/>
  <c r="L51" i="3" s="1"/>
  <c r="T50" i="3"/>
  <c r="I51" i="3" s="1"/>
  <c r="P50" i="3"/>
  <c r="H50" i="3" s="1"/>
  <c r="X50" i="3"/>
  <c r="M51" i="3" s="1"/>
  <c r="V50" i="3"/>
  <c r="K51" i="3" s="1"/>
  <c r="U50" i="3"/>
  <c r="J51" i="3" s="1"/>
  <c r="Q50" i="3"/>
  <c r="R50" i="3" s="1"/>
  <c r="N51" i="3" l="1"/>
  <c r="O51" i="3" s="1"/>
  <c r="X248" i="2"/>
  <c r="M249" i="2" s="1"/>
  <c r="W248" i="2"/>
  <c r="L249" i="2" s="1"/>
  <c r="V248" i="2"/>
  <c r="K249" i="2" s="1"/>
  <c r="U248" i="2"/>
  <c r="J249" i="2" s="1"/>
  <c r="T248" i="2"/>
  <c r="I249" i="2" s="1"/>
  <c r="Q248" i="2"/>
  <c r="R248" i="2" s="1"/>
  <c r="P248" i="2"/>
  <c r="H248" i="2" s="1"/>
  <c r="N249" i="2" l="1"/>
  <c r="O249" i="2" s="1"/>
  <c r="X51" i="3"/>
  <c r="M52" i="3" s="1"/>
  <c r="W51" i="3"/>
  <c r="L52" i="3" s="1"/>
  <c r="T51" i="3"/>
  <c r="I52" i="3" s="1"/>
  <c r="Q51" i="3"/>
  <c r="R51" i="3" s="1"/>
  <c r="V51" i="3"/>
  <c r="K52" i="3" s="1"/>
  <c r="U51" i="3"/>
  <c r="J52" i="3" s="1"/>
  <c r="P51" i="3"/>
  <c r="H51" i="3" s="1"/>
  <c r="N52" i="3" l="1"/>
  <c r="O52" i="3" s="1"/>
  <c r="X249" i="2"/>
  <c r="M250" i="2" s="1"/>
  <c r="W249" i="2"/>
  <c r="L250" i="2" s="1"/>
  <c r="V249" i="2"/>
  <c r="K250" i="2" s="1"/>
  <c r="U249" i="2"/>
  <c r="J250" i="2" s="1"/>
  <c r="Q249" i="2"/>
  <c r="R249" i="2" s="1"/>
  <c r="T249" i="2"/>
  <c r="I250" i="2" s="1"/>
  <c r="P249" i="2"/>
  <c r="H249" i="2" s="1"/>
  <c r="N250" i="2" l="1"/>
  <c r="O250" i="2" s="1"/>
  <c r="Q52" i="3"/>
  <c r="R52" i="3" s="1"/>
  <c r="W52" i="3"/>
  <c r="L53" i="3" s="1"/>
  <c r="V52" i="3"/>
  <c r="K53" i="3" s="1"/>
  <c r="U52" i="3"/>
  <c r="J53" i="3" s="1"/>
  <c r="X52" i="3"/>
  <c r="M53" i="3" s="1"/>
  <c r="T52" i="3"/>
  <c r="I53" i="3" s="1"/>
  <c r="P52" i="3"/>
  <c r="H52" i="3" s="1"/>
  <c r="N53" i="3" l="1"/>
  <c r="O53" i="3" s="1"/>
  <c r="X250" i="2"/>
  <c r="M251" i="2" s="1"/>
  <c r="W250" i="2"/>
  <c r="L251" i="2" s="1"/>
  <c r="T250" i="2"/>
  <c r="I251" i="2" s="1"/>
  <c r="V250" i="2"/>
  <c r="K251" i="2" s="1"/>
  <c r="U250" i="2"/>
  <c r="J251" i="2" s="1"/>
  <c r="P250" i="2"/>
  <c r="H250" i="2" s="1"/>
  <c r="Q250" i="2"/>
  <c r="R250" i="2" s="1"/>
  <c r="N251" i="2" l="1"/>
  <c r="O251" i="2" s="1"/>
  <c r="X53" i="3"/>
  <c r="M54" i="3" s="1"/>
  <c r="U53" i="3"/>
  <c r="J54" i="3" s="1"/>
  <c r="T53" i="3"/>
  <c r="I54" i="3" s="1"/>
  <c r="Q53" i="3"/>
  <c r="R53" i="3" s="1"/>
  <c r="P53" i="3"/>
  <c r="H53" i="3" s="1"/>
  <c r="W53" i="3"/>
  <c r="L54" i="3" s="1"/>
  <c r="V53" i="3"/>
  <c r="K54" i="3" s="1"/>
  <c r="N54" i="3" l="1"/>
  <c r="O54" i="3" s="1"/>
  <c r="V251" i="2"/>
  <c r="K252" i="2" s="1"/>
  <c r="X251" i="2"/>
  <c r="M252" i="2" s="1"/>
  <c r="W251" i="2"/>
  <c r="L252" i="2" s="1"/>
  <c r="U251" i="2"/>
  <c r="J252" i="2" s="1"/>
  <c r="T251" i="2"/>
  <c r="I252" i="2" s="1"/>
  <c r="Q251" i="2"/>
  <c r="R251" i="2" s="1"/>
  <c r="P251" i="2"/>
  <c r="H251" i="2" s="1"/>
  <c r="N252" i="2" l="1"/>
  <c r="O252" i="2" s="1"/>
  <c r="X54" i="3"/>
  <c r="M55" i="3" s="1"/>
  <c r="V54" i="3"/>
  <c r="K55" i="3" s="1"/>
  <c r="U54" i="3"/>
  <c r="J55" i="3" s="1"/>
  <c r="W54" i="3"/>
  <c r="L55" i="3" s="1"/>
  <c r="T54" i="3"/>
  <c r="I55" i="3" s="1"/>
  <c r="Q54" i="3"/>
  <c r="R54" i="3" s="1"/>
  <c r="P54" i="3"/>
  <c r="H54" i="3" s="1"/>
  <c r="N55" i="3" l="1"/>
  <c r="O55" i="3" s="1"/>
  <c r="X252" i="2"/>
  <c r="M253" i="2" s="1"/>
  <c r="W252" i="2"/>
  <c r="L253" i="2" s="1"/>
  <c r="V252" i="2"/>
  <c r="K253" i="2" s="1"/>
  <c r="U252" i="2"/>
  <c r="J253" i="2" s="1"/>
  <c r="T252" i="2"/>
  <c r="I253" i="2" s="1"/>
  <c r="Q252" i="2"/>
  <c r="R252" i="2" s="1"/>
  <c r="P252" i="2"/>
  <c r="H252" i="2" s="1"/>
  <c r="N253" i="2" l="1"/>
  <c r="O253" i="2" s="1"/>
  <c r="T55" i="3"/>
  <c r="I56" i="3" s="1"/>
  <c r="P55" i="3"/>
  <c r="H55" i="3" s="1"/>
  <c r="X55" i="3"/>
  <c r="M56" i="3" s="1"/>
  <c r="W55" i="3"/>
  <c r="L56" i="3" s="1"/>
  <c r="V55" i="3"/>
  <c r="K56" i="3" s="1"/>
  <c r="U55" i="3"/>
  <c r="J56" i="3" s="1"/>
  <c r="Q55" i="3"/>
  <c r="R55" i="3" s="1"/>
  <c r="N56" i="3" l="1"/>
  <c r="O56" i="3" s="1"/>
  <c r="Q253" i="2"/>
  <c r="R253" i="2" s="1"/>
  <c r="P253" i="2"/>
  <c r="H253" i="2" s="1"/>
  <c r="X253" i="2"/>
  <c r="M254" i="2" s="1"/>
  <c r="W253" i="2"/>
  <c r="L254" i="2" s="1"/>
  <c r="V253" i="2"/>
  <c r="K254" i="2" s="1"/>
  <c r="U253" i="2"/>
  <c r="J254" i="2" s="1"/>
  <c r="T253" i="2"/>
  <c r="I254" i="2" s="1"/>
  <c r="N254" i="2" l="1"/>
  <c r="O254" i="2" s="1"/>
  <c r="V56" i="3"/>
  <c r="K57" i="3" s="1"/>
  <c r="U56" i="3"/>
  <c r="J57" i="3" s="1"/>
  <c r="Q56" i="3"/>
  <c r="R56" i="3" s="1"/>
  <c r="P56" i="3"/>
  <c r="H56" i="3" s="1"/>
  <c r="X56" i="3"/>
  <c r="M57" i="3" s="1"/>
  <c r="W56" i="3"/>
  <c r="L57" i="3" s="1"/>
  <c r="T56" i="3"/>
  <c r="I57" i="3" s="1"/>
  <c r="N57" i="3" l="1"/>
  <c r="O57" i="3" s="1"/>
  <c r="T254" i="2"/>
  <c r="I255" i="2" s="1"/>
  <c r="Q254" i="2"/>
  <c r="R254" i="2" s="1"/>
  <c r="P254" i="2"/>
  <c r="H254" i="2" s="1"/>
  <c r="U254" i="2"/>
  <c r="J255" i="2" s="1"/>
  <c r="X254" i="2"/>
  <c r="M255" i="2" s="1"/>
  <c r="W254" i="2"/>
  <c r="L255" i="2" s="1"/>
  <c r="V254" i="2"/>
  <c r="K255" i="2" s="1"/>
  <c r="N255" i="2" l="1"/>
  <c r="O255" i="2" s="1"/>
  <c r="W57" i="3"/>
  <c r="L58" i="3" s="1"/>
  <c r="V57" i="3"/>
  <c r="K58" i="3" s="1"/>
  <c r="T57" i="3"/>
  <c r="I58" i="3" s="1"/>
  <c r="P57" i="3"/>
  <c r="H57" i="3" s="1"/>
  <c r="X57" i="3"/>
  <c r="M58" i="3" s="1"/>
  <c r="U57" i="3"/>
  <c r="J58" i="3" s="1"/>
  <c r="Q57" i="3"/>
  <c r="R57" i="3" s="1"/>
  <c r="N58" i="3" l="1"/>
  <c r="O58" i="3" s="1"/>
  <c r="V255" i="2"/>
  <c r="K256" i="2" s="1"/>
  <c r="U255" i="2"/>
  <c r="J256" i="2" s="1"/>
  <c r="T255" i="2"/>
  <c r="I256" i="2" s="1"/>
  <c r="Q255" i="2"/>
  <c r="R255" i="2" s="1"/>
  <c r="P255" i="2"/>
  <c r="H255" i="2" s="1"/>
  <c r="X255" i="2"/>
  <c r="M256" i="2" s="1"/>
  <c r="W255" i="2"/>
  <c r="L256" i="2" s="1"/>
  <c r="N256" i="2" l="1"/>
  <c r="O256" i="2" s="1"/>
  <c r="U58" i="3"/>
  <c r="J59" i="3" s="1"/>
  <c r="T58" i="3"/>
  <c r="I59" i="3" s="1"/>
  <c r="Q58" i="3"/>
  <c r="R58" i="3" s="1"/>
  <c r="P58" i="3"/>
  <c r="H58" i="3" s="1"/>
  <c r="X58" i="3"/>
  <c r="M59" i="3" s="1"/>
  <c r="W58" i="3"/>
  <c r="L59" i="3" s="1"/>
  <c r="V58" i="3"/>
  <c r="K59" i="3" s="1"/>
  <c r="N59" i="3" l="1"/>
  <c r="O59" i="3" s="1"/>
  <c r="X256" i="2"/>
  <c r="M257" i="2" s="1"/>
  <c r="W256" i="2"/>
  <c r="L257" i="2" s="1"/>
  <c r="V256" i="2"/>
  <c r="K257" i="2" s="1"/>
  <c r="U256" i="2"/>
  <c r="J257" i="2" s="1"/>
  <c r="T256" i="2"/>
  <c r="I257" i="2" s="1"/>
  <c r="Q256" i="2"/>
  <c r="R256" i="2" s="1"/>
  <c r="P256" i="2"/>
  <c r="H256" i="2" s="1"/>
  <c r="N257" i="2" l="1"/>
  <c r="O257" i="2" s="1"/>
  <c r="W59" i="3"/>
  <c r="L60" i="3" s="1"/>
  <c r="V59" i="3"/>
  <c r="K60" i="3" s="1"/>
  <c r="T59" i="3"/>
  <c r="I60" i="3" s="1"/>
  <c r="Q59" i="3"/>
  <c r="R59" i="3" s="1"/>
  <c r="X59" i="3"/>
  <c r="M60" i="3" s="1"/>
  <c r="U59" i="3"/>
  <c r="J60" i="3" s="1"/>
  <c r="P59" i="3"/>
  <c r="H59" i="3" s="1"/>
  <c r="N60" i="3" l="1"/>
  <c r="O60" i="3" s="1"/>
  <c r="X257" i="2"/>
  <c r="M258" i="2" s="1"/>
  <c r="W257" i="2"/>
  <c r="L258" i="2" s="1"/>
  <c r="V257" i="2"/>
  <c r="K258" i="2" s="1"/>
  <c r="U257" i="2"/>
  <c r="J258" i="2" s="1"/>
  <c r="T257" i="2"/>
  <c r="I258" i="2" s="1"/>
  <c r="Q257" i="2"/>
  <c r="R257" i="2" s="1"/>
  <c r="P257" i="2"/>
  <c r="H257" i="2" s="1"/>
  <c r="N258" i="2" l="1"/>
  <c r="O258" i="2" s="1"/>
  <c r="X60" i="3"/>
  <c r="M61" i="3" s="1"/>
  <c r="W60" i="3"/>
  <c r="L61" i="3" s="1"/>
  <c r="U60" i="3"/>
  <c r="J61" i="3" s="1"/>
  <c r="Q60" i="3"/>
  <c r="R60" i="3" s="1"/>
  <c r="P60" i="3"/>
  <c r="H60" i="3" s="1"/>
  <c r="V60" i="3"/>
  <c r="K61" i="3" s="1"/>
  <c r="T60" i="3"/>
  <c r="I61" i="3" s="1"/>
  <c r="N61" i="3" l="1"/>
  <c r="O61" i="3" s="1"/>
  <c r="X258" i="2"/>
  <c r="M259" i="2" s="1"/>
  <c r="W258" i="2"/>
  <c r="L259" i="2" s="1"/>
  <c r="V258" i="2"/>
  <c r="K259" i="2" s="1"/>
  <c r="U258" i="2"/>
  <c r="J259" i="2" s="1"/>
  <c r="T258" i="2"/>
  <c r="I259" i="2" s="1"/>
  <c r="Q258" i="2"/>
  <c r="R258" i="2" s="1"/>
  <c r="P258" i="2"/>
  <c r="H258" i="2" s="1"/>
  <c r="N259" i="2" l="1"/>
  <c r="O259" i="2" s="1"/>
  <c r="V61" i="3"/>
  <c r="K62" i="3" s="1"/>
  <c r="U61" i="3"/>
  <c r="J62" i="3" s="1"/>
  <c r="Q61" i="3"/>
  <c r="R61" i="3" s="1"/>
  <c r="X61" i="3"/>
  <c r="M62" i="3" s="1"/>
  <c r="W61" i="3"/>
  <c r="L62" i="3" s="1"/>
  <c r="T61" i="3"/>
  <c r="I62" i="3" s="1"/>
  <c r="P61" i="3"/>
  <c r="H61" i="3" s="1"/>
  <c r="N62" i="3" l="1"/>
  <c r="O62" i="3" s="1"/>
  <c r="X259" i="2"/>
  <c r="M260" i="2" s="1"/>
  <c r="W259" i="2"/>
  <c r="L260" i="2" s="1"/>
  <c r="V259" i="2"/>
  <c r="K260" i="2" s="1"/>
  <c r="Q259" i="2"/>
  <c r="R259" i="2" s="1"/>
  <c r="P259" i="2"/>
  <c r="H259" i="2" s="1"/>
  <c r="U259" i="2"/>
  <c r="J260" i="2" s="1"/>
  <c r="T259" i="2"/>
  <c r="I260" i="2" s="1"/>
  <c r="N260" i="2" l="1"/>
  <c r="O260" i="2" s="1"/>
  <c r="P62" i="3"/>
  <c r="H62" i="3" s="1"/>
  <c r="X62" i="3"/>
  <c r="M63" i="3" s="1"/>
  <c r="W62" i="3"/>
  <c r="L63" i="3" s="1"/>
  <c r="U62" i="3"/>
  <c r="J63" i="3" s="1"/>
  <c r="T62" i="3"/>
  <c r="I63" i="3" s="1"/>
  <c r="V62" i="3"/>
  <c r="K63" i="3" s="1"/>
  <c r="Q62" i="3"/>
  <c r="R62" i="3" s="1"/>
  <c r="N63" i="3" l="1"/>
  <c r="O63" i="3" s="1"/>
  <c r="X260" i="2"/>
  <c r="M261" i="2" s="1"/>
  <c r="W260" i="2"/>
  <c r="L261" i="2" s="1"/>
  <c r="V260" i="2"/>
  <c r="K261" i="2" s="1"/>
  <c r="U260" i="2"/>
  <c r="J261" i="2" s="1"/>
  <c r="T260" i="2"/>
  <c r="I261" i="2" s="1"/>
  <c r="P260" i="2"/>
  <c r="H260" i="2" s="1"/>
  <c r="Q260" i="2"/>
  <c r="R260" i="2" s="1"/>
  <c r="N261" i="2" l="1"/>
  <c r="O261" i="2" s="1"/>
  <c r="X63" i="3"/>
  <c r="M64" i="3" s="1"/>
  <c r="V63" i="3"/>
  <c r="K64" i="3" s="1"/>
  <c r="Q63" i="3"/>
  <c r="R63" i="3" s="1"/>
  <c r="U63" i="3"/>
  <c r="J64" i="3" s="1"/>
  <c r="T63" i="3"/>
  <c r="I64" i="3" s="1"/>
  <c r="P63" i="3"/>
  <c r="H63" i="3" s="1"/>
  <c r="W63" i="3"/>
  <c r="L64" i="3" s="1"/>
  <c r="N64" i="3" l="1"/>
  <c r="O64" i="3" s="1"/>
  <c r="Q261" i="2"/>
  <c r="R261" i="2" s="1"/>
  <c r="P261" i="2"/>
  <c r="H261" i="2" s="1"/>
  <c r="X261" i="2"/>
  <c r="M262" i="2" s="1"/>
  <c r="W261" i="2"/>
  <c r="L262" i="2" s="1"/>
  <c r="V261" i="2"/>
  <c r="K262" i="2" s="1"/>
  <c r="U261" i="2"/>
  <c r="J262" i="2" s="1"/>
  <c r="T261" i="2"/>
  <c r="I262" i="2" s="1"/>
  <c r="N262" i="2" l="1"/>
  <c r="O262" i="2" s="1"/>
  <c r="W64" i="3"/>
  <c r="L65" i="3" s="1"/>
  <c r="V64" i="3"/>
  <c r="K65" i="3" s="1"/>
  <c r="T64" i="3"/>
  <c r="I65" i="3" s="1"/>
  <c r="P64" i="3"/>
  <c r="H64" i="3" s="1"/>
  <c r="X64" i="3"/>
  <c r="M65" i="3" s="1"/>
  <c r="U64" i="3"/>
  <c r="J65" i="3" s="1"/>
  <c r="Q64" i="3"/>
  <c r="R64" i="3" s="1"/>
  <c r="N65" i="3" l="1"/>
  <c r="O65" i="3" s="1"/>
  <c r="T262" i="2"/>
  <c r="I263" i="2" s="1"/>
  <c r="Q262" i="2"/>
  <c r="R262" i="2" s="1"/>
  <c r="P262" i="2"/>
  <c r="H262" i="2" s="1"/>
  <c r="W262" i="2"/>
  <c r="L263" i="2" s="1"/>
  <c r="X262" i="2"/>
  <c r="M263" i="2" s="1"/>
  <c r="V262" i="2"/>
  <c r="K263" i="2" s="1"/>
  <c r="U262" i="2"/>
  <c r="J263" i="2" s="1"/>
  <c r="N263" i="2" l="1"/>
  <c r="O263" i="2" s="1"/>
  <c r="Q65" i="3"/>
  <c r="R65" i="3" s="1"/>
  <c r="P65" i="3"/>
  <c r="H65" i="3" s="1"/>
  <c r="X65" i="3"/>
  <c r="M66" i="3" s="1"/>
  <c r="W65" i="3"/>
  <c r="L66" i="3" s="1"/>
  <c r="V65" i="3"/>
  <c r="K66" i="3" s="1"/>
  <c r="U65" i="3"/>
  <c r="J66" i="3" s="1"/>
  <c r="T65" i="3"/>
  <c r="I66" i="3" s="1"/>
  <c r="N66" i="3" l="1"/>
  <c r="O66" i="3" s="1"/>
  <c r="V263" i="2"/>
  <c r="K264" i="2" s="1"/>
  <c r="U263" i="2"/>
  <c r="J264" i="2" s="1"/>
  <c r="T263" i="2"/>
  <c r="I264" i="2" s="1"/>
  <c r="Q263" i="2"/>
  <c r="R263" i="2" s="1"/>
  <c r="P263" i="2"/>
  <c r="H263" i="2" s="1"/>
  <c r="X263" i="2"/>
  <c r="M264" i="2" s="1"/>
  <c r="W263" i="2"/>
  <c r="L264" i="2" s="1"/>
  <c r="N264" i="2" l="1"/>
  <c r="O264" i="2" s="1"/>
  <c r="X66" i="3"/>
  <c r="V66" i="3"/>
  <c r="Q66" i="3"/>
  <c r="R66" i="3" s="1"/>
  <c r="S66" i="3" s="1"/>
  <c r="C112" i="3" s="1"/>
  <c r="P66" i="3"/>
  <c r="H66" i="3" s="1"/>
  <c r="F112" i="3" s="1"/>
  <c r="W66" i="3"/>
  <c r="U66" i="3"/>
  <c r="T66" i="3"/>
  <c r="X264" i="2" l="1"/>
  <c r="M265" i="2" s="1"/>
  <c r="W264" i="2"/>
  <c r="L265" i="2" s="1"/>
  <c r="V264" i="2"/>
  <c r="K265" i="2" s="1"/>
  <c r="U264" i="2"/>
  <c r="J265" i="2" s="1"/>
  <c r="T264" i="2"/>
  <c r="I265" i="2" s="1"/>
  <c r="Q264" i="2"/>
  <c r="R264" i="2" s="1"/>
  <c r="P264" i="2"/>
  <c r="H264" i="2" s="1"/>
  <c r="N265" i="2" l="1"/>
  <c r="O265" i="2" s="1"/>
  <c r="X265" i="2" l="1"/>
  <c r="M266" i="2" s="1"/>
  <c r="W265" i="2"/>
  <c r="L266" i="2" s="1"/>
  <c r="V265" i="2"/>
  <c r="K266" i="2" s="1"/>
  <c r="U265" i="2"/>
  <c r="J266" i="2" s="1"/>
  <c r="T265" i="2"/>
  <c r="I266" i="2" s="1"/>
  <c r="Q265" i="2"/>
  <c r="R265" i="2" s="1"/>
  <c r="P265" i="2"/>
  <c r="H265" i="2" s="1"/>
  <c r="N266" i="2" l="1"/>
  <c r="O266" i="2" s="1"/>
  <c r="X266" i="2" l="1"/>
  <c r="M267" i="2" s="1"/>
  <c r="W266" i="2"/>
  <c r="L267" i="2" s="1"/>
  <c r="V266" i="2"/>
  <c r="K267" i="2" s="1"/>
  <c r="U266" i="2"/>
  <c r="J267" i="2" s="1"/>
  <c r="T266" i="2"/>
  <c r="I267" i="2" s="1"/>
  <c r="Q266" i="2"/>
  <c r="R266" i="2" s="1"/>
  <c r="P266" i="2"/>
  <c r="H266" i="2" s="1"/>
  <c r="N267" i="2" l="1"/>
  <c r="O267" i="2" s="1"/>
  <c r="X267" i="2" l="1"/>
  <c r="M268" i="2" s="1"/>
  <c r="W267" i="2"/>
  <c r="L268" i="2" s="1"/>
  <c r="V267" i="2"/>
  <c r="K268" i="2" s="1"/>
  <c r="Q267" i="2"/>
  <c r="R267" i="2" s="1"/>
  <c r="P267" i="2"/>
  <c r="H267" i="2" s="1"/>
  <c r="U267" i="2"/>
  <c r="J268" i="2" s="1"/>
  <c r="T267" i="2"/>
  <c r="I268" i="2" s="1"/>
  <c r="N268" i="2" l="1"/>
  <c r="O268" i="2" s="1"/>
  <c r="X268" i="2" l="1"/>
  <c r="M269" i="2" s="1"/>
  <c r="V268" i="2"/>
  <c r="K269" i="2" s="1"/>
  <c r="W268" i="2"/>
  <c r="L269" i="2" s="1"/>
  <c r="U268" i="2"/>
  <c r="J269" i="2" s="1"/>
  <c r="T268" i="2"/>
  <c r="I269" i="2" s="1"/>
  <c r="Q268" i="2"/>
  <c r="R268" i="2" s="1"/>
  <c r="P268" i="2"/>
  <c r="H268" i="2" s="1"/>
  <c r="N269" i="2" l="1"/>
  <c r="O269" i="2" s="1"/>
  <c r="Q269" i="2" l="1"/>
  <c r="R269" i="2" s="1"/>
  <c r="P269" i="2"/>
  <c r="H269" i="2" s="1"/>
  <c r="X269" i="2"/>
  <c r="M270" i="2" s="1"/>
  <c r="W269" i="2"/>
  <c r="L270" i="2" s="1"/>
  <c r="V269" i="2"/>
  <c r="K270" i="2" s="1"/>
  <c r="U269" i="2"/>
  <c r="J270" i="2" s="1"/>
  <c r="T269" i="2"/>
  <c r="I270" i="2" s="1"/>
  <c r="N270" i="2" l="1"/>
  <c r="O270" i="2" s="1"/>
  <c r="T270" i="2" l="1"/>
  <c r="I271" i="2" s="1"/>
  <c r="Q270" i="2"/>
  <c r="R270" i="2" s="1"/>
  <c r="P270" i="2"/>
  <c r="H270" i="2" s="1"/>
  <c r="U270" i="2"/>
  <c r="J271" i="2" s="1"/>
  <c r="X270" i="2"/>
  <c r="M271" i="2" s="1"/>
  <c r="W270" i="2"/>
  <c r="L271" i="2" s="1"/>
  <c r="V270" i="2"/>
  <c r="K271" i="2" s="1"/>
  <c r="N271" i="2" l="1"/>
  <c r="O271" i="2" s="1"/>
  <c r="V271" i="2" l="1"/>
  <c r="K272" i="2" s="1"/>
  <c r="U271" i="2"/>
  <c r="J272" i="2" s="1"/>
  <c r="T271" i="2"/>
  <c r="I272" i="2" s="1"/>
  <c r="Q271" i="2"/>
  <c r="R271" i="2" s="1"/>
  <c r="P271" i="2"/>
  <c r="H271" i="2" s="1"/>
  <c r="X271" i="2"/>
  <c r="M272" i="2" s="1"/>
  <c r="W271" i="2"/>
  <c r="L272" i="2" s="1"/>
  <c r="N272" i="2" l="1"/>
  <c r="O272" i="2" s="1"/>
  <c r="X272" i="2" l="1"/>
  <c r="M273" i="2" s="1"/>
  <c r="W272" i="2"/>
  <c r="L273" i="2" s="1"/>
  <c r="V272" i="2"/>
  <c r="K273" i="2" s="1"/>
  <c r="U272" i="2"/>
  <c r="J273" i="2" s="1"/>
  <c r="T272" i="2"/>
  <c r="I273" i="2" s="1"/>
  <c r="Q272" i="2"/>
  <c r="R272" i="2" s="1"/>
  <c r="P272" i="2"/>
  <c r="H272" i="2" s="1"/>
  <c r="N273" i="2" l="1"/>
  <c r="O273" i="2" s="1"/>
  <c r="X273" i="2" l="1"/>
  <c r="M274" i="2" s="1"/>
  <c r="W273" i="2"/>
  <c r="L274" i="2" s="1"/>
  <c r="V273" i="2"/>
  <c r="K274" i="2" s="1"/>
  <c r="U273" i="2"/>
  <c r="J274" i="2" s="1"/>
  <c r="T273" i="2"/>
  <c r="I274" i="2" s="1"/>
  <c r="Q273" i="2"/>
  <c r="R273" i="2" s="1"/>
  <c r="P273" i="2"/>
  <c r="H273" i="2" s="1"/>
  <c r="N274" i="2" l="1"/>
  <c r="O274" i="2" s="1"/>
  <c r="X274" i="2" l="1"/>
  <c r="M275" i="2" s="1"/>
  <c r="W274" i="2"/>
  <c r="L275" i="2" s="1"/>
  <c r="U274" i="2"/>
  <c r="J275" i="2" s="1"/>
  <c r="V274" i="2"/>
  <c r="K275" i="2" s="1"/>
  <c r="T274" i="2"/>
  <c r="I275" i="2" s="1"/>
  <c r="Q274" i="2"/>
  <c r="R274" i="2" s="1"/>
  <c r="P274" i="2"/>
  <c r="H274" i="2" s="1"/>
  <c r="N275" i="2" l="1"/>
  <c r="O275" i="2" s="1"/>
  <c r="Q275" i="2" l="1"/>
  <c r="R275" i="2" s="1"/>
  <c r="P275" i="2"/>
  <c r="H275" i="2" s="1"/>
  <c r="X275" i="2"/>
  <c r="M276" i="2" s="1"/>
  <c r="W275" i="2"/>
  <c r="L276" i="2" s="1"/>
  <c r="V275" i="2"/>
  <c r="K276" i="2" s="1"/>
  <c r="U275" i="2"/>
  <c r="J276" i="2" s="1"/>
  <c r="T275" i="2"/>
  <c r="I276" i="2" s="1"/>
  <c r="N276" i="2" l="1"/>
  <c r="O276" i="2" s="1"/>
  <c r="V276" i="2" l="1"/>
  <c r="K277" i="2" s="1"/>
  <c r="U276" i="2"/>
  <c r="J277" i="2" s="1"/>
  <c r="T276" i="2"/>
  <c r="I277" i="2" s="1"/>
  <c r="Q276" i="2"/>
  <c r="R276" i="2" s="1"/>
  <c r="P276" i="2"/>
  <c r="H276" i="2" s="1"/>
  <c r="X276" i="2"/>
  <c r="M277" i="2" s="1"/>
  <c r="W276" i="2"/>
  <c r="L277" i="2" s="1"/>
  <c r="N277" i="2" l="1"/>
  <c r="O277" i="2" s="1"/>
  <c r="X277" i="2" l="1"/>
  <c r="M278" i="2" s="1"/>
  <c r="W277" i="2"/>
  <c r="L278" i="2" s="1"/>
  <c r="V277" i="2"/>
  <c r="K278" i="2" s="1"/>
  <c r="U277" i="2"/>
  <c r="J278" i="2" s="1"/>
  <c r="T277" i="2"/>
  <c r="I278" i="2" s="1"/>
  <c r="Q277" i="2"/>
  <c r="R277" i="2" s="1"/>
  <c r="P277" i="2"/>
  <c r="H277" i="2" s="1"/>
  <c r="N278" i="2" l="1"/>
  <c r="O278" i="2" s="1"/>
  <c r="X278" i="2" l="1"/>
  <c r="M279" i="2" s="1"/>
  <c r="W278" i="2"/>
  <c r="L279" i="2" s="1"/>
  <c r="V278" i="2"/>
  <c r="K279" i="2" s="1"/>
  <c r="T278" i="2"/>
  <c r="I279" i="2" s="1"/>
  <c r="U278" i="2"/>
  <c r="J279" i="2" s="1"/>
  <c r="Q278" i="2"/>
  <c r="R278" i="2" s="1"/>
  <c r="P278" i="2"/>
  <c r="H278" i="2" s="1"/>
  <c r="N279" i="2" l="1"/>
  <c r="O279" i="2" s="1"/>
  <c r="X279" i="2" l="1"/>
  <c r="M280" i="2" s="1"/>
  <c r="Q279" i="2"/>
  <c r="R279" i="2" s="1"/>
  <c r="P279" i="2"/>
  <c r="H279" i="2" s="1"/>
  <c r="W279" i="2"/>
  <c r="L280" i="2" s="1"/>
  <c r="V279" i="2"/>
  <c r="K280" i="2" s="1"/>
  <c r="U279" i="2"/>
  <c r="J280" i="2" s="1"/>
  <c r="T279" i="2"/>
  <c r="I280" i="2" s="1"/>
  <c r="N280" i="2" l="1"/>
  <c r="O280" i="2" s="1"/>
  <c r="X280" i="2" l="1"/>
  <c r="M281" i="2" s="1"/>
  <c r="W280" i="2"/>
  <c r="L281" i="2" s="1"/>
  <c r="V280" i="2"/>
  <c r="K281" i="2" s="1"/>
  <c r="U280" i="2"/>
  <c r="J281" i="2" s="1"/>
  <c r="T280" i="2"/>
  <c r="I281" i="2" s="1"/>
  <c r="Q280" i="2"/>
  <c r="R280" i="2" s="1"/>
  <c r="P280" i="2"/>
  <c r="H280" i="2" s="1"/>
  <c r="N281" i="2" l="1"/>
  <c r="O281" i="2" s="1"/>
  <c r="X281" i="2" l="1"/>
  <c r="M282" i="2" s="1"/>
  <c r="W281" i="2"/>
  <c r="L282" i="2" s="1"/>
  <c r="V281" i="2"/>
  <c r="K282" i="2" s="1"/>
  <c r="U281" i="2"/>
  <c r="J282" i="2" s="1"/>
  <c r="T281" i="2"/>
  <c r="I282" i="2" s="1"/>
  <c r="Q281" i="2"/>
  <c r="R281" i="2" s="1"/>
  <c r="P281" i="2"/>
  <c r="H281" i="2" s="1"/>
  <c r="N282" i="2" l="1"/>
  <c r="O282" i="2" s="1"/>
  <c r="X282" i="2" l="1"/>
  <c r="M283" i="2" s="1"/>
  <c r="P282" i="2"/>
  <c r="H282" i="2" s="1"/>
  <c r="W282" i="2"/>
  <c r="L283" i="2" s="1"/>
  <c r="V282" i="2"/>
  <c r="K283" i="2" s="1"/>
  <c r="U282" i="2"/>
  <c r="J283" i="2" s="1"/>
  <c r="T282" i="2"/>
  <c r="I283" i="2" s="1"/>
  <c r="Q282" i="2"/>
  <c r="R282" i="2" s="1"/>
  <c r="N283" i="2" l="1"/>
  <c r="O283" i="2" s="1"/>
  <c r="X283" i="2" l="1"/>
  <c r="M284" i="2" s="1"/>
  <c r="V283" i="2"/>
  <c r="K284" i="2" s="1"/>
  <c r="U283" i="2"/>
  <c r="J284" i="2" s="1"/>
  <c r="T283" i="2"/>
  <c r="I284" i="2" s="1"/>
  <c r="Q283" i="2"/>
  <c r="R283" i="2" s="1"/>
  <c r="P283" i="2"/>
  <c r="H283" i="2" s="1"/>
  <c r="W283" i="2"/>
  <c r="L284" i="2" s="1"/>
  <c r="N284" i="2" l="1"/>
  <c r="O284" i="2" s="1"/>
  <c r="X284" i="2" l="1"/>
  <c r="M285" i="2" s="1"/>
  <c r="W284" i="2"/>
  <c r="L285" i="2" s="1"/>
  <c r="V284" i="2"/>
  <c r="K285" i="2" s="1"/>
  <c r="U284" i="2"/>
  <c r="J285" i="2" s="1"/>
  <c r="T284" i="2"/>
  <c r="I285" i="2" s="1"/>
  <c r="P284" i="2"/>
  <c r="H284" i="2" s="1"/>
  <c r="Q284" i="2"/>
  <c r="R284" i="2" s="1"/>
  <c r="N285" i="2" l="1"/>
  <c r="O285" i="2" s="1"/>
  <c r="X285" i="2" l="1"/>
  <c r="M286" i="2" s="1"/>
  <c r="V285" i="2"/>
  <c r="K286" i="2" s="1"/>
  <c r="W285" i="2"/>
  <c r="L286" i="2" s="1"/>
  <c r="U285" i="2"/>
  <c r="J286" i="2" s="1"/>
  <c r="T285" i="2"/>
  <c r="I286" i="2" s="1"/>
  <c r="Q285" i="2"/>
  <c r="R285" i="2" s="1"/>
  <c r="P285" i="2"/>
  <c r="H285" i="2" s="1"/>
  <c r="N286" i="2" l="1"/>
  <c r="O286" i="2" s="1"/>
  <c r="X286" i="2" l="1"/>
  <c r="M287" i="2" s="1"/>
  <c r="V286" i="2"/>
  <c r="K287" i="2" s="1"/>
  <c r="U286" i="2"/>
  <c r="J287" i="2" s="1"/>
  <c r="T286" i="2"/>
  <c r="I287" i="2" s="1"/>
  <c r="Q286" i="2"/>
  <c r="R286" i="2" s="1"/>
  <c r="P286" i="2"/>
  <c r="H286" i="2" s="1"/>
  <c r="W286" i="2"/>
  <c r="L287" i="2" s="1"/>
  <c r="N287" i="2" l="1"/>
  <c r="O287" i="2" s="1"/>
  <c r="X287" i="2" l="1"/>
  <c r="M288" i="2" s="1"/>
  <c r="W287" i="2"/>
  <c r="L288" i="2" s="1"/>
  <c r="V287" i="2"/>
  <c r="K288" i="2" s="1"/>
  <c r="U287" i="2"/>
  <c r="J288" i="2" s="1"/>
  <c r="T287" i="2"/>
  <c r="I288" i="2" s="1"/>
  <c r="Q287" i="2"/>
  <c r="R287" i="2" s="1"/>
  <c r="P287" i="2"/>
  <c r="H287" i="2" s="1"/>
  <c r="N288" i="2" l="1"/>
  <c r="O288" i="2" s="1"/>
  <c r="X288" i="2" l="1"/>
  <c r="M289" i="2" s="1"/>
  <c r="Q288" i="2"/>
  <c r="R288" i="2" s="1"/>
  <c r="P288" i="2"/>
  <c r="H288" i="2" s="1"/>
  <c r="U288" i="2"/>
  <c r="J289" i="2" s="1"/>
  <c r="T288" i="2"/>
  <c r="I289" i="2" s="1"/>
  <c r="W288" i="2"/>
  <c r="L289" i="2" s="1"/>
  <c r="V288" i="2"/>
  <c r="K289" i="2" s="1"/>
  <c r="N289" i="2" l="1"/>
  <c r="O289" i="2" s="1"/>
  <c r="X289" i="2" l="1"/>
  <c r="M290" i="2" s="1"/>
  <c r="W289" i="2"/>
  <c r="L290" i="2" s="1"/>
  <c r="V289" i="2"/>
  <c r="K290" i="2" s="1"/>
  <c r="U289" i="2"/>
  <c r="J290" i="2" s="1"/>
  <c r="T289" i="2"/>
  <c r="I290" i="2" s="1"/>
  <c r="Q289" i="2"/>
  <c r="R289" i="2" s="1"/>
  <c r="P289" i="2"/>
  <c r="H289" i="2" s="1"/>
  <c r="N290" i="2" l="1"/>
  <c r="O290" i="2" s="1"/>
  <c r="P290" i="2" l="1"/>
  <c r="H290" i="2" s="1"/>
  <c r="X290" i="2"/>
  <c r="M291" i="2" s="1"/>
  <c r="W290" i="2"/>
  <c r="L291" i="2" s="1"/>
  <c r="V290" i="2"/>
  <c r="K291" i="2" s="1"/>
  <c r="U290" i="2"/>
  <c r="J291" i="2" s="1"/>
  <c r="T290" i="2"/>
  <c r="I291" i="2" s="1"/>
  <c r="Q290" i="2"/>
  <c r="R290" i="2" s="1"/>
  <c r="N291" i="2" l="1"/>
  <c r="O291" i="2" s="1"/>
  <c r="Q291" i="2" l="1"/>
  <c r="R291" i="2" s="1"/>
  <c r="P291" i="2"/>
  <c r="H291" i="2" s="1"/>
  <c r="V291" i="2"/>
  <c r="K292" i="2" s="1"/>
  <c r="U291" i="2"/>
  <c r="J292" i="2" s="1"/>
  <c r="T291" i="2"/>
  <c r="I292" i="2" s="1"/>
  <c r="X291" i="2"/>
  <c r="M292" i="2" s="1"/>
  <c r="W291" i="2"/>
  <c r="L292" i="2" s="1"/>
  <c r="N292" i="2" l="1"/>
  <c r="O292" i="2" s="1"/>
  <c r="Q292" i="2" l="1"/>
  <c r="R292" i="2" s="1"/>
  <c r="P292" i="2"/>
  <c r="H292" i="2" s="1"/>
  <c r="X292" i="2"/>
  <c r="M293" i="2" s="1"/>
  <c r="W292" i="2"/>
  <c r="L293" i="2" s="1"/>
  <c r="V292" i="2"/>
  <c r="K293" i="2" s="1"/>
  <c r="U292" i="2"/>
  <c r="J293" i="2" s="1"/>
  <c r="T292" i="2"/>
  <c r="I293" i="2" s="1"/>
  <c r="N293" i="2" l="1"/>
  <c r="O293" i="2" s="1"/>
  <c r="T293" i="2" l="1"/>
  <c r="I294" i="2" s="1"/>
  <c r="Q293" i="2"/>
  <c r="R293" i="2" s="1"/>
  <c r="P293" i="2"/>
  <c r="H293" i="2" s="1"/>
  <c r="X293" i="2"/>
  <c r="M294" i="2" s="1"/>
  <c r="W293" i="2"/>
  <c r="L294" i="2" s="1"/>
  <c r="V293" i="2"/>
  <c r="K294" i="2" s="1"/>
  <c r="U293" i="2"/>
  <c r="J294" i="2" s="1"/>
  <c r="N294" i="2" l="1"/>
  <c r="O294" i="2" s="1"/>
  <c r="U294" i="2" l="1"/>
  <c r="J295" i="2" s="1"/>
  <c r="T294" i="2"/>
  <c r="I295" i="2" s="1"/>
  <c r="Q294" i="2"/>
  <c r="R294" i="2" s="1"/>
  <c r="X294" i="2"/>
  <c r="M295" i="2" s="1"/>
  <c r="W294" i="2"/>
  <c r="L295" i="2" s="1"/>
  <c r="V294" i="2"/>
  <c r="K295" i="2" s="1"/>
  <c r="P294" i="2"/>
  <c r="H294" i="2" s="1"/>
  <c r="N295" i="2" l="1"/>
  <c r="O295" i="2" s="1"/>
  <c r="V295" i="2" l="1"/>
  <c r="K296" i="2" s="1"/>
  <c r="U295" i="2"/>
  <c r="J296" i="2" s="1"/>
  <c r="T295" i="2"/>
  <c r="I296" i="2" s="1"/>
  <c r="P295" i="2"/>
  <c r="H295" i="2" s="1"/>
  <c r="X295" i="2"/>
  <c r="M296" i="2" s="1"/>
  <c r="W295" i="2"/>
  <c r="L296" i="2" s="1"/>
  <c r="Q295" i="2"/>
  <c r="R295" i="2" s="1"/>
  <c r="N296" i="2" l="1"/>
  <c r="O296" i="2" s="1"/>
  <c r="W296" i="2" l="1"/>
  <c r="L297" i="2" s="1"/>
  <c r="V296" i="2"/>
  <c r="K297" i="2" s="1"/>
  <c r="U296" i="2"/>
  <c r="J297" i="2" s="1"/>
  <c r="T296" i="2"/>
  <c r="I297" i="2" s="1"/>
  <c r="Q296" i="2"/>
  <c r="R296" i="2" s="1"/>
  <c r="P296" i="2"/>
  <c r="H296" i="2" s="1"/>
  <c r="X296" i="2"/>
  <c r="M297" i="2" s="1"/>
  <c r="N297" i="2" l="1"/>
  <c r="O297" i="2" s="1"/>
  <c r="X297" i="2" l="1"/>
  <c r="M298" i="2" s="1"/>
  <c r="W297" i="2"/>
  <c r="L298" i="2" s="1"/>
  <c r="V297" i="2"/>
  <c r="K298" i="2" s="1"/>
  <c r="U297" i="2"/>
  <c r="J298" i="2" s="1"/>
  <c r="Q297" i="2"/>
  <c r="R297" i="2" s="1"/>
  <c r="T297" i="2"/>
  <c r="I298" i="2" s="1"/>
  <c r="P297" i="2"/>
  <c r="H297" i="2" s="1"/>
  <c r="N298" i="2" l="1"/>
  <c r="O298" i="2" s="1"/>
  <c r="X298" i="2" l="1"/>
  <c r="M299" i="2" s="1"/>
  <c r="W298" i="2"/>
  <c r="L299" i="2" s="1"/>
  <c r="V298" i="2"/>
  <c r="K299" i="2" s="1"/>
  <c r="T298" i="2"/>
  <c r="I299" i="2" s="1"/>
  <c r="P298" i="2"/>
  <c r="H298" i="2" s="1"/>
  <c r="U298" i="2"/>
  <c r="J299" i="2" s="1"/>
  <c r="Q298" i="2"/>
  <c r="R298" i="2" s="1"/>
  <c r="N299" i="2" l="1"/>
  <c r="O299" i="2" s="1"/>
  <c r="X299" i="2" l="1"/>
  <c r="M300" i="2" s="1"/>
  <c r="W299" i="2"/>
  <c r="L300" i="2" s="1"/>
  <c r="U299" i="2"/>
  <c r="J300" i="2" s="1"/>
  <c r="T299" i="2"/>
  <c r="I300" i="2" s="1"/>
  <c r="Q299" i="2"/>
  <c r="R299" i="2" s="1"/>
  <c r="V299" i="2"/>
  <c r="K300" i="2" s="1"/>
  <c r="P299" i="2"/>
  <c r="H299" i="2" s="1"/>
  <c r="N300" i="2" l="1"/>
  <c r="O300" i="2" s="1"/>
  <c r="X300" i="2" l="1"/>
  <c r="M301" i="2" s="1"/>
  <c r="V300" i="2"/>
  <c r="K301" i="2" s="1"/>
  <c r="U300" i="2"/>
  <c r="J301" i="2" s="1"/>
  <c r="W300" i="2"/>
  <c r="L301" i="2" s="1"/>
  <c r="T300" i="2"/>
  <c r="I301" i="2" s="1"/>
  <c r="Q300" i="2"/>
  <c r="R300" i="2" s="1"/>
  <c r="P300" i="2"/>
  <c r="H300" i="2" s="1"/>
  <c r="N301" i="2" l="1"/>
  <c r="O301" i="2" s="1"/>
  <c r="W301" i="2" l="1"/>
  <c r="L302" i="2" s="1"/>
  <c r="V301" i="2"/>
  <c r="K302" i="2" s="1"/>
  <c r="T301" i="2"/>
  <c r="I302" i="2" s="1"/>
  <c r="X301" i="2"/>
  <c r="M302" i="2" s="1"/>
  <c r="U301" i="2"/>
  <c r="J302" i="2" s="1"/>
  <c r="Q301" i="2"/>
  <c r="R301" i="2" s="1"/>
  <c r="P301" i="2"/>
  <c r="H301" i="2" s="1"/>
  <c r="N302" i="2" l="1"/>
  <c r="O302" i="2" s="1"/>
  <c r="X302" i="2" l="1"/>
  <c r="M303" i="2" s="1"/>
  <c r="W302" i="2"/>
  <c r="L303" i="2" s="1"/>
  <c r="U302" i="2"/>
  <c r="J303" i="2" s="1"/>
  <c r="V302" i="2"/>
  <c r="K303" i="2" s="1"/>
  <c r="T302" i="2"/>
  <c r="I303" i="2" s="1"/>
  <c r="Q302" i="2"/>
  <c r="R302" i="2" s="1"/>
  <c r="P302" i="2"/>
  <c r="H302" i="2" s="1"/>
  <c r="N303" i="2" l="1"/>
  <c r="O303" i="2" s="1"/>
  <c r="X303" i="2" l="1"/>
  <c r="M304" i="2" s="1"/>
  <c r="V303" i="2"/>
  <c r="K304" i="2" s="1"/>
  <c r="W303" i="2"/>
  <c r="L304" i="2" s="1"/>
  <c r="U303" i="2"/>
  <c r="J304" i="2" s="1"/>
  <c r="T303" i="2"/>
  <c r="I304" i="2" s="1"/>
  <c r="Q303" i="2"/>
  <c r="R303" i="2" s="1"/>
  <c r="P303" i="2"/>
  <c r="H303" i="2" s="1"/>
  <c r="N304" i="2" l="1"/>
  <c r="O304" i="2" s="1"/>
  <c r="X304" i="2" l="1"/>
  <c r="M305" i="2" s="1"/>
  <c r="V304" i="2"/>
  <c r="K305" i="2" s="1"/>
  <c r="U304" i="2"/>
  <c r="J305" i="2" s="1"/>
  <c r="T304" i="2"/>
  <c r="I305" i="2" s="1"/>
  <c r="Q304" i="2"/>
  <c r="R304" i="2" s="1"/>
  <c r="P304" i="2"/>
  <c r="H304" i="2" s="1"/>
  <c r="W304" i="2"/>
  <c r="L305" i="2" s="1"/>
  <c r="N305" i="2" l="1"/>
  <c r="O305" i="2" s="1"/>
  <c r="Q305" i="2" l="1"/>
  <c r="R305" i="2" s="1"/>
  <c r="P305" i="2"/>
  <c r="H305" i="2" s="1"/>
  <c r="X305" i="2"/>
  <c r="M306" i="2" s="1"/>
  <c r="W305" i="2"/>
  <c r="L306" i="2" s="1"/>
  <c r="V305" i="2"/>
  <c r="K306" i="2" s="1"/>
  <c r="U305" i="2"/>
  <c r="J306" i="2" s="1"/>
  <c r="T305" i="2"/>
  <c r="I306" i="2" s="1"/>
  <c r="N306" i="2" l="1"/>
  <c r="O306" i="2" s="1"/>
  <c r="T306" i="2" l="1"/>
  <c r="I307" i="2" s="1"/>
  <c r="Q306" i="2"/>
  <c r="R306" i="2" s="1"/>
  <c r="P306" i="2"/>
  <c r="H306" i="2" s="1"/>
  <c r="X306" i="2"/>
  <c r="M307" i="2" s="1"/>
  <c r="W306" i="2"/>
  <c r="L307" i="2" s="1"/>
  <c r="V306" i="2"/>
  <c r="K307" i="2" s="1"/>
  <c r="U306" i="2"/>
  <c r="J307" i="2" s="1"/>
  <c r="N307" i="2" l="1"/>
  <c r="O307" i="2" s="1"/>
  <c r="V307" i="2" l="1"/>
  <c r="K308" i="2" s="1"/>
  <c r="U307" i="2"/>
  <c r="J308" i="2" s="1"/>
  <c r="T307" i="2"/>
  <c r="I308" i="2" s="1"/>
  <c r="Q307" i="2"/>
  <c r="R307" i="2" s="1"/>
  <c r="P307" i="2"/>
  <c r="H307" i="2" s="1"/>
  <c r="X307" i="2"/>
  <c r="M308" i="2" s="1"/>
  <c r="W307" i="2"/>
  <c r="L308" i="2" s="1"/>
  <c r="N308" i="2" l="1"/>
  <c r="O308" i="2" s="1"/>
  <c r="X308" i="2" l="1"/>
  <c r="M309" i="2" s="1"/>
  <c r="W308" i="2"/>
  <c r="L309" i="2" s="1"/>
  <c r="V308" i="2"/>
  <c r="K309" i="2" s="1"/>
  <c r="U308" i="2"/>
  <c r="J309" i="2" s="1"/>
  <c r="T308" i="2"/>
  <c r="I309" i="2" s="1"/>
  <c r="Q308" i="2"/>
  <c r="R308" i="2" s="1"/>
  <c r="P308" i="2"/>
  <c r="H308" i="2" s="1"/>
  <c r="N309" i="2" l="1"/>
  <c r="O309" i="2" s="1"/>
  <c r="X309" i="2" l="1"/>
  <c r="M310" i="2" s="1"/>
  <c r="W309" i="2"/>
  <c r="L310" i="2" s="1"/>
  <c r="V309" i="2"/>
  <c r="K310" i="2" s="1"/>
  <c r="U309" i="2"/>
  <c r="J310" i="2" s="1"/>
  <c r="T309" i="2"/>
  <c r="I310" i="2" s="1"/>
  <c r="Q309" i="2"/>
  <c r="R309" i="2" s="1"/>
  <c r="P309" i="2"/>
  <c r="H309" i="2" s="1"/>
  <c r="N310" i="2" l="1"/>
  <c r="O310" i="2" s="1"/>
  <c r="X310" i="2" l="1"/>
  <c r="M311" i="2" s="1"/>
  <c r="W310" i="2"/>
  <c r="L311" i="2" s="1"/>
  <c r="V310" i="2"/>
  <c r="K311" i="2" s="1"/>
  <c r="U310" i="2"/>
  <c r="J311" i="2" s="1"/>
  <c r="T310" i="2"/>
  <c r="I311" i="2" s="1"/>
  <c r="Q310" i="2"/>
  <c r="R310" i="2" s="1"/>
  <c r="P310" i="2"/>
  <c r="H310" i="2" s="1"/>
  <c r="N311" i="2" l="1"/>
  <c r="O311" i="2" s="1"/>
  <c r="X311" i="2" l="1"/>
  <c r="M312" i="2" s="1"/>
  <c r="W311" i="2"/>
  <c r="L312" i="2" s="1"/>
  <c r="V311" i="2"/>
  <c r="K312" i="2" s="1"/>
  <c r="U311" i="2"/>
  <c r="J312" i="2" s="1"/>
  <c r="T311" i="2"/>
  <c r="I312" i="2" s="1"/>
  <c r="Q311" i="2"/>
  <c r="R311" i="2" s="1"/>
  <c r="P311" i="2"/>
  <c r="H311" i="2" s="1"/>
  <c r="N312" i="2" l="1"/>
  <c r="O312" i="2" s="1"/>
  <c r="X312" i="2" l="1"/>
  <c r="M313" i="2" s="1"/>
  <c r="Q312" i="2"/>
  <c r="R312" i="2" s="1"/>
  <c r="P312" i="2"/>
  <c r="H312" i="2" s="1"/>
  <c r="W312" i="2"/>
  <c r="L313" i="2" s="1"/>
  <c r="V312" i="2"/>
  <c r="K313" i="2" s="1"/>
  <c r="U312" i="2"/>
  <c r="J313" i="2" s="1"/>
  <c r="T312" i="2"/>
  <c r="I313" i="2" s="1"/>
  <c r="N313" i="2" l="1"/>
  <c r="O313" i="2" s="1"/>
  <c r="Q313" i="2" l="1"/>
  <c r="R313" i="2" s="1"/>
  <c r="P313" i="2"/>
  <c r="H313" i="2" s="1"/>
  <c r="X313" i="2"/>
  <c r="M314" i="2" s="1"/>
  <c r="W313" i="2"/>
  <c r="L314" i="2" s="1"/>
  <c r="V313" i="2"/>
  <c r="K314" i="2" s="1"/>
  <c r="U313" i="2"/>
  <c r="J314" i="2" s="1"/>
  <c r="T313" i="2"/>
  <c r="I314" i="2" s="1"/>
  <c r="N314" i="2" l="1"/>
  <c r="O314" i="2" s="1"/>
  <c r="T314" i="2" l="1"/>
  <c r="I315" i="2" s="1"/>
  <c r="Q314" i="2"/>
  <c r="R314" i="2" s="1"/>
  <c r="P314" i="2"/>
  <c r="H314" i="2" s="1"/>
  <c r="X314" i="2"/>
  <c r="M315" i="2" s="1"/>
  <c r="W314" i="2"/>
  <c r="L315" i="2" s="1"/>
  <c r="V314" i="2"/>
  <c r="K315" i="2" s="1"/>
  <c r="U314" i="2"/>
  <c r="J315" i="2" s="1"/>
  <c r="N315" i="2" l="1"/>
  <c r="O315" i="2" s="1"/>
  <c r="V315" i="2" l="1"/>
  <c r="K316" i="2" s="1"/>
  <c r="U315" i="2"/>
  <c r="J316" i="2" s="1"/>
  <c r="T315" i="2"/>
  <c r="I316" i="2" s="1"/>
  <c r="Q315" i="2"/>
  <c r="R315" i="2" s="1"/>
  <c r="P315" i="2"/>
  <c r="H315" i="2" s="1"/>
  <c r="X315" i="2"/>
  <c r="M316" i="2" s="1"/>
  <c r="W315" i="2"/>
  <c r="L316" i="2" s="1"/>
  <c r="N316" i="2" l="1"/>
  <c r="O316" i="2" s="1"/>
  <c r="X316" i="2" l="1"/>
  <c r="M317" i="2" s="1"/>
  <c r="W316" i="2"/>
  <c r="L317" i="2" s="1"/>
  <c r="V316" i="2"/>
  <c r="K317" i="2" s="1"/>
  <c r="U316" i="2"/>
  <c r="J317" i="2" s="1"/>
  <c r="T316" i="2"/>
  <c r="I317" i="2" s="1"/>
  <c r="Q316" i="2"/>
  <c r="R316" i="2" s="1"/>
  <c r="P316" i="2"/>
  <c r="H316" i="2" s="1"/>
  <c r="N317" i="2" l="1"/>
  <c r="O317" i="2" s="1"/>
  <c r="X317" i="2" l="1"/>
  <c r="M318" i="2" s="1"/>
  <c r="W317" i="2"/>
  <c r="L318" i="2" s="1"/>
  <c r="V317" i="2"/>
  <c r="K318" i="2" s="1"/>
  <c r="U317" i="2"/>
  <c r="J318" i="2" s="1"/>
  <c r="T317" i="2"/>
  <c r="I318" i="2" s="1"/>
  <c r="Q317" i="2"/>
  <c r="R317" i="2" s="1"/>
  <c r="P317" i="2"/>
  <c r="H317" i="2" s="1"/>
  <c r="N318" i="2" l="1"/>
  <c r="O318" i="2" s="1"/>
  <c r="X318" i="2" l="1"/>
  <c r="M319" i="2" s="1"/>
  <c r="W318" i="2"/>
  <c r="L319" i="2" s="1"/>
  <c r="V318" i="2"/>
  <c r="K319" i="2" s="1"/>
  <c r="U318" i="2"/>
  <c r="J319" i="2" s="1"/>
  <c r="T318" i="2"/>
  <c r="I319" i="2" s="1"/>
  <c r="Q318" i="2"/>
  <c r="R318" i="2" s="1"/>
  <c r="P318" i="2"/>
  <c r="H318" i="2" s="1"/>
  <c r="N319" i="2" l="1"/>
  <c r="O319" i="2" s="1"/>
  <c r="X319" i="2" l="1"/>
  <c r="M320" i="2" s="1"/>
  <c r="W319" i="2"/>
  <c r="L320" i="2" s="1"/>
  <c r="V319" i="2"/>
  <c r="K320" i="2" s="1"/>
  <c r="T319" i="2"/>
  <c r="I320" i="2" s="1"/>
  <c r="U319" i="2"/>
  <c r="J320" i="2" s="1"/>
  <c r="Q319" i="2"/>
  <c r="R319" i="2" s="1"/>
  <c r="P319" i="2"/>
  <c r="H319" i="2" s="1"/>
  <c r="N320" i="2" l="1"/>
  <c r="O320" i="2" s="1"/>
  <c r="X320" i="2" l="1"/>
  <c r="M321" i="2" s="1"/>
  <c r="V320" i="2"/>
  <c r="K321" i="2" s="1"/>
  <c r="W320" i="2"/>
  <c r="L321" i="2" s="1"/>
  <c r="U320" i="2"/>
  <c r="J321" i="2" s="1"/>
  <c r="T320" i="2"/>
  <c r="I321" i="2" s="1"/>
  <c r="Q320" i="2"/>
  <c r="R320" i="2" s="1"/>
  <c r="P320" i="2"/>
  <c r="H320" i="2" s="1"/>
  <c r="N321" i="2" l="1"/>
  <c r="O321" i="2" s="1"/>
  <c r="Q321" i="2" l="1"/>
  <c r="R321" i="2" s="1"/>
  <c r="P321" i="2"/>
  <c r="H321" i="2" s="1"/>
  <c r="X321" i="2"/>
  <c r="M322" i="2" s="1"/>
  <c r="W321" i="2"/>
  <c r="L322" i="2" s="1"/>
  <c r="V321" i="2"/>
  <c r="K322" i="2" s="1"/>
  <c r="U321" i="2"/>
  <c r="J322" i="2" s="1"/>
  <c r="T321" i="2"/>
  <c r="I322" i="2" s="1"/>
  <c r="N322" i="2" l="1"/>
  <c r="O322" i="2" s="1"/>
  <c r="T322" i="2" l="1"/>
  <c r="I323" i="2" s="1"/>
  <c r="Q322" i="2"/>
  <c r="R322" i="2" s="1"/>
  <c r="P322" i="2"/>
  <c r="H322" i="2" s="1"/>
  <c r="X322" i="2"/>
  <c r="M323" i="2" s="1"/>
  <c r="W322" i="2"/>
  <c r="L323" i="2" s="1"/>
  <c r="V322" i="2"/>
  <c r="K323" i="2" s="1"/>
  <c r="U322" i="2"/>
  <c r="J323" i="2" s="1"/>
  <c r="N323" i="2" l="1"/>
  <c r="O323" i="2" s="1"/>
  <c r="V323" i="2" l="1"/>
  <c r="K324" i="2" s="1"/>
  <c r="U323" i="2"/>
  <c r="J324" i="2" s="1"/>
  <c r="T323" i="2"/>
  <c r="I324" i="2" s="1"/>
  <c r="Q323" i="2"/>
  <c r="R323" i="2" s="1"/>
  <c r="P323" i="2"/>
  <c r="H323" i="2" s="1"/>
  <c r="X323" i="2"/>
  <c r="M324" i="2" s="1"/>
  <c r="W323" i="2"/>
  <c r="L324" i="2" s="1"/>
  <c r="M67" i="3" l="1"/>
  <c r="I67" i="3"/>
  <c r="N324" i="2"/>
  <c r="O324" i="2" s="1"/>
  <c r="L67" i="3"/>
  <c r="J67" i="3"/>
  <c r="K67" i="3"/>
  <c r="N67" i="3" l="1"/>
  <c r="O67" i="3" s="1"/>
  <c r="W324" i="2"/>
  <c r="L325" i="2" s="1"/>
  <c r="V324" i="2"/>
  <c r="K325" i="2" s="1"/>
  <c r="U324" i="2"/>
  <c r="J325" i="2" s="1"/>
  <c r="T324" i="2"/>
  <c r="I325" i="2" s="1"/>
  <c r="Q324" i="2"/>
  <c r="R324" i="2" s="1"/>
  <c r="S324" i="2" s="1"/>
  <c r="C412" i="2" s="1"/>
  <c r="P324" i="2"/>
  <c r="H324" i="2" s="1"/>
  <c r="F412" i="2" s="1"/>
  <c r="X324" i="2"/>
  <c r="M325" i="2" s="1"/>
  <c r="N325" i="2" l="1"/>
  <c r="O325" i="2" s="1"/>
  <c r="W67" i="3"/>
  <c r="L68" i="3" s="1"/>
  <c r="V67" i="3"/>
  <c r="K68" i="3" s="1"/>
  <c r="T67" i="3"/>
  <c r="I68" i="3" s="1"/>
  <c r="P67" i="3"/>
  <c r="H67" i="3" s="1"/>
  <c r="X67" i="3"/>
  <c r="M68" i="3" s="1"/>
  <c r="U67" i="3"/>
  <c r="J68" i="3" s="1"/>
  <c r="Q67" i="3"/>
  <c r="R67" i="3" s="1"/>
  <c r="N68" i="3" l="1"/>
  <c r="O68" i="3" s="1"/>
  <c r="X325" i="2"/>
  <c r="M326" i="2" s="1"/>
  <c r="W325" i="2"/>
  <c r="L326" i="2" s="1"/>
  <c r="V325" i="2"/>
  <c r="K326" i="2" s="1"/>
  <c r="U325" i="2"/>
  <c r="J326" i="2" s="1"/>
  <c r="T325" i="2"/>
  <c r="I326" i="2" s="1"/>
  <c r="Q325" i="2"/>
  <c r="R325" i="2" s="1"/>
  <c r="P325" i="2"/>
  <c r="H325" i="2" s="1"/>
  <c r="N326" i="2" l="1"/>
  <c r="O326" i="2" s="1"/>
  <c r="Q68" i="3"/>
  <c r="R68" i="3" s="1"/>
  <c r="P68" i="3"/>
  <c r="H68" i="3" s="1"/>
  <c r="X68" i="3"/>
  <c r="M69" i="3" s="1"/>
  <c r="W68" i="3"/>
  <c r="L69" i="3" s="1"/>
  <c r="V68" i="3"/>
  <c r="K69" i="3" s="1"/>
  <c r="U68" i="3"/>
  <c r="J69" i="3" s="1"/>
  <c r="T68" i="3"/>
  <c r="I69" i="3" s="1"/>
  <c r="N69" i="3" l="1"/>
  <c r="O69" i="3" s="1"/>
  <c r="X326" i="2"/>
  <c r="M327" i="2" s="1"/>
  <c r="W326" i="2"/>
  <c r="L327" i="2" s="1"/>
  <c r="V326" i="2"/>
  <c r="K327" i="2" s="1"/>
  <c r="U326" i="2"/>
  <c r="J327" i="2" s="1"/>
  <c r="T326" i="2"/>
  <c r="I327" i="2" s="1"/>
  <c r="P326" i="2"/>
  <c r="H326" i="2" s="1"/>
  <c r="Q326" i="2"/>
  <c r="R326" i="2" s="1"/>
  <c r="N327" i="2" l="1"/>
  <c r="O327" i="2" s="1"/>
  <c r="W69" i="3"/>
  <c r="L70" i="3" s="1"/>
  <c r="T69" i="3"/>
  <c r="I70" i="3" s="1"/>
  <c r="Q69" i="3"/>
  <c r="R69" i="3" s="1"/>
  <c r="P69" i="3"/>
  <c r="H69" i="3" s="1"/>
  <c r="X69" i="3"/>
  <c r="M70" i="3" s="1"/>
  <c r="V69" i="3"/>
  <c r="K70" i="3" s="1"/>
  <c r="U69" i="3"/>
  <c r="J70" i="3" s="1"/>
  <c r="N70" i="3" l="1"/>
  <c r="O70" i="3" s="1"/>
  <c r="X327" i="2"/>
  <c r="M328" i="2" s="1"/>
  <c r="W327" i="2"/>
  <c r="L328" i="2" s="1"/>
  <c r="V327" i="2"/>
  <c r="K328" i="2" s="1"/>
  <c r="U327" i="2"/>
  <c r="J328" i="2" s="1"/>
  <c r="T327" i="2"/>
  <c r="I328" i="2" s="1"/>
  <c r="Q327" i="2"/>
  <c r="R327" i="2" s="1"/>
  <c r="P327" i="2"/>
  <c r="H327" i="2" s="1"/>
  <c r="N328" i="2" l="1"/>
  <c r="O328" i="2" s="1"/>
  <c r="X70" i="3"/>
  <c r="M71" i="3" s="1"/>
  <c r="W70" i="3"/>
  <c r="L71" i="3" s="1"/>
  <c r="U70" i="3"/>
  <c r="J71" i="3" s="1"/>
  <c r="T70" i="3"/>
  <c r="I71" i="3" s="1"/>
  <c r="Q70" i="3"/>
  <c r="R70" i="3" s="1"/>
  <c r="V70" i="3"/>
  <c r="K71" i="3" s="1"/>
  <c r="P70" i="3"/>
  <c r="H70" i="3" s="1"/>
  <c r="N71" i="3" l="1"/>
  <c r="O71" i="3" s="1"/>
  <c r="X328" i="2"/>
  <c r="M329" i="2" s="1"/>
  <c r="W328" i="2"/>
  <c r="L329" i="2" s="1"/>
  <c r="U328" i="2"/>
  <c r="J329" i="2" s="1"/>
  <c r="V328" i="2"/>
  <c r="K329" i="2" s="1"/>
  <c r="T328" i="2"/>
  <c r="I329" i="2" s="1"/>
  <c r="Q328" i="2"/>
  <c r="R328" i="2" s="1"/>
  <c r="P328" i="2"/>
  <c r="H328" i="2" s="1"/>
  <c r="N329" i="2" l="1"/>
  <c r="O329" i="2" s="1"/>
  <c r="Q71" i="3"/>
  <c r="R71" i="3" s="1"/>
  <c r="X71" i="3"/>
  <c r="M72" i="3" s="1"/>
  <c r="W71" i="3"/>
  <c r="L72" i="3" s="1"/>
  <c r="V71" i="3"/>
  <c r="K72" i="3" s="1"/>
  <c r="U71" i="3"/>
  <c r="J72" i="3" s="1"/>
  <c r="T71" i="3"/>
  <c r="I72" i="3" s="1"/>
  <c r="P71" i="3"/>
  <c r="H71" i="3" s="1"/>
  <c r="N72" i="3" l="1"/>
  <c r="O72" i="3" s="1"/>
  <c r="P329" i="2"/>
  <c r="H329" i="2" s="1"/>
  <c r="W329" i="2"/>
  <c r="L330" i="2" s="1"/>
  <c r="X329" i="2"/>
  <c r="M330" i="2" s="1"/>
  <c r="V329" i="2"/>
  <c r="K330" i="2" s="1"/>
  <c r="U329" i="2"/>
  <c r="J330" i="2" s="1"/>
  <c r="T329" i="2"/>
  <c r="I330" i="2" s="1"/>
  <c r="Q329" i="2"/>
  <c r="R329" i="2" s="1"/>
  <c r="N330" i="2" l="1"/>
  <c r="O330" i="2" s="1"/>
  <c r="X72" i="3"/>
  <c r="M73" i="3" s="1"/>
  <c r="U72" i="3"/>
  <c r="J73" i="3" s="1"/>
  <c r="T72" i="3"/>
  <c r="I73" i="3" s="1"/>
  <c r="Q72" i="3"/>
  <c r="R72" i="3" s="1"/>
  <c r="P72" i="3"/>
  <c r="H72" i="3" s="1"/>
  <c r="W72" i="3"/>
  <c r="L73" i="3" s="1"/>
  <c r="V72" i="3"/>
  <c r="K73" i="3" s="1"/>
  <c r="N73" i="3" l="1"/>
  <c r="O73" i="3" s="1"/>
  <c r="T330" i="2"/>
  <c r="I331" i="2" s="1"/>
  <c r="Q330" i="2"/>
  <c r="R330" i="2" s="1"/>
  <c r="P330" i="2"/>
  <c r="H330" i="2" s="1"/>
  <c r="U330" i="2"/>
  <c r="J331" i="2" s="1"/>
  <c r="X330" i="2"/>
  <c r="M331" i="2" s="1"/>
  <c r="V330" i="2"/>
  <c r="K331" i="2" s="1"/>
  <c r="W330" i="2"/>
  <c r="L331" i="2" s="1"/>
  <c r="N331" i="2" l="1"/>
  <c r="O331" i="2" s="1"/>
  <c r="X73" i="3"/>
  <c r="M74" i="3" s="1"/>
  <c r="V73" i="3"/>
  <c r="K74" i="3" s="1"/>
  <c r="U73" i="3"/>
  <c r="J74" i="3" s="1"/>
  <c r="W73" i="3"/>
  <c r="L74" i="3" s="1"/>
  <c r="T73" i="3"/>
  <c r="I74" i="3" s="1"/>
  <c r="Q73" i="3"/>
  <c r="R73" i="3" s="1"/>
  <c r="P73" i="3"/>
  <c r="H73" i="3" s="1"/>
  <c r="N74" i="3" l="1"/>
  <c r="O74" i="3" s="1"/>
  <c r="W331" i="2"/>
  <c r="L332" i="2" s="1"/>
  <c r="V331" i="2"/>
  <c r="K332" i="2" s="1"/>
  <c r="U331" i="2"/>
  <c r="J332" i="2" s="1"/>
  <c r="T331" i="2"/>
  <c r="I332" i="2" s="1"/>
  <c r="Q331" i="2"/>
  <c r="R331" i="2" s="1"/>
  <c r="P331" i="2"/>
  <c r="H331" i="2" s="1"/>
  <c r="X331" i="2"/>
  <c r="M332" i="2" s="1"/>
  <c r="N332" i="2" l="1"/>
  <c r="O332" i="2" s="1"/>
  <c r="T74" i="3"/>
  <c r="I75" i="3" s="1"/>
  <c r="P74" i="3"/>
  <c r="H74" i="3" s="1"/>
  <c r="X74" i="3"/>
  <c r="M75" i="3" s="1"/>
  <c r="W74" i="3"/>
  <c r="L75" i="3" s="1"/>
  <c r="V74" i="3"/>
  <c r="K75" i="3" s="1"/>
  <c r="U74" i="3"/>
  <c r="J75" i="3" s="1"/>
  <c r="Q74" i="3"/>
  <c r="R74" i="3" s="1"/>
  <c r="N75" i="3" l="1"/>
  <c r="O75" i="3" s="1"/>
  <c r="X332" i="2"/>
  <c r="M333" i="2" s="1"/>
  <c r="W332" i="2"/>
  <c r="L333" i="2" s="1"/>
  <c r="V332" i="2"/>
  <c r="K333" i="2" s="1"/>
  <c r="U332" i="2"/>
  <c r="J333" i="2" s="1"/>
  <c r="T332" i="2"/>
  <c r="I333" i="2" s="1"/>
  <c r="Q332" i="2"/>
  <c r="R332" i="2" s="1"/>
  <c r="P332" i="2"/>
  <c r="H332" i="2" s="1"/>
  <c r="N333" i="2" l="1"/>
  <c r="O333" i="2" s="1"/>
  <c r="V75" i="3"/>
  <c r="K76" i="3" s="1"/>
  <c r="U75" i="3"/>
  <c r="J76" i="3" s="1"/>
  <c r="T75" i="3"/>
  <c r="I76" i="3" s="1"/>
  <c r="Q75" i="3"/>
  <c r="R75" i="3" s="1"/>
  <c r="P75" i="3"/>
  <c r="H75" i="3" s="1"/>
  <c r="X75" i="3"/>
  <c r="M76" i="3" s="1"/>
  <c r="W75" i="3"/>
  <c r="L76" i="3" s="1"/>
  <c r="N76" i="3" l="1"/>
  <c r="O76" i="3" s="1"/>
  <c r="X333" i="2"/>
  <c r="M334" i="2" s="1"/>
  <c r="W333" i="2"/>
  <c r="L334" i="2" s="1"/>
  <c r="V333" i="2"/>
  <c r="K334" i="2" s="1"/>
  <c r="U333" i="2"/>
  <c r="J334" i="2" s="1"/>
  <c r="T333" i="2"/>
  <c r="I334" i="2" s="1"/>
  <c r="Q333" i="2"/>
  <c r="R333" i="2" s="1"/>
  <c r="P333" i="2"/>
  <c r="H333" i="2" s="1"/>
  <c r="N334" i="2" l="1"/>
  <c r="O334" i="2" s="1"/>
  <c r="W76" i="3"/>
  <c r="L77" i="3" s="1"/>
  <c r="V76" i="3"/>
  <c r="K77" i="3" s="1"/>
  <c r="T76" i="3"/>
  <c r="I77" i="3" s="1"/>
  <c r="P76" i="3"/>
  <c r="H76" i="3" s="1"/>
  <c r="X76" i="3"/>
  <c r="M77" i="3" s="1"/>
  <c r="U76" i="3"/>
  <c r="J77" i="3" s="1"/>
  <c r="Q76" i="3"/>
  <c r="R76" i="3" s="1"/>
  <c r="N77" i="3" l="1"/>
  <c r="O77" i="3" s="1"/>
  <c r="X334" i="2"/>
  <c r="M335" i="2" s="1"/>
  <c r="W334" i="2"/>
  <c r="L335" i="2" s="1"/>
  <c r="V334" i="2"/>
  <c r="K335" i="2" s="1"/>
  <c r="Q334" i="2"/>
  <c r="R334" i="2" s="1"/>
  <c r="P334" i="2"/>
  <c r="H334" i="2" s="1"/>
  <c r="U334" i="2"/>
  <c r="J335" i="2" s="1"/>
  <c r="T334" i="2"/>
  <c r="I335" i="2" s="1"/>
  <c r="N335" i="2" l="1"/>
  <c r="O335" i="2" s="1"/>
  <c r="U77" i="3"/>
  <c r="J78" i="3" s="1"/>
  <c r="T77" i="3"/>
  <c r="I78" i="3" s="1"/>
  <c r="Q77" i="3"/>
  <c r="R77" i="3" s="1"/>
  <c r="P77" i="3"/>
  <c r="H77" i="3" s="1"/>
  <c r="X77" i="3"/>
  <c r="M78" i="3" s="1"/>
  <c r="W77" i="3"/>
  <c r="L78" i="3" s="1"/>
  <c r="V77" i="3"/>
  <c r="K78" i="3" s="1"/>
  <c r="N78" i="3" l="1"/>
  <c r="O78" i="3" s="1"/>
  <c r="Q335" i="2"/>
  <c r="R335" i="2" s="1"/>
  <c r="P335" i="2"/>
  <c r="H335" i="2" s="1"/>
  <c r="X335" i="2"/>
  <c r="M336" i="2" s="1"/>
  <c r="W335" i="2"/>
  <c r="L336" i="2" s="1"/>
  <c r="V335" i="2"/>
  <c r="K336" i="2" s="1"/>
  <c r="U335" i="2"/>
  <c r="J336" i="2" s="1"/>
  <c r="T335" i="2"/>
  <c r="I336" i="2" s="1"/>
  <c r="N336" i="2" l="1"/>
  <c r="O336" i="2" s="1"/>
  <c r="W78" i="3"/>
  <c r="L79" i="3" s="1"/>
  <c r="V78" i="3"/>
  <c r="K79" i="3" s="1"/>
  <c r="U78" i="3"/>
  <c r="J79" i="3" s="1"/>
  <c r="T78" i="3"/>
  <c r="I79" i="3" s="1"/>
  <c r="Q78" i="3"/>
  <c r="R78" i="3" s="1"/>
  <c r="X78" i="3"/>
  <c r="M79" i="3" s="1"/>
  <c r="P78" i="3"/>
  <c r="H78" i="3" s="1"/>
  <c r="N79" i="3" l="1"/>
  <c r="O79" i="3" s="1"/>
  <c r="V336" i="2"/>
  <c r="K337" i="2" s="1"/>
  <c r="W336" i="2"/>
  <c r="L337" i="2" s="1"/>
  <c r="U336" i="2"/>
  <c r="J337" i="2" s="1"/>
  <c r="T336" i="2"/>
  <c r="I337" i="2" s="1"/>
  <c r="Q336" i="2"/>
  <c r="R336" i="2" s="1"/>
  <c r="P336" i="2"/>
  <c r="H336" i="2" s="1"/>
  <c r="X336" i="2"/>
  <c r="M337" i="2" s="1"/>
  <c r="N337" i="2" l="1"/>
  <c r="O337" i="2" s="1"/>
  <c r="X79" i="3"/>
  <c r="M80" i="3" s="1"/>
  <c r="W79" i="3"/>
  <c r="L80" i="3" s="1"/>
  <c r="U79" i="3"/>
  <c r="J80" i="3" s="1"/>
  <c r="Q79" i="3"/>
  <c r="R79" i="3" s="1"/>
  <c r="P79" i="3"/>
  <c r="H79" i="3" s="1"/>
  <c r="V79" i="3"/>
  <c r="K80" i="3" s="1"/>
  <c r="T79" i="3"/>
  <c r="I80" i="3" s="1"/>
  <c r="N80" i="3" l="1"/>
  <c r="O80" i="3" s="1"/>
  <c r="V337" i="2"/>
  <c r="K338" i="2" s="1"/>
  <c r="X337" i="2"/>
  <c r="M338" i="2" s="1"/>
  <c r="W337" i="2"/>
  <c r="L338" i="2" s="1"/>
  <c r="U337" i="2"/>
  <c r="J338" i="2" s="1"/>
  <c r="T337" i="2"/>
  <c r="I338" i="2" s="1"/>
  <c r="Q337" i="2"/>
  <c r="R337" i="2" s="1"/>
  <c r="P337" i="2"/>
  <c r="H337" i="2" s="1"/>
  <c r="N338" i="2" l="1"/>
  <c r="O338" i="2" s="1"/>
  <c r="V80" i="3"/>
  <c r="K81" i="3" s="1"/>
  <c r="U80" i="3"/>
  <c r="J81" i="3" s="1"/>
  <c r="Q80" i="3"/>
  <c r="R80" i="3" s="1"/>
  <c r="X80" i="3"/>
  <c r="M81" i="3" s="1"/>
  <c r="W80" i="3"/>
  <c r="L81" i="3" s="1"/>
  <c r="T80" i="3"/>
  <c r="I81" i="3" s="1"/>
  <c r="P80" i="3"/>
  <c r="H80" i="3" s="1"/>
  <c r="N81" i="3" l="1"/>
  <c r="O81" i="3" s="1"/>
  <c r="V338" i="2"/>
  <c r="K339" i="2" s="1"/>
  <c r="X338" i="2"/>
  <c r="M339" i="2" s="1"/>
  <c r="W338" i="2"/>
  <c r="L339" i="2" s="1"/>
  <c r="U338" i="2"/>
  <c r="J339" i="2" s="1"/>
  <c r="T338" i="2"/>
  <c r="I339" i="2" s="1"/>
  <c r="P338" i="2"/>
  <c r="H338" i="2" s="1"/>
  <c r="Q338" i="2"/>
  <c r="R338" i="2" s="1"/>
  <c r="N339" i="2" l="1"/>
  <c r="O339" i="2" s="1"/>
  <c r="P81" i="3"/>
  <c r="H81" i="3" s="1"/>
  <c r="X81" i="3"/>
  <c r="M82" i="3" s="1"/>
  <c r="W81" i="3"/>
  <c r="L82" i="3" s="1"/>
  <c r="V81" i="3"/>
  <c r="K82" i="3" s="1"/>
  <c r="U81" i="3"/>
  <c r="J82" i="3" s="1"/>
  <c r="T81" i="3"/>
  <c r="I82" i="3" s="1"/>
  <c r="Q81" i="3"/>
  <c r="R81" i="3" s="1"/>
  <c r="N82" i="3" l="1"/>
  <c r="O82" i="3" s="1"/>
  <c r="V339" i="2"/>
  <c r="K340" i="2" s="1"/>
  <c r="W339" i="2"/>
  <c r="L340" i="2" s="1"/>
  <c r="Q339" i="2"/>
  <c r="R339" i="2" s="1"/>
  <c r="P339" i="2"/>
  <c r="H339" i="2" s="1"/>
  <c r="X339" i="2"/>
  <c r="M340" i="2" s="1"/>
  <c r="U339" i="2"/>
  <c r="J340" i="2" s="1"/>
  <c r="T339" i="2"/>
  <c r="I340" i="2" s="1"/>
  <c r="N340" i="2" l="1"/>
  <c r="O340" i="2" s="1"/>
  <c r="X82" i="3"/>
  <c r="M83" i="3" s="1"/>
  <c r="V82" i="3"/>
  <c r="K83" i="3" s="1"/>
  <c r="U82" i="3"/>
  <c r="J83" i="3" s="1"/>
  <c r="Q82" i="3"/>
  <c r="R82" i="3" s="1"/>
  <c r="P82" i="3"/>
  <c r="H82" i="3" s="1"/>
  <c r="W82" i="3"/>
  <c r="L83" i="3" s="1"/>
  <c r="T82" i="3"/>
  <c r="I83" i="3" s="1"/>
  <c r="N83" i="3" l="1"/>
  <c r="O83" i="3" s="1"/>
  <c r="V340" i="2"/>
  <c r="K341" i="2" s="1"/>
  <c r="T340" i="2"/>
  <c r="I341" i="2" s="1"/>
  <c r="X340" i="2"/>
  <c r="M341" i="2" s="1"/>
  <c r="W340" i="2"/>
  <c r="L341" i="2" s="1"/>
  <c r="U340" i="2"/>
  <c r="J341" i="2" s="1"/>
  <c r="Q340" i="2"/>
  <c r="R340" i="2" s="1"/>
  <c r="P340" i="2"/>
  <c r="H340" i="2" s="1"/>
  <c r="N341" i="2" l="1"/>
  <c r="O341" i="2" s="1"/>
  <c r="W83" i="3"/>
  <c r="L84" i="3" s="1"/>
  <c r="V83" i="3"/>
  <c r="K84" i="3" s="1"/>
  <c r="T83" i="3"/>
  <c r="I84" i="3" s="1"/>
  <c r="P83" i="3"/>
  <c r="H83" i="3" s="1"/>
  <c r="X83" i="3"/>
  <c r="M84" i="3" s="1"/>
  <c r="U83" i="3"/>
  <c r="J84" i="3" s="1"/>
  <c r="Q83" i="3"/>
  <c r="R83" i="3" s="1"/>
  <c r="N84" i="3" l="1"/>
  <c r="O84" i="3" s="1"/>
  <c r="V341" i="2"/>
  <c r="K342" i="2" s="1"/>
  <c r="T341" i="2"/>
  <c r="I342" i="2" s="1"/>
  <c r="X341" i="2"/>
  <c r="M342" i="2" s="1"/>
  <c r="W341" i="2"/>
  <c r="L342" i="2" s="1"/>
  <c r="U341" i="2"/>
  <c r="J342" i="2" s="1"/>
  <c r="Q341" i="2"/>
  <c r="R341" i="2" s="1"/>
  <c r="P341" i="2"/>
  <c r="H341" i="2" s="1"/>
  <c r="N342" i="2" l="1"/>
  <c r="O342" i="2" s="1"/>
  <c r="Q84" i="3"/>
  <c r="R84" i="3" s="1"/>
  <c r="P84" i="3"/>
  <c r="H84" i="3" s="1"/>
  <c r="X84" i="3"/>
  <c r="M85" i="3" s="1"/>
  <c r="W84" i="3"/>
  <c r="L85" i="3" s="1"/>
  <c r="V84" i="3"/>
  <c r="K85" i="3" s="1"/>
  <c r="U84" i="3"/>
  <c r="J85" i="3" s="1"/>
  <c r="T84" i="3"/>
  <c r="I85" i="3" s="1"/>
  <c r="V342" i="2" l="1"/>
  <c r="K343" i="2" s="1"/>
  <c r="T342" i="2"/>
  <c r="I343" i="2" s="1"/>
  <c r="Q342" i="2"/>
  <c r="R342" i="2" s="1"/>
  <c r="P342" i="2"/>
  <c r="H342" i="2" s="1"/>
  <c r="X342" i="2"/>
  <c r="M343" i="2" s="1"/>
  <c r="W342" i="2"/>
  <c r="L343" i="2" s="1"/>
  <c r="U342" i="2"/>
  <c r="J343" i="2" s="1"/>
  <c r="N85" i="3"/>
  <c r="O85" i="3" s="1"/>
  <c r="N343" i="2" l="1"/>
  <c r="O343" i="2" s="1"/>
  <c r="W85" i="3"/>
  <c r="L86" i="3" s="1"/>
  <c r="V85" i="3"/>
  <c r="K86" i="3" s="1"/>
  <c r="T85" i="3"/>
  <c r="I86" i="3" s="1"/>
  <c r="Q85" i="3"/>
  <c r="R85" i="3" s="1"/>
  <c r="P85" i="3"/>
  <c r="H85" i="3" s="1"/>
  <c r="X85" i="3"/>
  <c r="M86" i="3" s="1"/>
  <c r="U85" i="3"/>
  <c r="J86" i="3" s="1"/>
  <c r="N86" i="3" l="1"/>
  <c r="O86" i="3" s="1"/>
  <c r="V343" i="2"/>
  <c r="K344" i="2" s="1"/>
  <c r="T343" i="2"/>
  <c r="I344" i="2" s="1"/>
  <c r="X343" i="2"/>
  <c r="M344" i="2" s="1"/>
  <c r="W343" i="2"/>
  <c r="L344" i="2" s="1"/>
  <c r="U343" i="2"/>
  <c r="J344" i="2" s="1"/>
  <c r="P343" i="2"/>
  <c r="H343" i="2" s="1"/>
  <c r="Q343" i="2"/>
  <c r="R343" i="2" s="1"/>
  <c r="N344" i="2" l="1"/>
  <c r="O344" i="2" s="1"/>
  <c r="W86" i="3"/>
  <c r="V86" i="3"/>
  <c r="T86" i="3"/>
  <c r="Q86" i="3"/>
  <c r="R86" i="3" s="1"/>
  <c r="S86" i="3" s="1"/>
  <c r="C113" i="3" s="1"/>
  <c r="P86" i="3"/>
  <c r="H86" i="3" s="1"/>
  <c r="F113" i="3" s="1"/>
  <c r="X86" i="3"/>
  <c r="U86" i="3"/>
  <c r="V344" i="2" l="1"/>
  <c r="K345" i="2" s="1"/>
  <c r="T344" i="2"/>
  <c r="I345" i="2" s="1"/>
  <c r="X344" i="2"/>
  <c r="M345" i="2" s="1"/>
  <c r="U344" i="2"/>
  <c r="J345" i="2" s="1"/>
  <c r="P344" i="2"/>
  <c r="H344" i="2" s="1"/>
  <c r="W344" i="2"/>
  <c r="L345" i="2" s="1"/>
  <c r="Q344" i="2"/>
  <c r="R344" i="2" s="1"/>
  <c r="N345" i="2" l="1"/>
  <c r="O345" i="2" s="1"/>
  <c r="V345" i="2" l="1"/>
  <c r="K346" i="2" s="1"/>
  <c r="T345" i="2"/>
  <c r="I346" i="2" s="1"/>
  <c r="U345" i="2"/>
  <c r="J346" i="2" s="1"/>
  <c r="X345" i="2"/>
  <c r="M346" i="2" s="1"/>
  <c r="W345" i="2"/>
  <c r="L346" i="2" s="1"/>
  <c r="Q345" i="2"/>
  <c r="R345" i="2" s="1"/>
  <c r="P345" i="2"/>
  <c r="H345" i="2" s="1"/>
  <c r="N346" i="2" l="1"/>
  <c r="O346" i="2" s="1"/>
  <c r="V346" i="2" l="1"/>
  <c r="K347" i="2" s="1"/>
  <c r="T346" i="2"/>
  <c r="I347" i="2" s="1"/>
  <c r="Q346" i="2"/>
  <c r="R346" i="2" s="1"/>
  <c r="P346" i="2"/>
  <c r="H346" i="2" s="1"/>
  <c r="X346" i="2"/>
  <c r="M347" i="2" s="1"/>
  <c r="W346" i="2"/>
  <c r="L347" i="2" s="1"/>
  <c r="U346" i="2"/>
  <c r="J347" i="2" s="1"/>
  <c r="N347" i="2" l="1"/>
  <c r="O347" i="2" s="1"/>
  <c r="V347" i="2" l="1"/>
  <c r="K348" i="2" s="1"/>
  <c r="T347" i="2"/>
  <c r="I348" i="2" s="1"/>
  <c r="Q347" i="2"/>
  <c r="R347" i="2" s="1"/>
  <c r="P347" i="2"/>
  <c r="H347" i="2" s="1"/>
  <c r="X347" i="2"/>
  <c r="M348" i="2" s="1"/>
  <c r="W347" i="2"/>
  <c r="L348" i="2" s="1"/>
  <c r="U347" i="2"/>
  <c r="J348" i="2" s="1"/>
  <c r="N348" i="2" l="1"/>
  <c r="O348" i="2" s="1"/>
  <c r="V348" i="2" l="1"/>
  <c r="K349" i="2" s="1"/>
  <c r="T348" i="2"/>
  <c r="I349" i="2" s="1"/>
  <c r="W348" i="2"/>
  <c r="L349" i="2" s="1"/>
  <c r="U348" i="2"/>
  <c r="J349" i="2" s="1"/>
  <c r="Q348" i="2"/>
  <c r="R348" i="2" s="1"/>
  <c r="X348" i="2"/>
  <c r="M349" i="2" s="1"/>
  <c r="P348" i="2"/>
  <c r="H348" i="2" s="1"/>
  <c r="N349" i="2" l="1"/>
  <c r="O349" i="2" s="1"/>
  <c r="V349" i="2" l="1"/>
  <c r="K350" i="2" s="1"/>
  <c r="T349" i="2"/>
  <c r="I350" i="2" s="1"/>
  <c r="X349" i="2"/>
  <c r="M350" i="2" s="1"/>
  <c r="W349" i="2"/>
  <c r="L350" i="2" s="1"/>
  <c r="U349" i="2"/>
  <c r="J350" i="2" s="1"/>
  <c r="Q349" i="2"/>
  <c r="R349" i="2" s="1"/>
  <c r="P349" i="2"/>
  <c r="H349" i="2" s="1"/>
  <c r="N350" i="2" l="1"/>
  <c r="O350" i="2" s="1"/>
  <c r="V350" i="2" l="1"/>
  <c r="K351" i="2" s="1"/>
  <c r="T350" i="2"/>
  <c r="I351" i="2" s="1"/>
  <c r="X350" i="2"/>
  <c r="M351" i="2" s="1"/>
  <c r="U350" i="2"/>
  <c r="J351" i="2" s="1"/>
  <c r="W350" i="2"/>
  <c r="L351" i="2" s="1"/>
  <c r="Q350" i="2"/>
  <c r="R350" i="2" s="1"/>
  <c r="P350" i="2"/>
  <c r="H350" i="2" s="1"/>
  <c r="N351" i="2" l="1"/>
  <c r="O351" i="2" s="1"/>
  <c r="V351" i="2" l="1"/>
  <c r="K352" i="2" s="1"/>
  <c r="T351" i="2"/>
  <c r="I352" i="2" s="1"/>
  <c r="X351" i="2"/>
  <c r="M352" i="2" s="1"/>
  <c r="W351" i="2"/>
  <c r="L352" i="2" s="1"/>
  <c r="U351" i="2"/>
  <c r="J352" i="2" s="1"/>
  <c r="Q351" i="2"/>
  <c r="R351" i="2" s="1"/>
  <c r="P351" i="2"/>
  <c r="H351" i="2" s="1"/>
  <c r="N352" i="2" l="1"/>
  <c r="O352" i="2" s="1"/>
  <c r="V352" i="2" l="1"/>
  <c r="K353" i="2" s="1"/>
  <c r="T352" i="2"/>
  <c r="I353" i="2" s="1"/>
  <c r="P352" i="2"/>
  <c r="H352" i="2" s="1"/>
  <c r="Q352" i="2"/>
  <c r="R352" i="2" s="1"/>
  <c r="W352" i="2"/>
  <c r="L353" i="2" s="1"/>
  <c r="X352" i="2"/>
  <c r="M353" i="2" s="1"/>
  <c r="U352" i="2"/>
  <c r="J353" i="2" s="1"/>
  <c r="N353" i="2" l="1"/>
  <c r="O353" i="2" s="1"/>
  <c r="V353" i="2" l="1"/>
  <c r="K354" i="2" s="1"/>
  <c r="T353" i="2"/>
  <c r="I354" i="2" s="1"/>
  <c r="U353" i="2"/>
  <c r="J354" i="2" s="1"/>
  <c r="Q353" i="2"/>
  <c r="R353" i="2" s="1"/>
  <c r="P353" i="2"/>
  <c r="H353" i="2" s="1"/>
  <c r="X353" i="2"/>
  <c r="M354" i="2" s="1"/>
  <c r="W353" i="2"/>
  <c r="L354" i="2" s="1"/>
  <c r="N354" i="2" l="1"/>
  <c r="O354" i="2" s="1"/>
  <c r="V354" i="2" l="1"/>
  <c r="K355" i="2" s="1"/>
  <c r="T354" i="2"/>
  <c r="I355" i="2" s="1"/>
  <c r="X354" i="2"/>
  <c r="M355" i="2" s="1"/>
  <c r="W354" i="2"/>
  <c r="L355" i="2" s="1"/>
  <c r="U354" i="2"/>
  <c r="J355" i="2" s="1"/>
  <c r="Q354" i="2"/>
  <c r="R354" i="2" s="1"/>
  <c r="P354" i="2"/>
  <c r="H354" i="2" s="1"/>
  <c r="N355" i="2" l="1"/>
  <c r="O355" i="2" s="1"/>
  <c r="V355" i="2" l="1"/>
  <c r="K356" i="2" s="1"/>
  <c r="T355" i="2"/>
  <c r="I356" i="2" s="1"/>
  <c r="W355" i="2"/>
  <c r="L356" i="2" s="1"/>
  <c r="Q355" i="2"/>
  <c r="R355" i="2" s="1"/>
  <c r="X355" i="2"/>
  <c r="M356" i="2" s="1"/>
  <c r="U355" i="2"/>
  <c r="J356" i="2" s="1"/>
  <c r="P355" i="2"/>
  <c r="H355" i="2" s="1"/>
  <c r="N356" i="2" l="1"/>
  <c r="O356" i="2" s="1"/>
  <c r="V356" i="2" l="1"/>
  <c r="K357" i="2" s="1"/>
  <c r="T356" i="2"/>
  <c r="I357" i="2" s="1"/>
  <c r="W356" i="2"/>
  <c r="L357" i="2" s="1"/>
  <c r="X356" i="2"/>
  <c r="M357" i="2" s="1"/>
  <c r="U356" i="2"/>
  <c r="J357" i="2" s="1"/>
  <c r="Q356" i="2"/>
  <c r="R356" i="2" s="1"/>
  <c r="P356" i="2"/>
  <c r="H356" i="2" s="1"/>
  <c r="N357" i="2" l="1"/>
  <c r="O357" i="2" s="1"/>
  <c r="V357" i="2" l="1"/>
  <c r="K358" i="2" s="1"/>
  <c r="T357" i="2"/>
  <c r="I358" i="2" s="1"/>
  <c r="X357" i="2"/>
  <c r="M358" i="2" s="1"/>
  <c r="W357" i="2"/>
  <c r="L358" i="2" s="1"/>
  <c r="U357" i="2"/>
  <c r="J358" i="2" s="1"/>
  <c r="Q357" i="2"/>
  <c r="R357" i="2" s="1"/>
  <c r="P357" i="2"/>
  <c r="H357" i="2" s="1"/>
  <c r="N358" i="2" l="1"/>
  <c r="O358" i="2" s="1"/>
  <c r="V358" i="2" l="1"/>
  <c r="K359" i="2" s="1"/>
  <c r="T358" i="2"/>
  <c r="I359" i="2" s="1"/>
  <c r="Q358" i="2"/>
  <c r="R358" i="2" s="1"/>
  <c r="P358" i="2"/>
  <c r="H358" i="2" s="1"/>
  <c r="W358" i="2"/>
  <c r="L359" i="2" s="1"/>
  <c r="U358" i="2"/>
  <c r="J359" i="2" s="1"/>
  <c r="X358" i="2"/>
  <c r="M359" i="2" s="1"/>
  <c r="N359" i="2" l="1"/>
  <c r="O359" i="2" s="1"/>
  <c r="V359" i="2" l="1"/>
  <c r="K360" i="2" s="1"/>
  <c r="T359" i="2"/>
  <c r="I360" i="2" s="1"/>
  <c r="X359" i="2"/>
  <c r="M360" i="2" s="1"/>
  <c r="W359" i="2"/>
  <c r="L360" i="2" s="1"/>
  <c r="U359" i="2"/>
  <c r="J360" i="2" s="1"/>
  <c r="Q359" i="2"/>
  <c r="R359" i="2" s="1"/>
  <c r="P359" i="2"/>
  <c r="H359" i="2" s="1"/>
  <c r="N360" i="2" l="1"/>
  <c r="O360" i="2" s="1"/>
  <c r="V360" i="2" l="1"/>
  <c r="K361" i="2" s="1"/>
  <c r="T360" i="2"/>
  <c r="I361" i="2" s="1"/>
  <c r="X360" i="2"/>
  <c r="M361" i="2" s="1"/>
  <c r="W360" i="2"/>
  <c r="L361" i="2" s="1"/>
  <c r="U360" i="2"/>
  <c r="J361" i="2" s="1"/>
  <c r="Q360" i="2"/>
  <c r="R360" i="2" s="1"/>
  <c r="P360" i="2"/>
  <c r="H360" i="2" s="1"/>
  <c r="N361" i="2" l="1"/>
  <c r="O361" i="2" s="1"/>
  <c r="V361" i="2" l="1"/>
  <c r="K362" i="2" s="1"/>
  <c r="T361" i="2"/>
  <c r="I362" i="2" s="1"/>
  <c r="W361" i="2"/>
  <c r="L362" i="2" s="1"/>
  <c r="U361" i="2"/>
  <c r="J362" i="2" s="1"/>
  <c r="X361" i="2"/>
  <c r="M362" i="2" s="1"/>
  <c r="P361" i="2"/>
  <c r="H361" i="2" s="1"/>
  <c r="Q361" i="2"/>
  <c r="R361" i="2" s="1"/>
  <c r="N362" i="2" l="1"/>
  <c r="O362" i="2" s="1"/>
  <c r="V362" i="2" l="1"/>
  <c r="K363" i="2" s="1"/>
  <c r="T362" i="2"/>
  <c r="I363" i="2" s="1"/>
  <c r="X362" i="2"/>
  <c r="M363" i="2" s="1"/>
  <c r="W362" i="2"/>
  <c r="L363" i="2" s="1"/>
  <c r="U362" i="2"/>
  <c r="J363" i="2" s="1"/>
  <c r="Q362" i="2"/>
  <c r="R362" i="2" s="1"/>
  <c r="P362" i="2"/>
  <c r="H362" i="2" s="1"/>
  <c r="N363" i="2" l="1"/>
  <c r="O363" i="2" s="1"/>
  <c r="V363" i="2" l="1"/>
  <c r="K364" i="2" s="1"/>
  <c r="T363" i="2"/>
  <c r="I364" i="2" s="1"/>
  <c r="Q363" i="2"/>
  <c r="R363" i="2" s="1"/>
  <c r="P363" i="2"/>
  <c r="H363" i="2" s="1"/>
  <c r="U363" i="2"/>
  <c r="J364" i="2" s="1"/>
  <c r="X363" i="2"/>
  <c r="M364" i="2" s="1"/>
  <c r="W363" i="2"/>
  <c r="L364" i="2" s="1"/>
  <c r="N364" i="2" l="1"/>
  <c r="O364" i="2" s="1"/>
  <c r="V364" i="2" l="1"/>
  <c r="K365" i="2" s="1"/>
  <c r="T364" i="2"/>
  <c r="I365" i="2" s="1"/>
  <c r="W364" i="2"/>
  <c r="L365" i="2" s="1"/>
  <c r="U364" i="2"/>
  <c r="J365" i="2" s="1"/>
  <c r="Q364" i="2"/>
  <c r="R364" i="2" s="1"/>
  <c r="P364" i="2"/>
  <c r="H364" i="2" s="1"/>
  <c r="X364" i="2"/>
  <c r="M365" i="2" s="1"/>
  <c r="N365" i="2" l="1"/>
  <c r="O365" i="2" s="1"/>
  <c r="V365" i="2" l="1"/>
  <c r="K366" i="2" s="1"/>
  <c r="T365" i="2"/>
  <c r="I366" i="2" s="1"/>
  <c r="X365" i="2"/>
  <c r="M366" i="2" s="1"/>
  <c r="W365" i="2"/>
  <c r="L366" i="2" s="1"/>
  <c r="U365" i="2"/>
  <c r="J366" i="2" s="1"/>
  <c r="P365" i="2"/>
  <c r="H365" i="2" s="1"/>
  <c r="Q365" i="2"/>
  <c r="R365" i="2" s="1"/>
  <c r="N366" i="2" l="1"/>
  <c r="O366" i="2" s="1"/>
  <c r="V366" i="2" l="1"/>
  <c r="K367" i="2" s="1"/>
  <c r="T366" i="2"/>
  <c r="I367" i="2" s="1"/>
  <c r="X366" i="2"/>
  <c r="M367" i="2" s="1"/>
  <c r="U366" i="2"/>
  <c r="J367" i="2" s="1"/>
  <c r="W366" i="2"/>
  <c r="L367" i="2" s="1"/>
  <c r="Q366" i="2"/>
  <c r="R366" i="2" s="1"/>
  <c r="P366" i="2"/>
  <c r="H366" i="2" s="1"/>
  <c r="N367" i="2" l="1"/>
  <c r="O367" i="2" s="1"/>
  <c r="V367" i="2" l="1"/>
  <c r="K368" i="2" s="1"/>
  <c r="T367" i="2"/>
  <c r="I368" i="2" s="1"/>
  <c r="X367" i="2"/>
  <c r="M368" i="2" s="1"/>
  <c r="W367" i="2"/>
  <c r="L368" i="2" s="1"/>
  <c r="U367" i="2"/>
  <c r="J368" i="2" s="1"/>
  <c r="Q367" i="2"/>
  <c r="R367" i="2" s="1"/>
  <c r="P367" i="2"/>
  <c r="H367" i="2" s="1"/>
  <c r="N368" i="2" l="1"/>
  <c r="O368" i="2" s="1"/>
  <c r="V368" i="2" l="1"/>
  <c r="K369" i="2" s="1"/>
  <c r="T368" i="2"/>
  <c r="I369" i="2" s="1"/>
  <c r="P368" i="2"/>
  <c r="H368" i="2" s="1"/>
  <c r="Q368" i="2"/>
  <c r="R368" i="2" s="1"/>
  <c r="X368" i="2"/>
  <c r="M369" i="2" s="1"/>
  <c r="W368" i="2"/>
  <c r="L369" i="2" s="1"/>
  <c r="U368" i="2"/>
  <c r="J369" i="2" s="1"/>
  <c r="N369" i="2" l="1"/>
  <c r="O369" i="2" s="1"/>
  <c r="V369" i="2" l="1"/>
  <c r="K370" i="2" s="1"/>
  <c r="T369" i="2"/>
  <c r="I370" i="2" s="1"/>
  <c r="W369" i="2"/>
  <c r="L370" i="2" s="1"/>
  <c r="U369" i="2"/>
  <c r="J370" i="2" s="1"/>
  <c r="Q369" i="2"/>
  <c r="R369" i="2" s="1"/>
  <c r="P369" i="2"/>
  <c r="H369" i="2" s="1"/>
  <c r="X369" i="2"/>
  <c r="M370" i="2" s="1"/>
  <c r="N370" i="2" l="1"/>
  <c r="O370" i="2" s="1"/>
  <c r="V370" i="2" l="1"/>
  <c r="K371" i="2" s="1"/>
  <c r="T370" i="2"/>
  <c r="I371" i="2" s="1"/>
  <c r="X370" i="2"/>
  <c r="M371" i="2" s="1"/>
  <c r="W370" i="2"/>
  <c r="L371" i="2" s="1"/>
  <c r="U370" i="2"/>
  <c r="J371" i="2" s="1"/>
  <c r="Q370" i="2"/>
  <c r="R370" i="2" s="1"/>
  <c r="P370" i="2"/>
  <c r="H370" i="2" s="1"/>
  <c r="N371" i="2" l="1"/>
  <c r="O371" i="2" s="1"/>
  <c r="V371" i="2" l="1"/>
  <c r="K372" i="2" s="1"/>
  <c r="T371" i="2"/>
  <c r="I372" i="2" s="1"/>
  <c r="X371" i="2"/>
  <c r="M372" i="2" s="1"/>
  <c r="W371" i="2"/>
  <c r="L372" i="2" s="1"/>
  <c r="U371" i="2"/>
  <c r="J372" i="2" s="1"/>
  <c r="Q371" i="2"/>
  <c r="R371" i="2" s="1"/>
  <c r="P371" i="2"/>
  <c r="H371" i="2" s="1"/>
  <c r="N372" i="2" l="1"/>
  <c r="O372" i="2" s="1"/>
  <c r="W372" i="2" l="1"/>
  <c r="L373" i="2" s="1"/>
  <c r="V372" i="2"/>
  <c r="K373" i="2" s="1"/>
  <c r="T372" i="2"/>
  <c r="I373" i="2" s="1"/>
  <c r="P372" i="2"/>
  <c r="H372" i="2" s="1"/>
  <c r="X372" i="2"/>
  <c r="M373" i="2" s="1"/>
  <c r="U372" i="2"/>
  <c r="J373" i="2" s="1"/>
  <c r="Q372" i="2"/>
  <c r="R372" i="2" s="1"/>
  <c r="N373" i="2" l="1"/>
  <c r="O373" i="2" s="1"/>
  <c r="W373" i="2" l="1"/>
  <c r="L374" i="2" s="1"/>
  <c r="V373" i="2"/>
  <c r="K374" i="2" s="1"/>
  <c r="T373" i="2"/>
  <c r="I374" i="2" s="1"/>
  <c r="X373" i="2"/>
  <c r="M374" i="2" s="1"/>
  <c r="U373" i="2"/>
  <c r="J374" i="2" s="1"/>
  <c r="Q373" i="2"/>
  <c r="R373" i="2" s="1"/>
  <c r="P373" i="2"/>
  <c r="H373" i="2" s="1"/>
  <c r="N374" i="2" l="1"/>
  <c r="O374" i="2" s="1"/>
  <c r="W374" i="2" l="1"/>
  <c r="L375" i="2" s="1"/>
  <c r="V374" i="2"/>
  <c r="K375" i="2" s="1"/>
  <c r="T374" i="2"/>
  <c r="I375" i="2" s="1"/>
  <c r="U374" i="2"/>
  <c r="J375" i="2" s="1"/>
  <c r="P374" i="2"/>
  <c r="H374" i="2" s="1"/>
  <c r="Q374" i="2"/>
  <c r="R374" i="2" s="1"/>
  <c r="X374" i="2"/>
  <c r="M375" i="2" s="1"/>
  <c r="N375" i="2" l="1"/>
  <c r="O375" i="2" s="1"/>
  <c r="W375" i="2" l="1"/>
  <c r="L376" i="2" s="1"/>
  <c r="V375" i="2"/>
  <c r="K376" i="2" s="1"/>
  <c r="T375" i="2"/>
  <c r="I376" i="2" s="1"/>
  <c r="X375" i="2"/>
  <c r="M376" i="2" s="1"/>
  <c r="U375" i="2"/>
  <c r="J376" i="2" s="1"/>
  <c r="Q375" i="2"/>
  <c r="R375" i="2" s="1"/>
  <c r="P375" i="2"/>
  <c r="H375" i="2" s="1"/>
  <c r="N376" i="2" l="1"/>
  <c r="O376" i="2" s="1"/>
  <c r="W376" i="2" l="1"/>
  <c r="L377" i="2" s="1"/>
  <c r="V376" i="2"/>
  <c r="K377" i="2" s="1"/>
  <c r="T376" i="2"/>
  <c r="I377" i="2" s="1"/>
  <c r="X376" i="2"/>
  <c r="M377" i="2" s="1"/>
  <c r="U376" i="2"/>
  <c r="J377" i="2" s="1"/>
  <c r="Q376" i="2"/>
  <c r="R376" i="2" s="1"/>
  <c r="P376" i="2"/>
  <c r="H376" i="2" s="1"/>
  <c r="N377" i="2" l="1"/>
  <c r="O377" i="2" s="1"/>
  <c r="W377" i="2" l="1"/>
  <c r="L378" i="2" s="1"/>
  <c r="V377" i="2"/>
  <c r="K378" i="2" s="1"/>
  <c r="T377" i="2"/>
  <c r="I378" i="2" s="1"/>
  <c r="X377" i="2"/>
  <c r="M378" i="2" s="1"/>
  <c r="Q377" i="2"/>
  <c r="R377" i="2" s="1"/>
  <c r="U377" i="2"/>
  <c r="J378" i="2" s="1"/>
  <c r="P377" i="2"/>
  <c r="H377" i="2" s="1"/>
  <c r="N378" i="2" l="1"/>
  <c r="O378" i="2" s="1"/>
  <c r="W378" i="2" l="1"/>
  <c r="L379" i="2" s="1"/>
  <c r="V378" i="2"/>
  <c r="K379" i="2" s="1"/>
  <c r="T378" i="2"/>
  <c r="I379" i="2" s="1"/>
  <c r="X378" i="2"/>
  <c r="M379" i="2" s="1"/>
  <c r="U378" i="2"/>
  <c r="J379" i="2" s="1"/>
  <c r="Q378" i="2"/>
  <c r="R378" i="2" s="1"/>
  <c r="P378" i="2"/>
  <c r="H378" i="2" s="1"/>
  <c r="N379" i="2" l="1"/>
  <c r="O379" i="2" s="1"/>
  <c r="W379" i="2" l="1"/>
  <c r="L380" i="2" s="1"/>
  <c r="V379" i="2"/>
  <c r="K380" i="2" s="1"/>
  <c r="T379" i="2"/>
  <c r="I380" i="2" s="1"/>
  <c r="U379" i="2"/>
  <c r="J380" i="2" s="1"/>
  <c r="Q379" i="2"/>
  <c r="R379" i="2" s="1"/>
  <c r="P379" i="2"/>
  <c r="H379" i="2" s="1"/>
  <c r="X379" i="2"/>
  <c r="M380" i="2" s="1"/>
  <c r="N380" i="2" l="1"/>
  <c r="O380" i="2" s="1"/>
  <c r="W380" i="2" l="1"/>
  <c r="L381" i="2" s="1"/>
  <c r="V380" i="2"/>
  <c r="K381" i="2" s="1"/>
  <c r="T380" i="2"/>
  <c r="I381" i="2" s="1"/>
  <c r="X380" i="2"/>
  <c r="M381" i="2" s="1"/>
  <c r="U380" i="2"/>
  <c r="J381" i="2" s="1"/>
  <c r="Q380" i="2"/>
  <c r="R380" i="2" s="1"/>
  <c r="P380" i="2"/>
  <c r="H380" i="2" s="1"/>
  <c r="N381" i="2" l="1"/>
  <c r="O381" i="2" s="1"/>
  <c r="W381" i="2" l="1"/>
  <c r="L382" i="2" s="1"/>
  <c r="V381" i="2"/>
  <c r="K382" i="2" s="1"/>
  <c r="T381" i="2"/>
  <c r="I382" i="2" s="1"/>
  <c r="Q381" i="2"/>
  <c r="R381" i="2" s="1"/>
  <c r="X381" i="2"/>
  <c r="M382" i="2" s="1"/>
  <c r="U381" i="2"/>
  <c r="J382" i="2" s="1"/>
  <c r="P381" i="2"/>
  <c r="H381" i="2" s="1"/>
  <c r="N382" i="2" l="1"/>
  <c r="O382" i="2" s="1"/>
  <c r="W382" i="2" l="1"/>
  <c r="L383" i="2" s="1"/>
  <c r="V382" i="2"/>
  <c r="K383" i="2" s="1"/>
  <c r="T382" i="2"/>
  <c r="I383" i="2" s="1"/>
  <c r="Q382" i="2"/>
  <c r="R382" i="2" s="1"/>
  <c r="X382" i="2"/>
  <c r="M383" i="2" s="1"/>
  <c r="U382" i="2"/>
  <c r="J383" i="2" s="1"/>
  <c r="P382" i="2"/>
  <c r="H382" i="2" s="1"/>
  <c r="N383" i="2" l="1"/>
  <c r="O383" i="2" s="1"/>
  <c r="W383" i="2" l="1"/>
  <c r="L384" i="2" s="1"/>
  <c r="V383" i="2"/>
  <c r="K384" i="2" s="1"/>
  <c r="T383" i="2"/>
  <c r="I384" i="2" s="1"/>
  <c r="Q383" i="2"/>
  <c r="R383" i="2" s="1"/>
  <c r="X383" i="2"/>
  <c r="M384" i="2" s="1"/>
  <c r="U383" i="2"/>
  <c r="J384" i="2" s="1"/>
  <c r="P383" i="2"/>
  <c r="H383" i="2" s="1"/>
  <c r="N384" i="2" l="1"/>
  <c r="O384" i="2" s="1"/>
  <c r="W384" i="2" l="1"/>
  <c r="L385" i="2" s="1"/>
  <c r="V384" i="2"/>
  <c r="K385" i="2" s="1"/>
  <c r="T384" i="2"/>
  <c r="I385" i="2" s="1"/>
  <c r="Q384" i="2"/>
  <c r="R384" i="2" s="1"/>
  <c r="X384" i="2"/>
  <c r="M385" i="2" s="1"/>
  <c r="U384" i="2"/>
  <c r="J385" i="2" s="1"/>
  <c r="P384" i="2"/>
  <c r="H384" i="2" s="1"/>
  <c r="N385" i="2" l="1"/>
  <c r="O385" i="2" s="1"/>
  <c r="W385" i="2" l="1"/>
  <c r="L386" i="2" s="1"/>
  <c r="V385" i="2"/>
  <c r="K386" i="2" s="1"/>
  <c r="T385" i="2"/>
  <c r="I386" i="2" s="1"/>
  <c r="Q385" i="2"/>
  <c r="R385" i="2" s="1"/>
  <c r="X385" i="2"/>
  <c r="M386" i="2" s="1"/>
  <c r="U385" i="2"/>
  <c r="J386" i="2" s="1"/>
  <c r="P385" i="2"/>
  <c r="H385" i="2" s="1"/>
  <c r="N386" i="2" l="1"/>
  <c r="O386" i="2" s="1"/>
  <c r="W386" i="2" l="1"/>
  <c r="L387" i="2" s="1"/>
  <c r="V386" i="2"/>
  <c r="K387" i="2" s="1"/>
  <c r="T386" i="2"/>
  <c r="I387" i="2" s="1"/>
  <c r="Q386" i="2"/>
  <c r="R386" i="2" s="1"/>
  <c r="X386" i="2"/>
  <c r="M387" i="2" s="1"/>
  <c r="U386" i="2"/>
  <c r="J387" i="2" s="1"/>
  <c r="P386" i="2"/>
  <c r="H386" i="2" s="1"/>
  <c r="N387" i="2" l="1"/>
  <c r="O387" i="2" s="1"/>
  <c r="W387" i="2" l="1"/>
  <c r="L388" i="2" s="1"/>
  <c r="V387" i="2"/>
  <c r="K388" i="2" s="1"/>
  <c r="T387" i="2"/>
  <c r="I388" i="2" s="1"/>
  <c r="Q387" i="2"/>
  <c r="R387" i="2" s="1"/>
  <c r="P387" i="2"/>
  <c r="H387" i="2" s="1"/>
  <c r="X387" i="2"/>
  <c r="M388" i="2" s="1"/>
  <c r="U387" i="2"/>
  <c r="J388" i="2" s="1"/>
  <c r="N388" i="2" l="1"/>
  <c r="O388" i="2" s="1"/>
  <c r="W388" i="2" l="1"/>
  <c r="L389" i="2" s="1"/>
  <c r="V388" i="2"/>
  <c r="K389" i="2" s="1"/>
  <c r="T388" i="2"/>
  <c r="I389" i="2" s="1"/>
  <c r="Q388" i="2"/>
  <c r="R388" i="2" s="1"/>
  <c r="X388" i="2"/>
  <c r="M389" i="2" s="1"/>
  <c r="U388" i="2"/>
  <c r="J389" i="2" s="1"/>
  <c r="P388" i="2"/>
  <c r="H388" i="2" s="1"/>
  <c r="N389" i="2" l="1"/>
  <c r="O389" i="2" s="1"/>
  <c r="W389" i="2" l="1"/>
  <c r="L390" i="2" s="1"/>
  <c r="V389" i="2"/>
  <c r="K390" i="2" s="1"/>
  <c r="T389" i="2"/>
  <c r="I390" i="2" s="1"/>
  <c r="Q389" i="2"/>
  <c r="R389" i="2" s="1"/>
  <c r="X389" i="2"/>
  <c r="M390" i="2" s="1"/>
  <c r="U389" i="2"/>
  <c r="J390" i="2" s="1"/>
  <c r="P389" i="2"/>
  <c r="H389" i="2" s="1"/>
  <c r="N390" i="2" l="1"/>
  <c r="O390" i="2" s="1"/>
  <c r="V390" i="2" l="1"/>
  <c r="K391" i="2" s="1"/>
  <c r="X390" i="2"/>
  <c r="M391" i="2" s="1"/>
  <c r="W390" i="2"/>
  <c r="L391" i="2" s="1"/>
  <c r="T390" i="2"/>
  <c r="I391" i="2" s="1"/>
  <c r="Q390" i="2"/>
  <c r="R390" i="2" s="1"/>
  <c r="U390" i="2"/>
  <c r="J391" i="2" s="1"/>
  <c r="P390" i="2"/>
  <c r="H390" i="2" s="1"/>
  <c r="N391" i="2" l="1"/>
  <c r="O391" i="2" s="1"/>
  <c r="V391" i="2" l="1"/>
  <c r="K392" i="2" s="1"/>
  <c r="T391" i="2"/>
  <c r="I392" i="2" s="1"/>
  <c r="X391" i="2"/>
  <c r="M392" i="2" s="1"/>
  <c r="W391" i="2"/>
  <c r="L392" i="2" s="1"/>
  <c r="U391" i="2"/>
  <c r="J392" i="2" s="1"/>
  <c r="P391" i="2"/>
  <c r="H391" i="2" s="1"/>
  <c r="Q391" i="2"/>
  <c r="R391" i="2" s="1"/>
  <c r="N392" i="2" l="1"/>
  <c r="O392" i="2" s="1"/>
  <c r="V392" i="2" l="1"/>
  <c r="K393" i="2" s="1"/>
  <c r="T392" i="2"/>
  <c r="I393" i="2" s="1"/>
  <c r="X392" i="2"/>
  <c r="M393" i="2" s="1"/>
  <c r="U392" i="2"/>
  <c r="J393" i="2" s="1"/>
  <c r="Q392" i="2"/>
  <c r="R392" i="2" s="1"/>
  <c r="W392" i="2"/>
  <c r="L393" i="2" s="1"/>
  <c r="P392" i="2"/>
  <c r="H392" i="2" s="1"/>
  <c r="N393" i="2" l="1"/>
  <c r="O393" i="2" s="1"/>
  <c r="V393" i="2" l="1"/>
  <c r="K394" i="2" s="1"/>
  <c r="T393" i="2"/>
  <c r="I394" i="2" s="1"/>
  <c r="W393" i="2"/>
  <c r="L394" i="2" s="1"/>
  <c r="X393" i="2"/>
  <c r="M394" i="2" s="1"/>
  <c r="U393" i="2"/>
  <c r="J394" i="2" s="1"/>
  <c r="Q393" i="2"/>
  <c r="R393" i="2" s="1"/>
  <c r="P393" i="2"/>
  <c r="H393" i="2" s="1"/>
  <c r="N394" i="2" l="1"/>
  <c r="O394" i="2" s="1"/>
  <c r="V394" i="2" l="1"/>
  <c r="K395" i="2" s="1"/>
  <c r="T394" i="2"/>
  <c r="I395" i="2" s="1"/>
  <c r="P394" i="2"/>
  <c r="H394" i="2" s="1"/>
  <c r="X394" i="2"/>
  <c r="M395" i="2" s="1"/>
  <c r="W394" i="2"/>
  <c r="L395" i="2" s="1"/>
  <c r="U394" i="2"/>
  <c r="J395" i="2" s="1"/>
  <c r="Q394" i="2"/>
  <c r="R394" i="2" s="1"/>
  <c r="N395" i="2" l="1"/>
  <c r="O395" i="2" s="1"/>
  <c r="V395" i="2" l="1"/>
  <c r="K396" i="2" s="1"/>
  <c r="T395" i="2"/>
  <c r="I396" i="2" s="1"/>
  <c r="U395" i="2"/>
  <c r="J396" i="2" s="1"/>
  <c r="Q395" i="2"/>
  <c r="R395" i="2" s="1"/>
  <c r="P395" i="2"/>
  <c r="H395" i="2" s="1"/>
  <c r="W395" i="2"/>
  <c r="L396" i="2" s="1"/>
  <c r="X395" i="2"/>
  <c r="M396" i="2" s="1"/>
  <c r="N396" i="2" l="1"/>
  <c r="O396" i="2" s="1"/>
  <c r="V396" i="2" l="1"/>
  <c r="K397" i="2" s="1"/>
  <c r="T396" i="2"/>
  <c r="I397" i="2" s="1"/>
  <c r="X396" i="2"/>
  <c r="M397" i="2" s="1"/>
  <c r="W396" i="2"/>
  <c r="L397" i="2" s="1"/>
  <c r="U396" i="2"/>
  <c r="J397" i="2" s="1"/>
  <c r="Q396" i="2"/>
  <c r="R396" i="2" s="1"/>
  <c r="P396" i="2"/>
  <c r="H396" i="2" s="1"/>
  <c r="N397" i="2" l="1"/>
  <c r="O397" i="2" s="1"/>
  <c r="V397" i="2" l="1"/>
  <c r="K398" i="2" s="1"/>
  <c r="T397" i="2"/>
  <c r="I398" i="2" s="1"/>
  <c r="X397" i="2"/>
  <c r="M398" i="2" s="1"/>
  <c r="W397" i="2"/>
  <c r="L398" i="2" s="1"/>
  <c r="P397" i="2"/>
  <c r="H397" i="2" s="1"/>
  <c r="U397" i="2"/>
  <c r="J398" i="2" s="1"/>
  <c r="Q397" i="2"/>
  <c r="R397" i="2" s="1"/>
  <c r="N398" i="2" l="1"/>
  <c r="O398" i="2" s="1"/>
  <c r="V398" i="2" l="1"/>
  <c r="K399" i="2" s="1"/>
  <c r="T398" i="2"/>
  <c r="I399" i="2" s="1"/>
  <c r="X398" i="2"/>
  <c r="M399" i="2" s="1"/>
  <c r="U398" i="2"/>
  <c r="J399" i="2" s="1"/>
  <c r="W398" i="2"/>
  <c r="L399" i="2" s="1"/>
  <c r="Q398" i="2"/>
  <c r="R398" i="2" s="1"/>
  <c r="P398" i="2"/>
  <c r="H398" i="2" s="1"/>
  <c r="N399" i="2" l="1"/>
  <c r="O399" i="2" s="1"/>
  <c r="V399" i="2" l="1"/>
  <c r="K400" i="2" s="1"/>
  <c r="T399" i="2"/>
  <c r="I400" i="2" s="1"/>
  <c r="X399" i="2"/>
  <c r="M400" i="2" s="1"/>
  <c r="W399" i="2"/>
  <c r="L400" i="2" s="1"/>
  <c r="U399" i="2"/>
  <c r="J400" i="2" s="1"/>
  <c r="Q399" i="2"/>
  <c r="R399" i="2" s="1"/>
  <c r="P399" i="2"/>
  <c r="H399" i="2" s="1"/>
  <c r="N400" i="2" l="1"/>
  <c r="O400" i="2" s="1"/>
  <c r="V400" i="2" l="1"/>
  <c r="K401" i="2" s="1"/>
  <c r="T400" i="2"/>
  <c r="I401" i="2" s="1"/>
  <c r="Q400" i="2"/>
  <c r="R400" i="2" s="1"/>
  <c r="P400" i="2"/>
  <c r="H400" i="2" s="1"/>
  <c r="W400" i="2"/>
  <c r="L401" i="2" s="1"/>
  <c r="U400" i="2"/>
  <c r="J401" i="2" s="1"/>
  <c r="X400" i="2"/>
  <c r="M401" i="2" s="1"/>
  <c r="N401" i="2" l="1"/>
  <c r="O401" i="2" s="1"/>
  <c r="V401" i="2" l="1"/>
  <c r="K402" i="2" s="1"/>
  <c r="T401" i="2"/>
  <c r="I402" i="2" s="1"/>
  <c r="X401" i="2"/>
  <c r="M402" i="2" s="1"/>
  <c r="W401" i="2"/>
  <c r="L402" i="2" s="1"/>
  <c r="U401" i="2"/>
  <c r="J402" i="2" s="1"/>
  <c r="Q401" i="2"/>
  <c r="R401" i="2" s="1"/>
  <c r="P401" i="2"/>
  <c r="H401" i="2" s="1"/>
  <c r="N402" i="2" l="1"/>
  <c r="O402" i="2" s="1"/>
  <c r="V402" i="2" l="1"/>
  <c r="K403" i="2" s="1"/>
  <c r="T402" i="2"/>
  <c r="I403" i="2" s="1"/>
  <c r="X402" i="2"/>
  <c r="M403" i="2" s="1"/>
  <c r="W402" i="2"/>
  <c r="L403" i="2" s="1"/>
  <c r="U402" i="2"/>
  <c r="J403" i="2" s="1"/>
  <c r="Q402" i="2"/>
  <c r="R402" i="2" s="1"/>
  <c r="P402" i="2"/>
  <c r="H402" i="2" s="1"/>
  <c r="N403" i="2" l="1"/>
  <c r="O403" i="2" s="1"/>
  <c r="V403" i="2" l="1"/>
  <c r="K404" i="2" s="1"/>
  <c r="K87" i="3" s="1"/>
  <c r="T403" i="2"/>
  <c r="I404" i="2" s="1"/>
  <c r="X403" i="2"/>
  <c r="M404" i="2" s="1"/>
  <c r="M87" i="3" s="1"/>
  <c r="W403" i="2"/>
  <c r="L404" i="2" s="1"/>
  <c r="L87" i="3" s="1"/>
  <c r="U403" i="2"/>
  <c r="J404" i="2" s="1"/>
  <c r="J87" i="3" s="1"/>
  <c r="P403" i="2"/>
  <c r="H403" i="2" s="1"/>
  <c r="Q403" i="2"/>
  <c r="R403" i="2" s="1"/>
  <c r="N404" i="2" l="1"/>
  <c r="O404" i="2" s="1"/>
  <c r="I87" i="3"/>
  <c r="N87" i="3" l="1"/>
  <c r="O87" i="3" s="1"/>
  <c r="U404" i="2"/>
  <c r="X404" i="2"/>
  <c r="W404" i="2"/>
  <c r="Q404" i="2"/>
  <c r="R404" i="2" s="1"/>
  <c r="S404" i="2" s="1"/>
  <c r="C413" i="2" s="1"/>
  <c r="V404" i="2"/>
  <c r="T404" i="2"/>
  <c r="P404" i="2"/>
  <c r="H404" i="2" s="1"/>
  <c r="F413" i="2" s="1"/>
  <c r="Q87" i="3" l="1"/>
  <c r="R87" i="3" s="1"/>
  <c r="P87" i="3"/>
  <c r="H87" i="3" s="1"/>
  <c r="X87" i="3"/>
  <c r="M88" i="3" s="1"/>
  <c r="W87" i="3"/>
  <c r="L88" i="3" s="1"/>
  <c r="V87" i="3"/>
  <c r="K88" i="3" s="1"/>
  <c r="U87" i="3"/>
  <c r="J88" i="3" s="1"/>
  <c r="T87" i="3"/>
  <c r="I88" i="3" s="1"/>
  <c r="N88" i="3" l="1"/>
  <c r="O88" i="3" s="1"/>
  <c r="W88" i="3" l="1"/>
  <c r="L89" i="3" s="1"/>
  <c r="V88" i="3"/>
  <c r="K89" i="3" s="1"/>
  <c r="T88" i="3"/>
  <c r="I89" i="3" s="1"/>
  <c r="Q88" i="3"/>
  <c r="R88" i="3" s="1"/>
  <c r="P88" i="3"/>
  <c r="H88" i="3" s="1"/>
  <c r="X88" i="3"/>
  <c r="M89" i="3" s="1"/>
  <c r="U88" i="3"/>
  <c r="J89" i="3" s="1"/>
  <c r="N89" i="3" l="1"/>
  <c r="O89" i="3" s="1"/>
  <c r="X89" i="3" l="1"/>
  <c r="M90" i="3" s="1"/>
  <c r="W89" i="3"/>
  <c r="L90" i="3" s="1"/>
  <c r="U89" i="3"/>
  <c r="J90" i="3" s="1"/>
  <c r="T89" i="3"/>
  <c r="I90" i="3" s="1"/>
  <c r="Q89" i="3"/>
  <c r="R89" i="3" s="1"/>
  <c r="P89" i="3"/>
  <c r="H89" i="3" s="1"/>
  <c r="V89" i="3"/>
  <c r="K90" i="3" s="1"/>
  <c r="N90" i="3" l="1"/>
  <c r="O90" i="3" s="1"/>
  <c r="Q90" i="3" l="1"/>
  <c r="R90" i="3" s="1"/>
  <c r="X90" i="3"/>
  <c r="M91" i="3" s="1"/>
  <c r="W90" i="3"/>
  <c r="L91" i="3" s="1"/>
  <c r="V90" i="3"/>
  <c r="K91" i="3" s="1"/>
  <c r="U90" i="3"/>
  <c r="J91" i="3" s="1"/>
  <c r="T90" i="3"/>
  <c r="I91" i="3" s="1"/>
  <c r="P90" i="3"/>
  <c r="H90" i="3" s="1"/>
  <c r="N91" i="3" l="1"/>
  <c r="O91" i="3" s="1"/>
  <c r="X91" i="3" l="1"/>
  <c r="M92" i="3" s="1"/>
  <c r="W91" i="3"/>
  <c r="L92" i="3" s="1"/>
  <c r="U91" i="3"/>
  <c r="J92" i="3" s="1"/>
  <c r="T91" i="3"/>
  <c r="I92" i="3" s="1"/>
  <c r="Q91" i="3"/>
  <c r="R91" i="3" s="1"/>
  <c r="P91" i="3"/>
  <c r="H91" i="3" s="1"/>
  <c r="V91" i="3"/>
  <c r="K92" i="3" s="1"/>
  <c r="N92" i="3" l="1"/>
  <c r="O92" i="3" s="1"/>
  <c r="X92" i="3" l="1"/>
  <c r="M93" i="3" s="1"/>
  <c r="V92" i="3"/>
  <c r="K93" i="3" s="1"/>
  <c r="U92" i="3"/>
  <c r="J93" i="3" s="1"/>
  <c r="Q92" i="3"/>
  <c r="R92" i="3" s="1"/>
  <c r="W92" i="3"/>
  <c r="L93" i="3" s="1"/>
  <c r="T92" i="3"/>
  <c r="I93" i="3" s="1"/>
  <c r="P92" i="3"/>
  <c r="H92" i="3" s="1"/>
  <c r="N93" i="3" l="1"/>
  <c r="O93" i="3" s="1"/>
  <c r="T93" i="3" l="1"/>
  <c r="I94" i="3" s="1"/>
  <c r="Q93" i="3"/>
  <c r="R93" i="3" s="1"/>
  <c r="P93" i="3"/>
  <c r="H93" i="3" s="1"/>
  <c r="X93" i="3"/>
  <c r="M94" i="3" s="1"/>
  <c r="W93" i="3"/>
  <c r="L94" i="3" s="1"/>
  <c r="V93" i="3"/>
  <c r="K94" i="3" s="1"/>
  <c r="U93" i="3"/>
  <c r="J94" i="3" s="1"/>
  <c r="N94" i="3" l="1"/>
  <c r="O94" i="3" s="1"/>
  <c r="X94" i="3" l="1"/>
  <c r="M95" i="3" s="1"/>
  <c r="V94" i="3"/>
  <c r="K95" i="3" s="1"/>
  <c r="U94" i="3"/>
  <c r="J95" i="3" s="1"/>
  <c r="T94" i="3"/>
  <c r="I95" i="3" s="1"/>
  <c r="Q94" i="3"/>
  <c r="R94" i="3" s="1"/>
  <c r="P94" i="3"/>
  <c r="H94" i="3" s="1"/>
  <c r="W94" i="3"/>
  <c r="L95" i="3" s="1"/>
  <c r="N95" i="3" l="1"/>
  <c r="O95" i="3" s="1"/>
  <c r="X95" i="3" l="1"/>
  <c r="M96" i="3" s="1"/>
  <c r="W95" i="3"/>
  <c r="L96" i="3" s="1"/>
  <c r="V95" i="3"/>
  <c r="K96" i="3" s="1"/>
  <c r="T95" i="3"/>
  <c r="I96" i="3" s="1"/>
  <c r="P95" i="3"/>
  <c r="H95" i="3" s="1"/>
  <c r="U95" i="3"/>
  <c r="J96" i="3" s="1"/>
  <c r="Q95" i="3"/>
  <c r="R95" i="3" s="1"/>
  <c r="N96" i="3" l="1"/>
  <c r="O96" i="3" s="1"/>
  <c r="U96" i="3" l="1"/>
  <c r="J97" i="3" s="1"/>
  <c r="T96" i="3"/>
  <c r="I97" i="3" s="1"/>
  <c r="Q96" i="3"/>
  <c r="R96" i="3" s="1"/>
  <c r="P96" i="3"/>
  <c r="H96" i="3" s="1"/>
  <c r="X96" i="3"/>
  <c r="M97" i="3" s="1"/>
  <c r="W96" i="3"/>
  <c r="L97" i="3" s="1"/>
  <c r="V96" i="3"/>
  <c r="K97" i="3" s="1"/>
  <c r="N97" i="3" l="1"/>
  <c r="O97" i="3" s="1"/>
  <c r="X97" i="3" l="1"/>
  <c r="M98" i="3" s="1"/>
  <c r="W97" i="3"/>
  <c r="L98" i="3" s="1"/>
  <c r="V97" i="3"/>
  <c r="K98" i="3" s="1"/>
  <c r="U97" i="3"/>
  <c r="J98" i="3" s="1"/>
  <c r="T97" i="3"/>
  <c r="I98" i="3" s="1"/>
  <c r="Q97" i="3"/>
  <c r="R97" i="3" s="1"/>
  <c r="P97" i="3"/>
  <c r="H97" i="3" s="1"/>
  <c r="N98" i="3" l="1"/>
  <c r="O98" i="3" s="1"/>
  <c r="X98" i="3" l="1"/>
  <c r="M99" i="3" s="1"/>
  <c r="W98" i="3"/>
  <c r="L99" i="3" s="1"/>
  <c r="U98" i="3"/>
  <c r="J99" i="3" s="1"/>
  <c r="T98" i="3"/>
  <c r="I99" i="3" s="1"/>
  <c r="Q98" i="3"/>
  <c r="R98" i="3" s="1"/>
  <c r="P98" i="3"/>
  <c r="H98" i="3" s="1"/>
  <c r="V98" i="3"/>
  <c r="K99" i="3" s="1"/>
  <c r="N99" i="3" l="1"/>
  <c r="O99" i="3" s="1"/>
  <c r="V99" i="3" l="1"/>
  <c r="K100" i="3" s="1"/>
  <c r="U99" i="3"/>
  <c r="J100" i="3" s="1"/>
  <c r="T99" i="3"/>
  <c r="I100" i="3" s="1"/>
  <c r="Q99" i="3"/>
  <c r="R99" i="3" s="1"/>
  <c r="X99" i="3"/>
  <c r="M100" i="3" s="1"/>
  <c r="W99" i="3"/>
  <c r="L100" i="3" s="1"/>
  <c r="P99" i="3"/>
  <c r="H99" i="3" s="1"/>
  <c r="N100" i="3" l="1"/>
  <c r="O100" i="3" s="1"/>
  <c r="P100" i="3" l="1"/>
  <c r="H100" i="3" s="1"/>
  <c r="X100" i="3"/>
  <c r="M101" i="3" s="1"/>
  <c r="W100" i="3"/>
  <c r="L101" i="3" s="1"/>
  <c r="V100" i="3"/>
  <c r="K101" i="3" s="1"/>
  <c r="U100" i="3"/>
  <c r="J101" i="3" s="1"/>
  <c r="T100" i="3"/>
  <c r="I101" i="3" s="1"/>
  <c r="Q100" i="3"/>
  <c r="R100" i="3" s="1"/>
  <c r="N101" i="3" l="1"/>
  <c r="O101" i="3" s="1"/>
  <c r="X101" i="3" l="1"/>
  <c r="M102" i="3" s="1"/>
  <c r="V101" i="3"/>
  <c r="K102" i="3" s="1"/>
  <c r="U101" i="3"/>
  <c r="J102" i="3" s="1"/>
  <c r="T101" i="3"/>
  <c r="I102" i="3" s="1"/>
  <c r="Q101" i="3"/>
  <c r="R101" i="3" s="1"/>
  <c r="P101" i="3"/>
  <c r="H101" i="3" s="1"/>
  <c r="W101" i="3"/>
  <c r="L102" i="3" s="1"/>
  <c r="N102" i="3" l="1"/>
  <c r="O102" i="3" s="1"/>
  <c r="W102" i="3" l="1"/>
  <c r="L103" i="3" s="1"/>
  <c r="V102" i="3"/>
  <c r="K103" i="3" s="1"/>
  <c r="U102" i="3"/>
  <c r="J103" i="3" s="1"/>
  <c r="T102" i="3"/>
  <c r="I103" i="3" s="1"/>
  <c r="P102" i="3"/>
  <c r="H102" i="3" s="1"/>
  <c r="X102" i="3"/>
  <c r="M103" i="3" s="1"/>
  <c r="Q102" i="3"/>
  <c r="R102" i="3" s="1"/>
  <c r="N103" i="3" l="1"/>
  <c r="O103" i="3" s="1"/>
  <c r="Q103" i="3" l="1"/>
  <c r="R103" i="3" s="1"/>
  <c r="P103" i="3"/>
  <c r="H103" i="3" s="1"/>
  <c r="X103" i="3"/>
  <c r="M104" i="3" s="1"/>
  <c r="W103" i="3"/>
  <c r="L104" i="3" s="1"/>
  <c r="V103" i="3"/>
  <c r="K104" i="3" s="1"/>
  <c r="U103" i="3"/>
  <c r="J104" i="3" s="1"/>
  <c r="T103" i="3"/>
  <c r="I104" i="3" s="1"/>
  <c r="N104" i="3" l="1"/>
  <c r="O104" i="3" s="1"/>
  <c r="X104" i="3" l="1"/>
  <c r="M105" i="3" s="1"/>
  <c r="W104" i="3"/>
  <c r="L105" i="3" s="1"/>
  <c r="V104" i="3"/>
  <c r="K105" i="3" s="1"/>
  <c r="U104" i="3"/>
  <c r="J105" i="3" s="1"/>
  <c r="T104" i="3"/>
  <c r="I105" i="3" s="1"/>
  <c r="Q104" i="3"/>
  <c r="R104" i="3" s="1"/>
  <c r="P104" i="3"/>
  <c r="H104" i="3" s="1"/>
  <c r="N105" i="3" l="1"/>
  <c r="O105" i="3" s="1"/>
  <c r="X105" i="3" l="1"/>
  <c r="M106" i="3" s="1"/>
  <c r="W105" i="3"/>
  <c r="L106" i="3" s="1"/>
  <c r="V105" i="3"/>
  <c r="K106" i="3" s="1"/>
  <c r="U105" i="3"/>
  <c r="J106" i="3" s="1"/>
  <c r="T105" i="3"/>
  <c r="I106" i="3" s="1"/>
  <c r="N106" i="3" s="1"/>
  <c r="O106" i="3" s="1"/>
  <c r="Q105" i="3"/>
  <c r="R105" i="3" s="1"/>
  <c r="P105" i="3"/>
  <c r="H105" i="3" s="1"/>
  <c r="Q106" i="3" l="1"/>
  <c r="R106" i="3" s="1"/>
  <c r="S106" i="3" s="1"/>
  <c r="C114" i="3" s="1"/>
  <c r="P106" i="3"/>
  <c r="H106" i="3" s="1"/>
  <c r="F114" i="3" s="1"/>
  <c r="X106" i="3"/>
  <c r="W106" i="3"/>
  <c r="V106" i="3"/>
  <c r="U106" i="3"/>
  <c r="T106" i="3"/>
</calcChain>
</file>

<file path=xl/sharedStrings.xml><?xml version="1.0" encoding="utf-8"?>
<sst xmlns="http://schemas.openxmlformats.org/spreadsheetml/2006/main" count="203" uniqueCount="51">
  <si>
    <t>Iris-setosa</t>
  </si>
  <si>
    <t>Iris-versicolor</t>
  </si>
  <si>
    <t>Setosa = 0</t>
  </si>
  <si>
    <t>Learning Rate</t>
  </si>
  <si>
    <t>Versicolor = 1</t>
  </si>
  <si>
    <t>Bobot bias</t>
  </si>
  <si>
    <t>dot product</t>
  </si>
  <si>
    <t>Sigmoid</t>
  </si>
  <si>
    <t>Prediksi</t>
  </si>
  <si>
    <t>error</t>
  </si>
  <si>
    <t>Sum Square Error</t>
  </si>
  <si>
    <t>EPOCH</t>
  </si>
  <si>
    <t>No</t>
  </si>
  <si>
    <t>X1</t>
  </si>
  <si>
    <t>X2</t>
  </si>
  <si>
    <t>X3</t>
  </si>
  <si>
    <t>X4</t>
  </si>
  <si>
    <t>TARGET</t>
  </si>
  <si>
    <t>Apakah prediksi sama dengan label aslinya?</t>
  </si>
  <si>
    <t>bias</t>
  </si>
  <si>
    <t>teta1</t>
  </si>
  <si>
    <t>teta2</t>
  </si>
  <si>
    <t>teta 3</t>
  </si>
  <si>
    <t>teta4</t>
  </si>
  <si>
    <t>z</t>
  </si>
  <si>
    <t>g(z)</t>
  </si>
  <si>
    <t>Rata-rata Sum Square Error</t>
  </si>
  <si>
    <t>dbias</t>
  </si>
  <si>
    <t>dteta1</t>
  </si>
  <si>
    <t>dteta2</t>
  </si>
  <si>
    <t>dteta3</t>
  </si>
  <si>
    <t>dteta4</t>
  </si>
  <si>
    <t>epoch1</t>
  </si>
  <si>
    <t>epoch2</t>
  </si>
  <si>
    <t>epoch 3</t>
  </si>
  <si>
    <t>epoch 4</t>
  </si>
  <si>
    <t>epoch 5</t>
  </si>
  <si>
    <t>Rekap Rata-rata SSE (Loss) per Epoch</t>
  </si>
  <si>
    <t>Rekap Akurasi per Epoch</t>
  </si>
  <si>
    <t>Epoch</t>
  </si>
  <si>
    <t>Rata-rata SSE</t>
  </si>
  <si>
    <t>Akurasi</t>
  </si>
  <si>
    <t>Epoch 1</t>
  </si>
  <si>
    <t>Epoch 2</t>
  </si>
  <si>
    <t>Epoch 3</t>
  </si>
  <si>
    <t>Epoch 4</t>
  </si>
  <si>
    <t>Epoch 5</t>
  </si>
  <si>
    <t>in validation,  bias and teta are obtained from training for each epoch</t>
  </si>
  <si>
    <t>epoch 2</t>
  </si>
  <si>
    <t>Rekap Rata-rata SSE (Loss) per Epoch - Validasi</t>
  </si>
  <si>
    <t>Rekap Akurasi per Epoch - Validasi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</si>
</sst>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charset val="1"/>
    </font>
    <font>
      <sz val="10"/>
      <color rgb="FF000000"/>
      <name val="arial"/>
      <charset val="1"/>
    </font>
    <font>
      <b/>
      <sz val="11"/>
      <color theme="1"/>
      <name val="Calibri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FF0000"/>
      <name val="Calibri"/>
      <family val="2"/>
    </font>
    <font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5E0B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FF2CC"/>
      </patternFill>
    </fill>
    <fill>
      <patternFill patternType="solid">
        <fgColor rgb="FFFFE598"/>
        <bgColor rgb="FFFFE599"/>
      </patternFill>
    </fill>
    <fill>
      <patternFill patternType="solid">
        <fgColor rgb="FFFFE599"/>
        <bgColor rgb="FFFFE598"/>
      </patternFill>
    </fill>
    <fill>
      <patternFill patternType="solid">
        <fgColor theme="7" tint="0.59987182226020086"/>
        <bgColor rgb="FFFFE599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E5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59999389629810485"/>
        <bgColor rgb="FFFFF2CC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5" borderId="2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4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0" fillId="0" borderId="1" xfId="0" applyBorder="1"/>
    <xf numFmtId="0" fontId="0" fillId="4" borderId="14" xfId="0" applyFill="1" applyBorder="1"/>
    <xf numFmtId="0" fontId="0" fillId="4" borderId="15" xfId="0" applyFill="1" applyBorder="1" applyAlignment="1">
      <alignment horizontal="center" vertical="center"/>
    </xf>
    <xf numFmtId="0" fontId="0" fillId="4" borderId="6" xfId="0" applyFill="1" applyBorder="1"/>
    <xf numFmtId="0" fontId="0" fillId="4" borderId="7" xfId="0" applyFill="1" applyBorder="1"/>
    <xf numFmtId="0" fontId="0" fillId="4" borderId="7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/>
    <xf numFmtId="0" fontId="0" fillId="4" borderId="18" xfId="0" applyFill="1" applyBorder="1" applyAlignment="1">
      <alignment horizontal="center" vertical="center"/>
    </xf>
    <xf numFmtId="0" fontId="0" fillId="4" borderId="1" xfId="0" applyFill="1" applyBorder="1"/>
    <xf numFmtId="0" fontId="0" fillId="0" borderId="19" xfId="0" applyBorder="1"/>
    <xf numFmtId="0" fontId="1" fillId="4" borderId="1" xfId="0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164" fontId="0" fillId="0" borderId="0" xfId="0" applyNumberFormat="1" applyAlignment="1">
      <alignment horizontal="center" vertical="center"/>
    </xf>
    <xf numFmtId="0" fontId="0" fillId="2" borderId="20" xfId="0" applyFill="1" applyBorder="1" applyAlignment="1">
      <alignment horizontal="left" vertical="center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26" xfId="0" applyFill="1" applyBorder="1"/>
    <xf numFmtId="0" fontId="2" fillId="5" borderId="27" xfId="0" applyFont="1" applyFill="1" applyBorder="1" applyAlignment="1">
      <alignment horizontal="center" vertical="center"/>
    </xf>
    <xf numFmtId="0" fontId="0" fillId="6" borderId="14" xfId="0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0" fontId="0" fillId="5" borderId="6" xfId="0" applyFill="1" applyBorder="1"/>
    <xf numFmtId="0" fontId="0" fillId="7" borderId="7" xfId="0" applyFill="1" applyBorder="1"/>
    <xf numFmtId="0" fontId="0" fillId="7" borderId="7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6" borderId="17" xfId="0" applyFill="1" applyBorder="1"/>
    <xf numFmtId="0" fontId="0" fillId="5" borderId="17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8" borderId="17" xfId="0" applyFont="1" applyFill="1" applyBorder="1"/>
    <xf numFmtId="0" fontId="6" fillId="8" borderId="1" xfId="0" applyFont="1" applyFill="1" applyBorder="1" applyAlignment="1">
      <alignment vertical="center"/>
    </xf>
    <xf numFmtId="0" fontId="5" fillId="8" borderId="1" xfId="0" applyFont="1" applyFill="1" applyBorder="1"/>
    <xf numFmtId="0" fontId="5" fillId="8" borderId="18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7" xfId="0" applyFill="1" applyBorder="1"/>
    <xf numFmtId="0" fontId="0" fillId="8" borderId="1" xfId="0" applyFill="1" applyBorder="1"/>
    <xf numFmtId="0" fontId="0" fillId="8" borderId="7" xfId="0" applyFill="1" applyBorder="1"/>
    <xf numFmtId="0" fontId="0" fillId="8" borderId="7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9" borderId="0" xfId="0" applyFill="1"/>
    <xf numFmtId="0" fontId="0" fillId="9" borderId="17" xfId="0" applyFill="1" applyBorder="1"/>
    <xf numFmtId="0" fontId="0" fillId="9" borderId="7" xfId="0" applyFill="1" applyBorder="1"/>
    <xf numFmtId="0" fontId="0" fillId="9" borderId="7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10" borderId="0" xfId="0" applyFill="1"/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6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1" borderId="7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7" xfId="0" applyFill="1" applyBorder="1"/>
    <xf numFmtId="0" fontId="0" fillId="11" borderId="1" xfId="0" applyFill="1" applyBorder="1"/>
    <xf numFmtId="0" fontId="0" fillId="11" borderId="22" xfId="0" applyFill="1" applyBorder="1"/>
    <xf numFmtId="0" fontId="0" fillId="11" borderId="22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14" xfId="0" applyFill="1" applyBorder="1"/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4" borderId="17" xfId="0" applyFill="1" applyBorder="1"/>
    <xf numFmtId="0" fontId="0" fillId="13" borderId="19" xfId="0" applyFill="1" applyBorder="1" applyAlignment="1">
      <alignment horizontal="center" vertical="center"/>
    </xf>
    <xf numFmtId="0" fontId="0" fillId="15" borderId="17" xfId="0" applyFill="1" applyBorder="1"/>
    <xf numFmtId="0" fontId="0" fillId="13" borderId="0" xfId="0" applyFill="1"/>
    <xf numFmtId="0" fontId="0" fillId="15" borderId="7" xfId="0" applyFill="1" applyBorder="1"/>
    <xf numFmtId="0" fontId="0" fillId="15" borderId="7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EF2CB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2CC"/>
      <rgbColor rgb="FFFFE598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3"/>
      <rgbColor rgb="FFFFE6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Grafik Loss (Rata-rata SSE) per Epoch - Data Latih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'SLP-Training'!$C$408</c:f>
              <c:strCache>
                <c:ptCount val="1"/>
                <c:pt idx="0">
                  <c:v>Rata-rata SSE</c:v>
                </c:pt>
              </c:strCache>
            </c:strRef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'SLP-Training'!$B$409:$B$413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'SLP-Training'!$C$409:$C$413</c:f>
              <c:numCache>
                <c:formatCode>General</c:formatCode>
                <c:ptCount val="5"/>
                <c:pt idx="0">
                  <c:v>0.44988865513952919</c:v>
                </c:pt>
                <c:pt idx="1">
                  <c:v>3.74519142280995E-2</c:v>
                </c:pt>
                <c:pt idx="2">
                  <c:v>2.4372194996393773E-2</c:v>
                </c:pt>
                <c:pt idx="3">
                  <c:v>1.7357201678426602E-2</c:v>
                </c:pt>
                <c:pt idx="4">
                  <c:v>1.2740158208926558E-2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A9-4F19-8037-30C711865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0547748"/>
        <c:axId val="83893973"/>
      </c:lineChart>
      <c:catAx>
        <c:axId val="405477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3893973"/>
        <c:crosses val="autoZero"/>
        <c:auto val="1"/>
        <c:lblAlgn val="ctr"/>
        <c:lblOffset val="100"/>
        <c:noMultiLvlLbl val="0"/>
      </c:catAx>
      <c:valAx>
        <c:axId val="838939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Rata-rata SSE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05477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Grafik Akurasi per Epoch - Data Latih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'SLP-Training'!$F$408</c:f>
              <c:strCache>
                <c:ptCount val="1"/>
                <c:pt idx="0">
                  <c:v>Akurasi</c:v>
                </c:pt>
              </c:strCache>
            </c:strRef>
          </c:tx>
          <c:spPr>
            <a:ln w="28080">
              <a:solidFill>
                <a:srgbClr val="1F77B4"/>
              </a:solidFill>
              <a:round/>
            </a:ln>
          </c:spPr>
          <c:marker>
            <c:symbol val="circle"/>
            <c:size val="7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'SLP-Training'!$E$409:$E$413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'SLP-Training'!$F$409:$F$413</c:f>
              <c:numCache>
                <c:formatCode>General</c:formatCode>
                <c:ptCount val="5"/>
                <c:pt idx="0">
                  <c:v>0.52500000000000002</c:v>
                </c:pt>
                <c:pt idx="1">
                  <c:v>0.95</c:v>
                </c:pt>
                <c:pt idx="2">
                  <c:v>0.97499999999999998</c:v>
                </c:pt>
                <c:pt idx="3">
                  <c:v>0.97499999999999998</c:v>
                </c:pt>
                <c:pt idx="4">
                  <c:v>0.98750000000000004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9-4545-BF2B-EFD2D5BE8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854459"/>
        <c:axId val="67549915"/>
      </c:lineChart>
      <c:catAx>
        <c:axId val="218544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7549915"/>
        <c:crosses val="autoZero"/>
        <c:auto val="1"/>
        <c:lblAlgn val="ctr"/>
        <c:lblOffset val="100"/>
        <c:noMultiLvlLbl val="0"/>
      </c:catAx>
      <c:valAx>
        <c:axId val="675499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Akurasi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18544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Grafik Loss (Rata-rata SSE) per Epoch - Data Validasi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'SLP-Validation'!$C$109</c:f>
              <c:strCache>
                <c:ptCount val="1"/>
                <c:pt idx="0">
                  <c:v>Rata-rata SSE</c:v>
                </c:pt>
              </c:strCache>
            </c:strRef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'SLP-Validation'!$B$110:$B$114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'SLP-Validation'!$C$110:$C$114</c:f>
              <c:numCache>
                <c:formatCode>General</c:formatCode>
                <c:ptCount val="5"/>
                <c:pt idx="0">
                  <c:v>9.9677957708508874E-2</c:v>
                </c:pt>
                <c:pt idx="1">
                  <c:v>6.4850082207667872E-2</c:v>
                </c:pt>
                <c:pt idx="2">
                  <c:v>4.5647353934010045E-2</c:v>
                </c:pt>
                <c:pt idx="3">
                  <c:v>3.4515482728347466E-2</c:v>
                </c:pt>
                <c:pt idx="4">
                  <c:v>2.7713781881133541E-2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5-453A-B9F3-BE1F32F62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155529"/>
        <c:axId val="51035263"/>
      </c:lineChart>
      <c:catAx>
        <c:axId val="20155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1035263"/>
        <c:crosses val="autoZero"/>
        <c:auto val="1"/>
        <c:lblAlgn val="ctr"/>
        <c:lblOffset val="100"/>
        <c:noMultiLvlLbl val="0"/>
      </c:catAx>
      <c:valAx>
        <c:axId val="510352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Rata-rata SSE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0155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Grafik Akurasi per Epoch - Data Validasi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'SLP-Validation'!$F$109</c:f>
              <c:strCache>
                <c:ptCount val="1"/>
                <c:pt idx="0">
                  <c:v>Akurasi</c:v>
                </c:pt>
              </c:strCache>
            </c:strRef>
          </c:tx>
          <c:spPr>
            <a:ln w="28080">
              <a:solidFill>
                <a:srgbClr val="1F77B4"/>
              </a:solidFill>
              <a:round/>
            </a:ln>
          </c:spPr>
          <c:marker>
            <c:symbol val="circle"/>
            <c:size val="7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'SLP-Validation'!$E$110:$E$114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'SLP-Validation'!$F$110:$F$114</c:f>
              <c:numCache>
                <c:formatCode>General</c:formatCode>
                <c:ptCount val="5"/>
                <c:pt idx="0">
                  <c:v>0.85</c:v>
                </c:pt>
                <c:pt idx="1">
                  <c:v>0.9</c:v>
                </c:pt>
                <c:pt idx="2">
                  <c:v>0.95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2-4F4B-B75F-87A4A1975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3832280"/>
        <c:axId val="91383246"/>
      </c:lineChart>
      <c:catAx>
        <c:axId val="838322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1383246"/>
        <c:crosses val="autoZero"/>
        <c:auto val="1"/>
        <c:lblAlgn val="ctr"/>
        <c:lblOffset val="100"/>
        <c:noMultiLvlLbl val="0"/>
      </c:catAx>
      <c:valAx>
        <c:axId val="913832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Akurasi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38322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406</xdr:row>
      <xdr:rowOff>47625</xdr:rowOff>
    </xdr:from>
    <xdr:to>
      <xdr:col>13</xdr:col>
      <xdr:colOff>516765</xdr:colOff>
      <xdr:row>421</xdr:row>
      <xdr:rowOff>32250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47625</xdr:colOff>
      <xdr:row>423</xdr:row>
      <xdr:rowOff>95250</xdr:rowOff>
    </xdr:from>
    <xdr:to>
      <xdr:col>13</xdr:col>
      <xdr:colOff>488190</xdr:colOff>
      <xdr:row>438</xdr:row>
      <xdr:rowOff>79875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116</xdr:row>
      <xdr:rowOff>0</xdr:rowOff>
    </xdr:from>
    <xdr:to>
      <xdr:col>10</xdr:col>
      <xdr:colOff>73440</xdr:colOff>
      <xdr:row>130</xdr:row>
      <xdr:rowOff>165960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136</xdr:row>
      <xdr:rowOff>0</xdr:rowOff>
    </xdr:from>
    <xdr:to>
      <xdr:col>10</xdr:col>
      <xdr:colOff>73440</xdr:colOff>
      <xdr:row>150</xdr:row>
      <xdr:rowOff>165960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zoomScaleNormal="100" workbookViewId="0">
      <selection activeCell="D32" sqref="D32"/>
    </sheetView>
  </sheetViews>
  <sheetFormatPr defaultColWidth="14.42578125" defaultRowHeight="15" x14ac:dyDescent="0.25"/>
  <cols>
    <col min="1" max="4" width="8.85546875" customWidth="1"/>
    <col min="5" max="5" width="14.85546875" customWidth="1"/>
    <col min="6" max="26" width="8.7109375" customWidth="1"/>
  </cols>
  <sheetData>
    <row r="1" spans="1:5" ht="14.25" customHeight="1" x14ac:dyDescent="0.25">
      <c r="A1" s="11">
        <v>5.0999999999999996</v>
      </c>
      <c r="B1" s="12">
        <v>3.5</v>
      </c>
      <c r="C1" s="12">
        <v>1.4</v>
      </c>
      <c r="D1" s="12">
        <v>0.2</v>
      </c>
      <c r="E1" s="13" t="s">
        <v>0</v>
      </c>
    </row>
    <row r="2" spans="1:5" ht="14.25" customHeight="1" x14ac:dyDescent="0.25">
      <c r="A2" s="11">
        <v>4.9000000000000004</v>
      </c>
      <c r="B2" s="12">
        <v>3</v>
      </c>
      <c r="C2" s="12">
        <v>1.4</v>
      </c>
      <c r="D2" s="12">
        <v>0.2</v>
      </c>
      <c r="E2" s="13" t="s">
        <v>0</v>
      </c>
    </row>
    <row r="3" spans="1:5" ht="14.25" customHeight="1" x14ac:dyDescent="0.25">
      <c r="A3" s="11">
        <v>4.7</v>
      </c>
      <c r="B3" s="12">
        <v>3.2</v>
      </c>
      <c r="C3" s="12">
        <v>1.3</v>
      </c>
      <c r="D3" s="12">
        <v>0.2</v>
      </c>
      <c r="E3" s="13" t="s">
        <v>0</v>
      </c>
    </row>
    <row r="4" spans="1:5" ht="14.25" customHeight="1" x14ac:dyDescent="0.25">
      <c r="A4" s="11">
        <v>4.5999999999999996</v>
      </c>
      <c r="B4" s="12">
        <v>3.1</v>
      </c>
      <c r="C4" s="12">
        <v>1.5</v>
      </c>
      <c r="D4" s="12">
        <v>0.2</v>
      </c>
      <c r="E4" s="13" t="s">
        <v>0</v>
      </c>
    </row>
    <row r="5" spans="1:5" ht="14.25" customHeight="1" x14ac:dyDescent="0.25">
      <c r="A5" s="11">
        <v>5</v>
      </c>
      <c r="B5" s="12">
        <v>3.6</v>
      </c>
      <c r="C5" s="12">
        <v>1.4</v>
      </c>
      <c r="D5" s="12">
        <v>0.2</v>
      </c>
      <c r="E5" s="13" t="s">
        <v>0</v>
      </c>
    </row>
    <row r="6" spans="1:5" ht="14.25" customHeight="1" x14ac:dyDescent="0.25">
      <c r="A6" s="11">
        <v>5.4</v>
      </c>
      <c r="B6" s="12">
        <v>3.9</v>
      </c>
      <c r="C6" s="12">
        <v>1.7</v>
      </c>
      <c r="D6" s="12">
        <v>0.4</v>
      </c>
      <c r="E6" s="13" t="s">
        <v>0</v>
      </c>
    </row>
    <row r="7" spans="1:5" ht="14.25" customHeight="1" x14ac:dyDescent="0.25">
      <c r="A7" s="11">
        <v>4.5999999999999996</v>
      </c>
      <c r="B7" s="12">
        <v>3.4</v>
      </c>
      <c r="C7" s="12">
        <v>1.4</v>
      </c>
      <c r="D7" s="12">
        <v>0.3</v>
      </c>
      <c r="E7" s="13" t="s">
        <v>0</v>
      </c>
    </row>
    <row r="8" spans="1:5" ht="14.25" customHeight="1" x14ac:dyDescent="0.25">
      <c r="A8" s="11">
        <v>5</v>
      </c>
      <c r="B8" s="12">
        <v>3.4</v>
      </c>
      <c r="C8" s="12">
        <v>1.5</v>
      </c>
      <c r="D8" s="12">
        <v>0.2</v>
      </c>
      <c r="E8" s="13" t="s">
        <v>0</v>
      </c>
    </row>
    <row r="9" spans="1:5" ht="14.25" customHeight="1" x14ac:dyDescent="0.25">
      <c r="A9" s="11">
        <v>4.4000000000000004</v>
      </c>
      <c r="B9" s="12">
        <v>2.9</v>
      </c>
      <c r="C9" s="12">
        <v>1.4</v>
      </c>
      <c r="D9" s="12">
        <v>0.2</v>
      </c>
      <c r="E9" s="13" t="s">
        <v>0</v>
      </c>
    </row>
    <row r="10" spans="1:5" ht="14.25" customHeight="1" x14ac:dyDescent="0.25">
      <c r="A10" s="11">
        <v>4.9000000000000004</v>
      </c>
      <c r="B10" s="12">
        <v>3.1</v>
      </c>
      <c r="C10" s="12">
        <v>1.5</v>
      </c>
      <c r="D10" s="12">
        <v>0.1</v>
      </c>
      <c r="E10" s="13" t="s">
        <v>0</v>
      </c>
    </row>
    <row r="11" spans="1:5" ht="14.25" customHeight="1" x14ac:dyDescent="0.25">
      <c r="A11" s="11">
        <v>5.4</v>
      </c>
      <c r="B11" s="12">
        <v>3.7</v>
      </c>
      <c r="C11" s="12">
        <v>1.5</v>
      </c>
      <c r="D11" s="12">
        <v>0.2</v>
      </c>
      <c r="E11" s="13" t="s">
        <v>0</v>
      </c>
    </row>
    <row r="12" spans="1:5" ht="14.25" customHeight="1" x14ac:dyDescent="0.25">
      <c r="A12" s="11">
        <v>4.8</v>
      </c>
      <c r="B12" s="12">
        <v>3.4</v>
      </c>
      <c r="C12" s="12">
        <v>1.6</v>
      </c>
      <c r="D12" s="12">
        <v>0.2</v>
      </c>
      <c r="E12" s="13" t="s">
        <v>0</v>
      </c>
    </row>
    <row r="13" spans="1:5" ht="14.25" customHeight="1" x14ac:dyDescent="0.25">
      <c r="A13" s="11">
        <v>4.8</v>
      </c>
      <c r="B13" s="12">
        <v>3</v>
      </c>
      <c r="C13" s="12">
        <v>1.4</v>
      </c>
      <c r="D13" s="12">
        <v>0.1</v>
      </c>
      <c r="E13" s="13" t="s">
        <v>0</v>
      </c>
    </row>
    <row r="14" spans="1:5" ht="14.25" customHeight="1" x14ac:dyDescent="0.25">
      <c r="A14" s="11">
        <v>4.3</v>
      </c>
      <c r="B14" s="12">
        <v>3</v>
      </c>
      <c r="C14" s="12">
        <v>1.1000000000000001</v>
      </c>
      <c r="D14" s="12">
        <v>0.1</v>
      </c>
      <c r="E14" s="13" t="s">
        <v>0</v>
      </c>
    </row>
    <row r="15" spans="1:5" ht="14.25" customHeight="1" x14ac:dyDescent="0.25">
      <c r="A15" s="11">
        <v>5.8</v>
      </c>
      <c r="B15" s="12">
        <v>4</v>
      </c>
      <c r="C15" s="12">
        <v>1.2</v>
      </c>
      <c r="D15" s="12">
        <v>0.2</v>
      </c>
      <c r="E15" s="13" t="s">
        <v>0</v>
      </c>
    </row>
    <row r="16" spans="1:5" ht="14.25" customHeight="1" x14ac:dyDescent="0.25">
      <c r="A16" s="11">
        <v>5.7</v>
      </c>
      <c r="B16" s="12">
        <v>4.4000000000000004</v>
      </c>
      <c r="C16" s="12">
        <v>1.5</v>
      </c>
      <c r="D16" s="12">
        <v>0.4</v>
      </c>
      <c r="E16" s="13" t="s">
        <v>0</v>
      </c>
    </row>
    <row r="17" spans="1:5" ht="14.25" customHeight="1" x14ac:dyDescent="0.25">
      <c r="A17" s="11">
        <v>5.4</v>
      </c>
      <c r="B17" s="12">
        <v>3.9</v>
      </c>
      <c r="C17" s="12">
        <v>1.3</v>
      </c>
      <c r="D17" s="12">
        <v>0.4</v>
      </c>
      <c r="E17" s="13" t="s">
        <v>0</v>
      </c>
    </row>
    <row r="18" spans="1:5" ht="14.25" customHeight="1" x14ac:dyDescent="0.25">
      <c r="A18" s="11">
        <v>5.0999999999999996</v>
      </c>
      <c r="B18" s="12">
        <v>3.5</v>
      </c>
      <c r="C18" s="12">
        <v>1.4</v>
      </c>
      <c r="D18" s="12">
        <v>0.3</v>
      </c>
      <c r="E18" s="13" t="s">
        <v>0</v>
      </c>
    </row>
    <row r="19" spans="1:5" ht="14.25" customHeight="1" x14ac:dyDescent="0.25">
      <c r="A19" s="11">
        <v>5.7</v>
      </c>
      <c r="B19" s="12">
        <v>3.8</v>
      </c>
      <c r="C19" s="12">
        <v>1.7</v>
      </c>
      <c r="D19" s="12">
        <v>0.3</v>
      </c>
      <c r="E19" s="13" t="s">
        <v>0</v>
      </c>
    </row>
    <row r="20" spans="1:5" ht="14.25" customHeight="1" x14ac:dyDescent="0.25">
      <c r="A20" s="11">
        <v>5.0999999999999996</v>
      </c>
      <c r="B20" s="12">
        <v>3.8</v>
      </c>
      <c r="C20" s="12">
        <v>1.5</v>
      </c>
      <c r="D20" s="12">
        <v>0.3</v>
      </c>
      <c r="E20" s="13" t="s">
        <v>0</v>
      </c>
    </row>
    <row r="21" spans="1:5" ht="14.25" customHeight="1" x14ac:dyDescent="0.25">
      <c r="A21" s="11">
        <v>5.4</v>
      </c>
      <c r="B21" s="12">
        <v>3.4</v>
      </c>
      <c r="C21" s="12">
        <v>1.7</v>
      </c>
      <c r="D21" s="12">
        <v>0.2</v>
      </c>
      <c r="E21" s="13" t="s">
        <v>0</v>
      </c>
    </row>
    <row r="22" spans="1:5" ht="14.25" customHeight="1" x14ac:dyDescent="0.25">
      <c r="A22" s="11">
        <v>5.0999999999999996</v>
      </c>
      <c r="B22" s="12">
        <v>3.7</v>
      </c>
      <c r="C22" s="12">
        <v>1.5</v>
      </c>
      <c r="D22" s="12">
        <v>0.4</v>
      </c>
      <c r="E22" s="13" t="s">
        <v>0</v>
      </c>
    </row>
    <row r="23" spans="1:5" ht="14.25" customHeight="1" x14ac:dyDescent="0.25">
      <c r="A23" s="11">
        <v>4.5999999999999996</v>
      </c>
      <c r="B23" s="12">
        <v>3.6</v>
      </c>
      <c r="C23" s="12">
        <v>1</v>
      </c>
      <c r="D23" s="12">
        <v>0.2</v>
      </c>
      <c r="E23" s="13" t="s">
        <v>0</v>
      </c>
    </row>
    <row r="24" spans="1:5" ht="14.25" customHeight="1" x14ac:dyDescent="0.25">
      <c r="A24" s="11">
        <v>5.0999999999999996</v>
      </c>
      <c r="B24" s="12">
        <v>3.3</v>
      </c>
      <c r="C24" s="12">
        <v>1.7</v>
      </c>
      <c r="D24" s="12">
        <v>0.5</v>
      </c>
      <c r="E24" s="13" t="s">
        <v>0</v>
      </c>
    </row>
    <row r="25" spans="1:5" ht="14.25" customHeight="1" x14ac:dyDescent="0.25">
      <c r="A25" s="11">
        <v>4.8</v>
      </c>
      <c r="B25" s="12">
        <v>3.4</v>
      </c>
      <c r="C25" s="12">
        <v>1.9</v>
      </c>
      <c r="D25" s="12">
        <v>0.2</v>
      </c>
      <c r="E25" s="13" t="s">
        <v>0</v>
      </c>
    </row>
    <row r="26" spans="1:5" ht="14.25" customHeight="1" x14ac:dyDescent="0.25">
      <c r="A26" s="11">
        <v>5</v>
      </c>
      <c r="B26" s="12">
        <v>3</v>
      </c>
      <c r="C26" s="12">
        <v>1.6</v>
      </c>
      <c r="D26" s="12">
        <v>0.2</v>
      </c>
      <c r="E26" s="13" t="s">
        <v>0</v>
      </c>
    </row>
    <row r="27" spans="1:5" ht="14.25" customHeight="1" x14ac:dyDescent="0.25">
      <c r="A27" s="11">
        <v>5</v>
      </c>
      <c r="B27" s="12">
        <v>3.4</v>
      </c>
      <c r="C27" s="12">
        <v>1.6</v>
      </c>
      <c r="D27" s="12">
        <v>0.4</v>
      </c>
      <c r="E27" s="13" t="s">
        <v>0</v>
      </c>
    </row>
    <row r="28" spans="1:5" ht="14.25" customHeight="1" x14ac:dyDescent="0.25">
      <c r="A28" s="11">
        <v>5.2</v>
      </c>
      <c r="B28" s="12">
        <v>3.5</v>
      </c>
      <c r="C28" s="12">
        <v>1.5</v>
      </c>
      <c r="D28" s="12">
        <v>0.2</v>
      </c>
      <c r="E28" s="13" t="s">
        <v>0</v>
      </c>
    </row>
    <row r="29" spans="1:5" ht="14.25" customHeight="1" x14ac:dyDescent="0.25">
      <c r="A29" s="11">
        <v>5.2</v>
      </c>
      <c r="B29" s="12">
        <v>3.4</v>
      </c>
      <c r="C29" s="12">
        <v>1.4</v>
      </c>
      <c r="D29" s="12">
        <v>0.2</v>
      </c>
      <c r="E29" s="13" t="s">
        <v>0</v>
      </c>
    </row>
    <row r="30" spans="1:5" ht="14.25" customHeight="1" x14ac:dyDescent="0.25">
      <c r="A30" s="11">
        <v>4.7</v>
      </c>
      <c r="B30" s="12">
        <v>3.2</v>
      </c>
      <c r="C30" s="12">
        <v>1.6</v>
      </c>
      <c r="D30" s="12">
        <v>0.2</v>
      </c>
      <c r="E30" s="13" t="s">
        <v>0</v>
      </c>
    </row>
    <row r="31" spans="1:5" ht="14.25" customHeight="1" x14ac:dyDescent="0.25">
      <c r="A31" s="11">
        <v>4.8</v>
      </c>
      <c r="B31" s="12">
        <v>3.1</v>
      </c>
      <c r="C31" s="12">
        <v>1.6</v>
      </c>
      <c r="D31" s="12">
        <v>0.2</v>
      </c>
      <c r="E31" s="13" t="s">
        <v>0</v>
      </c>
    </row>
    <row r="32" spans="1:5" ht="14.25" customHeight="1" x14ac:dyDescent="0.25">
      <c r="A32" s="11">
        <v>5.4</v>
      </c>
      <c r="B32" s="12">
        <v>3.4</v>
      </c>
      <c r="C32" s="12">
        <v>1.5</v>
      </c>
      <c r="D32" s="12">
        <v>0.4</v>
      </c>
      <c r="E32" s="13" t="s">
        <v>0</v>
      </c>
    </row>
    <row r="33" spans="1:5" ht="14.25" customHeight="1" x14ac:dyDescent="0.25">
      <c r="A33" s="11">
        <v>5.2</v>
      </c>
      <c r="B33" s="12">
        <v>4.0999999999999996</v>
      </c>
      <c r="C33" s="12">
        <v>1.5</v>
      </c>
      <c r="D33" s="12">
        <v>0.1</v>
      </c>
      <c r="E33" s="13" t="s">
        <v>0</v>
      </c>
    </row>
    <row r="34" spans="1:5" ht="14.25" customHeight="1" x14ac:dyDescent="0.25">
      <c r="A34" s="11">
        <v>5.5</v>
      </c>
      <c r="B34" s="12">
        <v>4.2</v>
      </c>
      <c r="C34" s="12">
        <v>1.4</v>
      </c>
      <c r="D34" s="12">
        <v>0.2</v>
      </c>
      <c r="E34" s="13" t="s">
        <v>0</v>
      </c>
    </row>
    <row r="35" spans="1:5" ht="14.25" customHeight="1" x14ac:dyDescent="0.25">
      <c r="A35" s="11">
        <v>4.9000000000000004</v>
      </c>
      <c r="B35" s="12">
        <v>3.1</v>
      </c>
      <c r="C35" s="12">
        <v>1.5</v>
      </c>
      <c r="D35" s="12">
        <v>0.1</v>
      </c>
      <c r="E35" s="13" t="s">
        <v>0</v>
      </c>
    </row>
    <row r="36" spans="1:5" ht="14.25" customHeight="1" x14ac:dyDescent="0.25">
      <c r="A36" s="11">
        <v>5</v>
      </c>
      <c r="B36" s="12">
        <v>3.2</v>
      </c>
      <c r="C36" s="12">
        <v>1.2</v>
      </c>
      <c r="D36" s="12">
        <v>0.2</v>
      </c>
      <c r="E36" s="13" t="s">
        <v>0</v>
      </c>
    </row>
    <row r="37" spans="1:5" ht="14.25" customHeight="1" x14ac:dyDescent="0.25">
      <c r="A37" s="11">
        <v>5.5</v>
      </c>
      <c r="B37" s="12">
        <v>3.5</v>
      </c>
      <c r="C37" s="12">
        <v>1.3</v>
      </c>
      <c r="D37" s="12">
        <v>0.2</v>
      </c>
      <c r="E37" s="13" t="s">
        <v>0</v>
      </c>
    </row>
    <row r="38" spans="1:5" ht="14.25" customHeight="1" x14ac:dyDescent="0.25">
      <c r="A38" s="11">
        <v>4.9000000000000004</v>
      </c>
      <c r="B38" s="12">
        <v>3.1</v>
      </c>
      <c r="C38" s="12">
        <v>1.5</v>
      </c>
      <c r="D38" s="12">
        <v>0.1</v>
      </c>
      <c r="E38" s="13" t="s">
        <v>0</v>
      </c>
    </row>
    <row r="39" spans="1:5" ht="14.25" customHeight="1" x14ac:dyDescent="0.25">
      <c r="A39" s="11">
        <v>4.4000000000000004</v>
      </c>
      <c r="B39" s="12">
        <v>3</v>
      </c>
      <c r="C39" s="12">
        <v>1.3</v>
      </c>
      <c r="D39" s="12">
        <v>0.2</v>
      </c>
      <c r="E39" s="13" t="s">
        <v>0</v>
      </c>
    </row>
    <row r="40" spans="1:5" ht="14.25" customHeight="1" x14ac:dyDescent="0.25">
      <c r="A40" s="11">
        <v>5.0999999999999996</v>
      </c>
      <c r="B40" s="12">
        <v>3.4</v>
      </c>
      <c r="C40" s="12">
        <v>1.5</v>
      </c>
      <c r="D40" s="12">
        <v>0.2</v>
      </c>
      <c r="E40" s="13" t="s">
        <v>0</v>
      </c>
    </row>
    <row r="41" spans="1:5" ht="14.25" customHeight="1" x14ac:dyDescent="0.25">
      <c r="A41" s="11">
        <v>5</v>
      </c>
      <c r="B41" s="12">
        <v>3.5</v>
      </c>
      <c r="C41" s="12">
        <v>1.3</v>
      </c>
      <c r="D41" s="12">
        <v>0.3</v>
      </c>
      <c r="E41" s="13" t="s">
        <v>0</v>
      </c>
    </row>
    <row r="42" spans="1:5" ht="14.25" customHeight="1" x14ac:dyDescent="0.25">
      <c r="A42" s="11">
        <v>4.5</v>
      </c>
      <c r="B42" s="12">
        <v>2.2999999999999998</v>
      </c>
      <c r="C42" s="12">
        <v>1.3</v>
      </c>
      <c r="D42" s="12">
        <v>0.3</v>
      </c>
      <c r="E42" s="13" t="s">
        <v>0</v>
      </c>
    </row>
    <row r="43" spans="1:5" ht="14.25" customHeight="1" x14ac:dyDescent="0.25">
      <c r="A43" s="11">
        <v>4.4000000000000004</v>
      </c>
      <c r="B43" s="12">
        <v>3.2</v>
      </c>
      <c r="C43" s="12">
        <v>1.3</v>
      </c>
      <c r="D43" s="12">
        <v>0.2</v>
      </c>
      <c r="E43" s="13" t="s">
        <v>0</v>
      </c>
    </row>
    <row r="44" spans="1:5" ht="14.25" customHeight="1" x14ac:dyDescent="0.25">
      <c r="A44" s="11">
        <v>5</v>
      </c>
      <c r="B44" s="12">
        <v>3.5</v>
      </c>
      <c r="C44" s="12">
        <v>1.6</v>
      </c>
      <c r="D44" s="12">
        <v>0.6</v>
      </c>
      <c r="E44" s="13" t="s">
        <v>0</v>
      </c>
    </row>
    <row r="45" spans="1:5" ht="14.25" customHeight="1" x14ac:dyDescent="0.25">
      <c r="A45" s="11">
        <v>5.0999999999999996</v>
      </c>
      <c r="B45" s="12">
        <v>3.8</v>
      </c>
      <c r="C45" s="12">
        <v>1.9</v>
      </c>
      <c r="D45" s="12">
        <v>0.4</v>
      </c>
      <c r="E45" s="13" t="s">
        <v>0</v>
      </c>
    </row>
    <row r="46" spans="1:5" ht="14.25" customHeight="1" x14ac:dyDescent="0.25">
      <c r="A46" s="11">
        <v>4.8</v>
      </c>
      <c r="B46" s="12">
        <v>3</v>
      </c>
      <c r="C46" s="12">
        <v>1.4</v>
      </c>
      <c r="D46" s="12">
        <v>0.3</v>
      </c>
      <c r="E46" s="13" t="s">
        <v>0</v>
      </c>
    </row>
    <row r="47" spans="1:5" ht="14.25" customHeight="1" x14ac:dyDescent="0.25">
      <c r="A47" s="11">
        <v>5.0999999999999996</v>
      </c>
      <c r="B47" s="12">
        <v>3.8</v>
      </c>
      <c r="C47" s="12">
        <v>1.6</v>
      </c>
      <c r="D47" s="12">
        <v>0.2</v>
      </c>
      <c r="E47" s="13" t="s">
        <v>0</v>
      </c>
    </row>
    <row r="48" spans="1:5" ht="14.25" customHeight="1" x14ac:dyDescent="0.25">
      <c r="A48" s="11">
        <v>4.5999999999999996</v>
      </c>
      <c r="B48" s="12">
        <v>3.2</v>
      </c>
      <c r="C48" s="12">
        <v>1.4</v>
      </c>
      <c r="D48" s="12">
        <v>0.2</v>
      </c>
      <c r="E48" s="13" t="s">
        <v>0</v>
      </c>
    </row>
    <row r="49" spans="1:5" ht="14.25" customHeight="1" x14ac:dyDescent="0.25">
      <c r="A49" s="11">
        <v>5.3</v>
      </c>
      <c r="B49" s="12">
        <v>3.7</v>
      </c>
      <c r="C49" s="12">
        <v>1.5</v>
      </c>
      <c r="D49" s="12">
        <v>0.2</v>
      </c>
      <c r="E49" s="13" t="s">
        <v>0</v>
      </c>
    </row>
    <row r="50" spans="1:5" ht="14.25" customHeight="1" x14ac:dyDescent="0.25">
      <c r="A50" s="11">
        <v>5</v>
      </c>
      <c r="B50" s="12">
        <v>3.3</v>
      </c>
      <c r="C50" s="12">
        <v>1.4</v>
      </c>
      <c r="D50" s="12">
        <v>0.2</v>
      </c>
      <c r="E50" s="13" t="s">
        <v>0</v>
      </c>
    </row>
    <row r="51" spans="1:5" ht="14.25" customHeight="1" x14ac:dyDescent="0.25">
      <c r="A51" s="11">
        <v>7</v>
      </c>
      <c r="B51" s="12">
        <v>3.2</v>
      </c>
      <c r="C51" s="12">
        <v>4.7</v>
      </c>
      <c r="D51" s="12">
        <v>1.4</v>
      </c>
      <c r="E51" s="13" t="s">
        <v>1</v>
      </c>
    </row>
    <row r="52" spans="1:5" ht="14.25" customHeight="1" x14ac:dyDescent="0.25">
      <c r="A52" s="11">
        <v>6.4</v>
      </c>
      <c r="B52" s="12">
        <v>3.2</v>
      </c>
      <c r="C52" s="12">
        <v>4.5</v>
      </c>
      <c r="D52" s="12">
        <v>1.5</v>
      </c>
      <c r="E52" s="13" t="s">
        <v>1</v>
      </c>
    </row>
    <row r="53" spans="1:5" ht="14.25" customHeight="1" x14ac:dyDescent="0.25">
      <c r="A53" s="11">
        <v>6.9</v>
      </c>
      <c r="B53" s="12">
        <v>3.1</v>
      </c>
      <c r="C53" s="12">
        <v>4.9000000000000004</v>
      </c>
      <c r="D53" s="12">
        <v>1.5</v>
      </c>
      <c r="E53" s="13" t="s">
        <v>1</v>
      </c>
    </row>
    <row r="54" spans="1:5" ht="14.25" customHeight="1" x14ac:dyDescent="0.25">
      <c r="A54" s="11">
        <v>5.5</v>
      </c>
      <c r="B54" s="12">
        <v>2.2999999999999998</v>
      </c>
      <c r="C54" s="12">
        <v>4</v>
      </c>
      <c r="D54" s="12">
        <v>1.3</v>
      </c>
      <c r="E54" s="13" t="s">
        <v>1</v>
      </c>
    </row>
    <row r="55" spans="1:5" ht="14.25" customHeight="1" x14ac:dyDescent="0.25">
      <c r="A55" s="11">
        <v>6.5</v>
      </c>
      <c r="B55" s="12">
        <v>2.8</v>
      </c>
      <c r="C55" s="12">
        <v>4.5999999999999996</v>
      </c>
      <c r="D55" s="12">
        <v>1.5</v>
      </c>
      <c r="E55" s="13" t="s">
        <v>1</v>
      </c>
    </row>
    <row r="56" spans="1:5" ht="14.25" customHeight="1" x14ac:dyDescent="0.25">
      <c r="A56" s="11">
        <v>5.7</v>
      </c>
      <c r="B56" s="12">
        <v>2.8</v>
      </c>
      <c r="C56" s="12">
        <v>4.5</v>
      </c>
      <c r="D56" s="12">
        <v>1.3</v>
      </c>
      <c r="E56" s="13" t="s">
        <v>1</v>
      </c>
    </row>
    <row r="57" spans="1:5" ht="14.25" customHeight="1" x14ac:dyDescent="0.25">
      <c r="A57" s="11">
        <v>6.3</v>
      </c>
      <c r="B57" s="12">
        <v>3.3</v>
      </c>
      <c r="C57" s="12">
        <v>4.7</v>
      </c>
      <c r="D57" s="12">
        <v>1.6</v>
      </c>
      <c r="E57" s="13" t="s">
        <v>1</v>
      </c>
    </row>
    <row r="58" spans="1:5" ht="14.25" customHeight="1" x14ac:dyDescent="0.25">
      <c r="A58" s="11">
        <v>4.9000000000000004</v>
      </c>
      <c r="B58" s="12">
        <v>2.4</v>
      </c>
      <c r="C58" s="12">
        <v>3.3</v>
      </c>
      <c r="D58" s="12">
        <v>1</v>
      </c>
      <c r="E58" s="13" t="s">
        <v>1</v>
      </c>
    </row>
    <row r="59" spans="1:5" ht="14.25" customHeight="1" x14ac:dyDescent="0.25">
      <c r="A59" s="11">
        <v>6.6</v>
      </c>
      <c r="B59" s="12">
        <v>2.9</v>
      </c>
      <c r="C59" s="12">
        <v>4.5999999999999996</v>
      </c>
      <c r="D59" s="12">
        <v>1.3</v>
      </c>
      <c r="E59" s="13" t="s">
        <v>1</v>
      </c>
    </row>
    <row r="60" spans="1:5" ht="14.25" customHeight="1" x14ac:dyDescent="0.25">
      <c r="A60" s="11">
        <v>5.2</v>
      </c>
      <c r="B60" s="12">
        <v>2.7</v>
      </c>
      <c r="C60" s="12">
        <v>3.9</v>
      </c>
      <c r="D60" s="12">
        <v>1.4</v>
      </c>
      <c r="E60" s="13" t="s">
        <v>1</v>
      </c>
    </row>
    <row r="61" spans="1:5" ht="14.25" customHeight="1" x14ac:dyDescent="0.25">
      <c r="A61" s="11">
        <v>5</v>
      </c>
      <c r="B61" s="12">
        <v>2</v>
      </c>
      <c r="C61" s="12">
        <v>3.5</v>
      </c>
      <c r="D61" s="12">
        <v>1</v>
      </c>
      <c r="E61" s="13" t="s">
        <v>1</v>
      </c>
    </row>
    <row r="62" spans="1:5" ht="14.25" customHeight="1" x14ac:dyDescent="0.25">
      <c r="A62" s="11">
        <v>5.9</v>
      </c>
      <c r="B62" s="12">
        <v>3</v>
      </c>
      <c r="C62" s="12">
        <v>4.2</v>
      </c>
      <c r="D62" s="12">
        <v>1.5</v>
      </c>
      <c r="E62" s="13" t="s">
        <v>1</v>
      </c>
    </row>
    <row r="63" spans="1:5" ht="14.25" customHeight="1" x14ac:dyDescent="0.25">
      <c r="A63" s="11">
        <v>6</v>
      </c>
      <c r="B63" s="12">
        <v>2.2000000000000002</v>
      </c>
      <c r="C63" s="12">
        <v>4</v>
      </c>
      <c r="D63" s="12">
        <v>1</v>
      </c>
      <c r="E63" s="13" t="s">
        <v>1</v>
      </c>
    </row>
    <row r="64" spans="1:5" ht="14.25" customHeight="1" x14ac:dyDescent="0.25">
      <c r="A64" s="11">
        <v>6.1</v>
      </c>
      <c r="B64" s="12">
        <v>2.9</v>
      </c>
      <c r="C64" s="12">
        <v>4.7</v>
      </c>
      <c r="D64" s="12">
        <v>1.4</v>
      </c>
      <c r="E64" s="13" t="s">
        <v>1</v>
      </c>
    </row>
    <row r="65" spans="1:5" ht="14.25" customHeight="1" x14ac:dyDescent="0.25">
      <c r="A65" s="11">
        <v>5.6</v>
      </c>
      <c r="B65" s="12">
        <v>2.9</v>
      </c>
      <c r="C65" s="12">
        <v>3.6</v>
      </c>
      <c r="D65" s="12">
        <v>1.3</v>
      </c>
      <c r="E65" s="13" t="s">
        <v>1</v>
      </c>
    </row>
    <row r="66" spans="1:5" ht="14.25" customHeight="1" x14ac:dyDescent="0.25">
      <c r="A66" s="11">
        <v>6.7</v>
      </c>
      <c r="B66" s="12">
        <v>3.1</v>
      </c>
      <c r="C66" s="12">
        <v>4.4000000000000004</v>
      </c>
      <c r="D66" s="12">
        <v>1.4</v>
      </c>
      <c r="E66" s="13" t="s">
        <v>1</v>
      </c>
    </row>
    <row r="67" spans="1:5" ht="14.25" customHeight="1" x14ac:dyDescent="0.25">
      <c r="A67" s="11">
        <v>5.6</v>
      </c>
      <c r="B67" s="12">
        <v>3</v>
      </c>
      <c r="C67" s="12">
        <v>4.5</v>
      </c>
      <c r="D67" s="12">
        <v>1.5</v>
      </c>
      <c r="E67" s="13" t="s">
        <v>1</v>
      </c>
    </row>
    <row r="68" spans="1:5" ht="14.25" customHeight="1" x14ac:dyDescent="0.25">
      <c r="A68" s="11">
        <v>5.8</v>
      </c>
      <c r="B68" s="12">
        <v>2.7</v>
      </c>
      <c r="C68" s="12">
        <v>4.0999999999999996</v>
      </c>
      <c r="D68" s="12">
        <v>1</v>
      </c>
      <c r="E68" s="13" t="s">
        <v>1</v>
      </c>
    </row>
    <row r="69" spans="1:5" ht="14.25" customHeight="1" x14ac:dyDescent="0.25">
      <c r="A69" s="11">
        <v>6.2</v>
      </c>
      <c r="B69" s="12">
        <v>2.2000000000000002</v>
      </c>
      <c r="C69" s="12">
        <v>4.5</v>
      </c>
      <c r="D69" s="12">
        <v>1.5</v>
      </c>
      <c r="E69" s="13" t="s">
        <v>1</v>
      </c>
    </row>
    <row r="70" spans="1:5" ht="14.25" customHeight="1" x14ac:dyDescent="0.25">
      <c r="A70" s="11">
        <v>5.6</v>
      </c>
      <c r="B70" s="12">
        <v>2.5</v>
      </c>
      <c r="C70" s="12">
        <v>3.9</v>
      </c>
      <c r="D70" s="12">
        <v>1.1000000000000001</v>
      </c>
      <c r="E70" s="13" t="s">
        <v>1</v>
      </c>
    </row>
    <row r="71" spans="1:5" ht="14.25" customHeight="1" x14ac:dyDescent="0.25">
      <c r="A71" s="11">
        <v>5.9</v>
      </c>
      <c r="B71" s="12">
        <v>3.2</v>
      </c>
      <c r="C71" s="12">
        <v>4.8</v>
      </c>
      <c r="D71" s="12">
        <v>1.8</v>
      </c>
      <c r="E71" s="13" t="s">
        <v>1</v>
      </c>
    </row>
    <row r="72" spans="1:5" ht="14.25" customHeight="1" x14ac:dyDescent="0.25">
      <c r="A72" s="11">
        <v>6.1</v>
      </c>
      <c r="B72" s="12">
        <v>2.8</v>
      </c>
      <c r="C72" s="12">
        <v>4</v>
      </c>
      <c r="D72" s="12">
        <v>1.3</v>
      </c>
      <c r="E72" s="13" t="s">
        <v>1</v>
      </c>
    </row>
    <row r="73" spans="1:5" ht="14.25" customHeight="1" x14ac:dyDescent="0.25">
      <c r="A73" s="11">
        <v>6.3</v>
      </c>
      <c r="B73" s="12">
        <v>2.5</v>
      </c>
      <c r="C73" s="12">
        <v>4.9000000000000004</v>
      </c>
      <c r="D73" s="12">
        <v>1.5</v>
      </c>
      <c r="E73" s="13" t="s">
        <v>1</v>
      </c>
    </row>
    <row r="74" spans="1:5" ht="14.25" customHeight="1" x14ac:dyDescent="0.25">
      <c r="A74" s="11">
        <v>6.1</v>
      </c>
      <c r="B74" s="12">
        <v>2.8</v>
      </c>
      <c r="C74" s="12">
        <v>4.7</v>
      </c>
      <c r="D74" s="12">
        <v>1.2</v>
      </c>
      <c r="E74" s="13" t="s">
        <v>1</v>
      </c>
    </row>
    <row r="75" spans="1:5" ht="14.25" customHeight="1" x14ac:dyDescent="0.25">
      <c r="A75" s="11">
        <v>6.4</v>
      </c>
      <c r="B75" s="12">
        <v>2.9</v>
      </c>
      <c r="C75" s="12">
        <v>4.3</v>
      </c>
      <c r="D75" s="12">
        <v>1.3</v>
      </c>
      <c r="E75" s="13" t="s">
        <v>1</v>
      </c>
    </row>
    <row r="76" spans="1:5" ht="14.25" customHeight="1" x14ac:dyDescent="0.25">
      <c r="A76" s="11">
        <v>6.6</v>
      </c>
      <c r="B76" s="12">
        <v>3</v>
      </c>
      <c r="C76" s="12">
        <v>4.4000000000000004</v>
      </c>
      <c r="D76" s="12">
        <v>1.4</v>
      </c>
      <c r="E76" s="13" t="s">
        <v>1</v>
      </c>
    </row>
    <row r="77" spans="1:5" ht="14.25" customHeight="1" x14ac:dyDescent="0.25">
      <c r="A77" s="11">
        <v>6.8</v>
      </c>
      <c r="B77" s="12">
        <v>2.8</v>
      </c>
      <c r="C77" s="12">
        <v>4.8</v>
      </c>
      <c r="D77" s="12">
        <v>1.4</v>
      </c>
      <c r="E77" s="13" t="s">
        <v>1</v>
      </c>
    </row>
    <row r="78" spans="1:5" ht="14.25" customHeight="1" x14ac:dyDescent="0.25">
      <c r="A78" s="11">
        <v>6.7</v>
      </c>
      <c r="B78" s="12">
        <v>3</v>
      </c>
      <c r="C78" s="12">
        <v>5</v>
      </c>
      <c r="D78" s="12">
        <v>1.7</v>
      </c>
      <c r="E78" s="13" t="s">
        <v>1</v>
      </c>
    </row>
    <row r="79" spans="1:5" ht="14.25" customHeight="1" x14ac:dyDescent="0.25">
      <c r="A79" s="11">
        <v>6</v>
      </c>
      <c r="B79" s="12">
        <v>2.9</v>
      </c>
      <c r="C79" s="12">
        <v>4.5</v>
      </c>
      <c r="D79" s="12">
        <v>1.5</v>
      </c>
      <c r="E79" s="13" t="s">
        <v>1</v>
      </c>
    </row>
    <row r="80" spans="1:5" ht="14.25" customHeight="1" x14ac:dyDescent="0.25">
      <c r="A80" s="11">
        <v>5.7</v>
      </c>
      <c r="B80" s="12">
        <v>2.6</v>
      </c>
      <c r="C80" s="12">
        <v>3.5</v>
      </c>
      <c r="D80" s="12">
        <v>1</v>
      </c>
      <c r="E80" s="13" t="s">
        <v>1</v>
      </c>
    </row>
    <row r="81" spans="1:5" ht="14.25" customHeight="1" x14ac:dyDescent="0.25">
      <c r="A81" s="11">
        <v>5.5</v>
      </c>
      <c r="B81" s="12">
        <v>2.4</v>
      </c>
      <c r="C81" s="12">
        <v>3.8</v>
      </c>
      <c r="D81" s="12">
        <v>1.1000000000000001</v>
      </c>
      <c r="E81" s="13" t="s">
        <v>1</v>
      </c>
    </row>
    <row r="82" spans="1:5" ht="14.25" customHeight="1" x14ac:dyDescent="0.25">
      <c r="A82" s="11">
        <v>5.5</v>
      </c>
      <c r="B82" s="12">
        <v>2.4</v>
      </c>
      <c r="C82" s="12">
        <v>3.7</v>
      </c>
      <c r="D82" s="12">
        <v>1</v>
      </c>
      <c r="E82" s="13" t="s">
        <v>1</v>
      </c>
    </row>
    <row r="83" spans="1:5" ht="14.25" customHeight="1" x14ac:dyDescent="0.25">
      <c r="A83" s="11">
        <v>5.8</v>
      </c>
      <c r="B83" s="12">
        <v>2.7</v>
      </c>
      <c r="C83" s="12">
        <v>3.9</v>
      </c>
      <c r="D83" s="12">
        <v>1.2</v>
      </c>
      <c r="E83" s="13" t="s">
        <v>1</v>
      </c>
    </row>
    <row r="84" spans="1:5" ht="14.25" customHeight="1" x14ac:dyDescent="0.25">
      <c r="A84" s="11">
        <v>6</v>
      </c>
      <c r="B84" s="12">
        <v>2.7</v>
      </c>
      <c r="C84" s="12">
        <v>5.0999999999999996</v>
      </c>
      <c r="D84" s="12">
        <v>1.6</v>
      </c>
      <c r="E84" s="13" t="s">
        <v>1</v>
      </c>
    </row>
    <row r="85" spans="1:5" ht="14.25" customHeight="1" x14ac:dyDescent="0.25">
      <c r="A85" s="11">
        <v>5.4</v>
      </c>
      <c r="B85" s="12">
        <v>3</v>
      </c>
      <c r="C85" s="12">
        <v>4.5</v>
      </c>
      <c r="D85" s="12">
        <v>1.5</v>
      </c>
      <c r="E85" s="13" t="s">
        <v>1</v>
      </c>
    </row>
    <row r="86" spans="1:5" ht="14.25" customHeight="1" x14ac:dyDescent="0.25">
      <c r="A86" s="11">
        <v>6</v>
      </c>
      <c r="B86" s="12">
        <v>3.4</v>
      </c>
      <c r="C86" s="12">
        <v>4.5</v>
      </c>
      <c r="D86" s="12">
        <v>1.6</v>
      </c>
      <c r="E86" s="13" t="s">
        <v>1</v>
      </c>
    </row>
    <row r="87" spans="1:5" ht="14.25" customHeight="1" x14ac:dyDescent="0.25">
      <c r="A87" s="11">
        <v>6.7</v>
      </c>
      <c r="B87" s="12">
        <v>3.1</v>
      </c>
      <c r="C87" s="12">
        <v>4.7</v>
      </c>
      <c r="D87" s="12">
        <v>1.5</v>
      </c>
      <c r="E87" s="13" t="s">
        <v>1</v>
      </c>
    </row>
    <row r="88" spans="1:5" ht="14.25" customHeight="1" x14ac:dyDescent="0.25">
      <c r="A88" s="11">
        <v>6.3</v>
      </c>
      <c r="B88" s="12">
        <v>2.2999999999999998</v>
      </c>
      <c r="C88" s="12">
        <v>4.4000000000000004</v>
      </c>
      <c r="D88" s="12">
        <v>1.3</v>
      </c>
      <c r="E88" s="13" t="s">
        <v>1</v>
      </c>
    </row>
    <row r="89" spans="1:5" ht="14.25" customHeight="1" x14ac:dyDescent="0.25">
      <c r="A89" s="11">
        <v>5.6</v>
      </c>
      <c r="B89" s="12">
        <v>3</v>
      </c>
      <c r="C89" s="12">
        <v>4.0999999999999996</v>
      </c>
      <c r="D89" s="12">
        <v>1.3</v>
      </c>
      <c r="E89" s="13" t="s">
        <v>1</v>
      </c>
    </row>
    <row r="90" spans="1:5" ht="14.25" customHeight="1" x14ac:dyDescent="0.25">
      <c r="A90" s="11">
        <v>5.5</v>
      </c>
      <c r="B90" s="12">
        <v>2.5</v>
      </c>
      <c r="C90" s="12">
        <v>4</v>
      </c>
      <c r="D90" s="12">
        <v>1.3</v>
      </c>
      <c r="E90" s="13" t="s">
        <v>1</v>
      </c>
    </row>
    <row r="91" spans="1:5" ht="14.25" customHeight="1" x14ac:dyDescent="0.25">
      <c r="A91" s="11">
        <v>5.5</v>
      </c>
      <c r="B91" s="12">
        <v>2.6</v>
      </c>
      <c r="C91" s="12">
        <v>4.4000000000000004</v>
      </c>
      <c r="D91" s="12">
        <v>1.2</v>
      </c>
      <c r="E91" s="13" t="s">
        <v>1</v>
      </c>
    </row>
    <row r="92" spans="1:5" ht="14.25" customHeight="1" x14ac:dyDescent="0.25">
      <c r="A92" s="11">
        <v>6.1</v>
      </c>
      <c r="B92" s="12">
        <v>3</v>
      </c>
      <c r="C92" s="12">
        <v>4.5999999999999996</v>
      </c>
      <c r="D92" s="12">
        <v>1.4</v>
      </c>
      <c r="E92" s="13" t="s">
        <v>1</v>
      </c>
    </row>
    <row r="93" spans="1:5" ht="14.25" customHeight="1" x14ac:dyDescent="0.25">
      <c r="A93" s="11">
        <v>5.8</v>
      </c>
      <c r="B93" s="12">
        <v>2.6</v>
      </c>
      <c r="C93" s="12">
        <v>4</v>
      </c>
      <c r="D93" s="12">
        <v>1.2</v>
      </c>
      <c r="E93" s="13" t="s">
        <v>1</v>
      </c>
    </row>
    <row r="94" spans="1:5" ht="14.25" customHeight="1" x14ac:dyDescent="0.25">
      <c r="A94" s="11">
        <v>5</v>
      </c>
      <c r="B94" s="12">
        <v>2.2999999999999998</v>
      </c>
      <c r="C94" s="12">
        <v>3.3</v>
      </c>
      <c r="D94" s="12">
        <v>1</v>
      </c>
      <c r="E94" s="13" t="s">
        <v>1</v>
      </c>
    </row>
    <row r="95" spans="1:5" ht="14.25" customHeight="1" x14ac:dyDescent="0.25">
      <c r="A95" s="11">
        <v>5.6</v>
      </c>
      <c r="B95" s="12">
        <v>2.7</v>
      </c>
      <c r="C95" s="12">
        <v>4.2</v>
      </c>
      <c r="D95" s="12">
        <v>1.3</v>
      </c>
      <c r="E95" s="13" t="s">
        <v>1</v>
      </c>
    </row>
    <row r="96" spans="1:5" ht="14.25" customHeight="1" x14ac:dyDescent="0.25">
      <c r="A96" s="11">
        <v>5.7</v>
      </c>
      <c r="B96" s="12">
        <v>3</v>
      </c>
      <c r="C96" s="12">
        <v>4.2</v>
      </c>
      <c r="D96" s="12">
        <v>1.2</v>
      </c>
      <c r="E96" s="13" t="s">
        <v>1</v>
      </c>
    </row>
    <row r="97" spans="1:5" ht="14.25" customHeight="1" x14ac:dyDescent="0.25">
      <c r="A97" s="11">
        <v>5.7</v>
      </c>
      <c r="B97" s="12">
        <v>2.9</v>
      </c>
      <c r="C97" s="12">
        <v>4.2</v>
      </c>
      <c r="D97" s="12">
        <v>1.3</v>
      </c>
      <c r="E97" s="13" t="s">
        <v>1</v>
      </c>
    </row>
    <row r="98" spans="1:5" ht="14.25" customHeight="1" x14ac:dyDescent="0.25">
      <c r="A98" s="11">
        <v>6.2</v>
      </c>
      <c r="B98" s="12">
        <v>2.9</v>
      </c>
      <c r="C98" s="12">
        <v>4.3</v>
      </c>
      <c r="D98" s="12">
        <v>1.3</v>
      </c>
      <c r="E98" s="13" t="s">
        <v>1</v>
      </c>
    </row>
    <row r="99" spans="1:5" ht="14.25" customHeight="1" x14ac:dyDescent="0.25">
      <c r="A99" s="11">
        <v>5.0999999999999996</v>
      </c>
      <c r="B99" s="12">
        <v>2.5</v>
      </c>
      <c r="C99" s="12">
        <v>3</v>
      </c>
      <c r="D99" s="12">
        <v>1.1000000000000001</v>
      </c>
      <c r="E99" s="13" t="s">
        <v>1</v>
      </c>
    </row>
    <row r="100" spans="1:5" ht="14.25" customHeight="1" x14ac:dyDescent="0.25">
      <c r="A100" s="11">
        <v>5.7</v>
      </c>
      <c r="B100" s="12">
        <v>2.8</v>
      </c>
      <c r="C100" s="12">
        <v>4.0999999999999996</v>
      </c>
      <c r="D100" s="12">
        <v>1.3</v>
      </c>
      <c r="E100" s="13" t="s">
        <v>1</v>
      </c>
    </row>
    <row r="101" spans="1:5" ht="14.25" customHeight="1" x14ac:dyDescent="0.25">
      <c r="A101" s="14"/>
      <c r="B101" s="15"/>
      <c r="C101" s="15"/>
      <c r="D101" s="15"/>
      <c r="E101" s="16"/>
    </row>
    <row r="102" spans="1:5" ht="14.25" customHeight="1" x14ac:dyDescent="0.25">
      <c r="A102" s="14"/>
      <c r="B102" s="15"/>
      <c r="C102" s="15"/>
      <c r="D102" s="15"/>
      <c r="E102" s="16"/>
    </row>
    <row r="103" spans="1:5" ht="14.25" customHeight="1" x14ac:dyDescent="0.25">
      <c r="A103" s="14"/>
      <c r="B103" s="15"/>
      <c r="C103" s="15"/>
      <c r="D103" s="15"/>
      <c r="E103" s="16"/>
    </row>
    <row r="104" spans="1:5" ht="14.25" customHeight="1" x14ac:dyDescent="0.25">
      <c r="A104" s="14"/>
      <c r="B104" s="15"/>
      <c r="C104" s="15"/>
      <c r="D104" s="15"/>
      <c r="E104" s="16"/>
    </row>
    <row r="105" spans="1:5" ht="14.25" customHeight="1" x14ac:dyDescent="0.25">
      <c r="A105" s="14"/>
      <c r="B105" s="15"/>
      <c r="C105" s="15"/>
      <c r="D105" s="15"/>
      <c r="E105" s="16"/>
    </row>
    <row r="106" spans="1:5" ht="14.25" customHeight="1" x14ac:dyDescent="0.25">
      <c r="A106" s="14"/>
      <c r="B106" s="15"/>
      <c r="C106" s="15"/>
      <c r="D106" s="15"/>
      <c r="E106" s="16"/>
    </row>
    <row r="107" spans="1:5" ht="14.25" customHeight="1" x14ac:dyDescent="0.25">
      <c r="A107" s="14"/>
      <c r="B107" s="15"/>
      <c r="C107" s="15"/>
      <c r="D107" s="15"/>
      <c r="E107" s="16"/>
    </row>
    <row r="108" spans="1:5" ht="14.25" customHeight="1" x14ac:dyDescent="0.25">
      <c r="A108" s="14"/>
      <c r="B108" s="15"/>
      <c r="C108" s="15"/>
      <c r="D108" s="15"/>
      <c r="E108" s="16"/>
    </row>
    <row r="109" spans="1:5" ht="14.25" customHeight="1" x14ac:dyDescent="0.25">
      <c r="A109" s="14"/>
      <c r="B109" s="15"/>
      <c r="C109" s="15"/>
      <c r="D109" s="15"/>
      <c r="E109" s="16"/>
    </row>
    <row r="110" spans="1:5" ht="14.25" customHeight="1" x14ac:dyDescent="0.25">
      <c r="A110" s="14"/>
      <c r="B110" s="15"/>
      <c r="C110" s="15"/>
      <c r="D110" s="15"/>
      <c r="E110" s="16"/>
    </row>
    <row r="111" spans="1:5" ht="14.25" customHeight="1" x14ac:dyDescent="0.25">
      <c r="A111" s="14"/>
      <c r="B111" s="15"/>
      <c r="C111" s="15"/>
      <c r="D111" s="15"/>
      <c r="E111" s="16"/>
    </row>
    <row r="112" spans="1:5" ht="14.25" customHeight="1" x14ac:dyDescent="0.25">
      <c r="A112" s="14"/>
      <c r="B112" s="15"/>
      <c r="C112" s="15"/>
      <c r="D112" s="15"/>
      <c r="E112" s="16"/>
    </row>
    <row r="113" spans="1:5" ht="14.25" customHeight="1" x14ac:dyDescent="0.25">
      <c r="A113" s="14"/>
      <c r="B113" s="15"/>
      <c r="C113" s="15"/>
      <c r="D113" s="15"/>
      <c r="E113" s="16"/>
    </row>
    <row r="114" spans="1:5" ht="14.25" customHeight="1" x14ac:dyDescent="0.25">
      <c r="A114" s="14"/>
      <c r="B114" s="15"/>
      <c r="C114" s="15"/>
      <c r="D114" s="15"/>
      <c r="E114" s="16"/>
    </row>
    <row r="115" spans="1:5" ht="14.25" customHeight="1" x14ac:dyDescent="0.25">
      <c r="A115" s="14"/>
      <c r="B115" s="15"/>
      <c r="C115" s="15"/>
      <c r="D115" s="15"/>
      <c r="E115" s="16"/>
    </row>
    <row r="116" spans="1:5" ht="14.25" customHeight="1" x14ac:dyDescent="0.25">
      <c r="A116" s="14"/>
      <c r="B116" s="15"/>
      <c r="C116" s="15"/>
      <c r="D116" s="15"/>
      <c r="E116" s="16"/>
    </row>
    <row r="117" spans="1:5" ht="14.25" customHeight="1" x14ac:dyDescent="0.25">
      <c r="A117" s="14"/>
      <c r="B117" s="15"/>
      <c r="C117" s="15"/>
      <c r="D117" s="15"/>
      <c r="E117" s="16"/>
    </row>
    <row r="118" spans="1:5" ht="14.25" customHeight="1" x14ac:dyDescent="0.25">
      <c r="A118" s="14"/>
      <c r="B118" s="15"/>
      <c r="C118" s="15"/>
      <c r="D118" s="15"/>
      <c r="E118" s="16"/>
    </row>
    <row r="119" spans="1:5" ht="14.25" customHeight="1" x14ac:dyDescent="0.25">
      <c r="A119" s="14"/>
      <c r="B119" s="15"/>
      <c r="C119" s="15"/>
      <c r="D119" s="15"/>
      <c r="E119" s="16"/>
    </row>
    <row r="120" spans="1:5" ht="14.25" customHeight="1" x14ac:dyDescent="0.25">
      <c r="A120" s="14"/>
      <c r="B120" s="15"/>
      <c r="C120" s="15"/>
      <c r="D120" s="15"/>
      <c r="E120" s="16"/>
    </row>
    <row r="121" spans="1:5" ht="14.25" customHeight="1" x14ac:dyDescent="0.25">
      <c r="A121" s="14"/>
      <c r="B121" s="15"/>
      <c r="C121" s="15"/>
      <c r="D121" s="15"/>
      <c r="E121" s="16"/>
    </row>
    <row r="122" spans="1:5" ht="14.25" customHeight="1" x14ac:dyDescent="0.25">
      <c r="A122" s="14"/>
      <c r="B122" s="15"/>
      <c r="C122" s="15"/>
      <c r="D122" s="15"/>
      <c r="E122" s="16"/>
    </row>
    <row r="123" spans="1:5" ht="14.25" customHeight="1" x14ac:dyDescent="0.25">
      <c r="A123" s="14"/>
      <c r="B123" s="15"/>
      <c r="C123" s="15"/>
      <c r="D123" s="15"/>
      <c r="E123" s="16"/>
    </row>
    <row r="124" spans="1:5" ht="14.25" customHeight="1" x14ac:dyDescent="0.25">
      <c r="A124" s="14"/>
      <c r="B124" s="15"/>
      <c r="C124" s="15"/>
      <c r="D124" s="15"/>
      <c r="E124" s="16"/>
    </row>
    <row r="125" spans="1:5" ht="14.25" customHeight="1" x14ac:dyDescent="0.25">
      <c r="A125" s="14"/>
      <c r="B125" s="15"/>
      <c r="C125" s="15"/>
      <c r="D125" s="15"/>
      <c r="E125" s="16"/>
    </row>
    <row r="126" spans="1:5" ht="14.25" customHeight="1" x14ac:dyDescent="0.25">
      <c r="A126" s="14"/>
      <c r="B126" s="15"/>
      <c r="C126" s="15"/>
      <c r="D126" s="15"/>
      <c r="E126" s="16"/>
    </row>
    <row r="127" spans="1:5" ht="14.25" customHeight="1" x14ac:dyDescent="0.25">
      <c r="A127" s="14"/>
      <c r="B127" s="15"/>
      <c r="C127" s="15"/>
      <c r="D127" s="15"/>
      <c r="E127" s="16"/>
    </row>
    <row r="128" spans="1:5" ht="14.25" customHeight="1" x14ac:dyDescent="0.25">
      <c r="A128" s="14"/>
      <c r="B128" s="15"/>
      <c r="C128" s="15"/>
      <c r="D128" s="15"/>
      <c r="E128" s="16"/>
    </row>
    <row r="129" spans="1:5" ht="14.25" customHeight="1" x14ac:dyDescent="0.25">
      <c r="A129" s="14"/>
      <c r="B129" s="15"/>
      <c r="C129" s="15"/>
      <c r="D129" s="15"/>
      <c r="E129" s="16"/>
    </row>
    <row r="130" spans="1:5" ht="14.25" customHeight="1" x14ac:dyDescent="0.25">
      <c r="A130" s="14"/>
      <c r="B130" s="15"/>
      <c r="C130" s="15"/>
      <c r="D130" s="15"/>
      <c r="E130" s="16"/>
    </row>
    <row r="131" spans="1:5" ht="14.25" customHeight="1" x14ac:dyDescent="0.25">
      <c r="A131" s="14"/>
      <c r="B131" s="15"/>
      <c r="C131" s="15"/>
      <c r="D131" s="15"/>
      <c r="E131" s="16"/>
    </row>
    <row r="132" spans="1:5" ht="14.25" customHeight="1" x14ac:dyDescent="0.25">
      <c r="A132" s="14"/>
      <c r="B132" s="15"/>
      <c r="C132" s="15"/>
      <c r="D132" s="15"/>
      <c r="E132" s="16"/>
    </row>
    <row r="133" spans="1:5" ht="14.25" customHeight="1" x14ac:dyDescent="0.25">
      <c r="A133" s="14"/>
      <c r="B133" s="15"/>
      <c r="C133" s="15"/>
      <c r="D133" s="15"/>
      <c r="E133" s="16"/>
    </row>
    <row r="134" spans="1:5" ht="14.25" customHeight="1" x14ac:dyDescent="0.25">
      <c r="A134" s="14"/>
      <c r="B134" s="15"/>
      <c r="C134" s="15"/>
      <c r="D134" s="15"/>
      <c r="E134" s="16"/>
    </row>
    <row r="135" spans="1:5" ht="14.25" customHeight="1" x14ac:dyDescent="0.25">
      <c r="A135" s="14"/>
      <c r="B135" s="15"/>
      <c r="C135" s="15"/>
      <c r="D135" s="15"/>
      <c r="E135" s="16"/>
    </row>
    <row r="136" spans="1:5" ht="14.25" customHeight="1" x14ac:dyDescent="0.25">
      <c r="A136" s="14"/>
      <c r="B136" s="15"/>
      <c r="C136" s="15"/>
      <c r="D136" s="15"/>
      <c r="E136" s="16"/>
    </row>
    <row r="137" spans="1:5" ht="14.25" customHeight="1" x14ac:dyDescent="0.25">
      <c r="A137" s="14"/>
      <c r="B137" s="15"/>
      <c r="C137" s="15"/>
      <c r="D137" s="15"/>
      <c r="E137" s="16"/>
    </row>
    <row r="138" spans="1:5" ht="14.25" customHeight="1" x14ac:dyDescent="0.25">
      <c r="A138" s="14"/>
      <c r="B138" s="15"/>
      <c r="C138" s="15"/>
      <c r="D138" s="15"/>
      <c r="E138" s="16"/>
    </row>
    <row r="139" spans="1:5" ht="14.25" customHeight="1" x14ac:dyDescent="0.25">
      <c r="A139" s="14"/>
      <c r="B139" s="15"/>
      <c r="C139" s="15"/>
      <c r="D139" s="15"/>
      <c r="E139" s="16"/>
    </row>
    <row r="140" spans="1:5" ht="14.25" customHeight="1" x14ac:dyDescent="0.25">
      <c r="A140" s="14"/>
      <c r="B140" s="15"/>
      <c r="C140" s="15"/>
      <c r="D140" s="15"/>
      <c r="E140" s="16"/>
    </row>
    <row r="141" spans="1:5" ht="14.25" customHeight="1" x14ac:dyDescent="0.25">
      <c r="A141" s="14"/>
      <c r="B141" s="15"/>
      <c r="C141" s="15"/>
      <c r="D141" s="15"/>
      <c r="E141" s="16"/>
    </row>
    <row r="142" spans="1:5" ht="14.25" customHeight="1" x14ac:dyDescent="0.25">
      <c r="A142" s="14"/>
      <c r="B142" s="15"/>
      <c r="C142" s="15"/>
      <c r="D142" s="15"/>
      <c r="E142" s="16"/>
    </row>
    <row r="143" spans="1:5" ht="14.25" customHeight="1" x14ac:dyDescent="0.25">
      <c r="A143" s="14"/>
      <c r="B143" s="15"/>
      <c r="C143" s="15"/>
      <c r="D143" s="15"/>
      <c r="E143" s="16"/>
    </row>
    <row r="144" spans="1:5" ht="14.25" customHeight="1" x14ac:dyDescent="0.25">
      <c r="A144" s="14"/>
      <c r="B144" s="15"/>
      <c r="C144" s="15"/>
      <c r="D144" s="15"/>
      <c r="E144" s="16"/>
    </row>
    <row r="145" spans="1:5" ht="14.25" customHeight="1" x14ac:dyDescent="0.25">
      <c r="A145" s="14"/>
      <c r="B145" s="15"/>
      <c r="C145" s="15"/>
      <c r="D145" s="15"/>
      <c r="E145" s="16"/>
    </row>
    <row r="146" spans="1:5" ht="14.25" customHeight="1" x14ac:dyDescent="0.25">
      <c r="A146" s="14"/>
      <c r="B146" s="15"/>
      <c r="C146" s="15"/>
      <c r="D146" s="15"/>
      <c r="E146" s="16"/>
    </row>
    <row r="147" spans="1:5" ht="14.25" customHeight="1" x14ac:dyDescent="0.25">
      <c r="A147" s="14"/>
      <c r="B147" s="15"/>
      <c r="C147" s="15"/>
      <c r="D147" s="15"/>
      <c r="E147" s="16"/>
    </row>
    <row r="148" spans="1:5" ht="14.25" customHeight="1" x14ac:dyDescent="0.25">
      <c r="A148" s="14"/>
      <c r="B148" s="15"/>
      <c r="C148" s="15"/>
      <c r="D148" s="15"/>
      <c r="E148" s="16"/>
    </row>
    <row r="149" spans="1:5" ht="14.25" customHeight="1" x14ac:dyDescent="0.25">
      <c r="A149" s="14"/>
      <c r="B149" s="15"/>
      <c r="C149" s="15"/>
      <c r="D149" s="15"/>
      <c r="E149" s="16"/>
    </row>
    <row r="150" spans="1:5" ht="14.25" customHeight="1" x14ac:dyDescent="0.25">
      <c r="A150" s="14"/>
      <c r="B150" s="15"/>
      <c r="C150" s="15"/>
      <c r="D150" s="15"/>
      <c r="E150" s="16"/>
    </row>
    <row r="151" spans="1:5" ht="14.25" customHeight="1" x14ac:dyDescent="0.25">
      <c r="A151" s="15"/>
      <c r="B151" s="15"/>
      <c r="C151" s="15"/>
      <c r="D151" s="15"/>
      <c r="E151" s="16"/>
    </row>
    <row r="152" spans="1:5" ht="14.25" customHeight="1" x14ac:dyDescent="0.25">
      <c r="A152" s="15"/>
      <c r="B152" s="15"/>
      <c r="C152" s="15"/>
      <c r="D152" s="15"/>
      <c r="E152" s="16"/>
    </row>
    <row r="153" spans="1:5" ht="14.25" customHeight="1" x14ac:dyDescent="0.25">
      <c r="A153" s="15"/>
      <c r="B153" s="15"/>
      <c r="C153" s="15"/>
      <c r="D153" s="15"/>
      <c r="E153" s="16"/>
    </row>
    <row r="154" spans="1:5" ht="14.25" customHeight="1" x14ac:dyDescent="0.25">
      <c r="A154" s="15"/>
      <c r="B154" s="15"/>
      <c r="C154" s="15"/>
      <c r="D154" s="15"/>
      <c r="E154" s="16"/>
    </row>
    <row r="155" spans="1:5" ht="14.25" customHeight="1" x14ac:dyDescent="0.25">
      <c r="A155" s="15"/>
      <c r="B155" s="15"/>
      <c r="C155" s="15"/>
      <c r="D155" s="15"/>
      <c r="E155" s="16"/>
    </row>
    <row r="156" spans="1:5" ht="14.25" customHeight="1" x14ac:dyDescent="0.25">
      <c r="A156" s="15"/>
      <c r="B156" s="15"/>
      <c r="C156" s="15"/>
      <c r="D156" s="15"/>
      <c r="E156" s="16"/>
    </row>
    <row r="157" spans="1:5" ht="14.25" customHeight="1" x14ac:dyDescent="0.25">
      <c r="A157" s="15"/>
      <c r="B157" s="15"/>
      <c r="C157" s="15"/>
      <c r="D157" s="15"/>
      <c r="E157" s="16"/>
    </row>
    <row r="158" spans="1:5" ht="14.25" customHeight="1" x14ac:dyDescent="0.25">
      <c r="A158" s="15"/>
      <c r="B158" s="15"/>
      <c r="C158" s="15"/>
      <c r="D158" s="15"/>
      <c r="E158" s="16"/>
    </row>
    <row r="159" spans="1:5" ht="14.25" customHeight="1" x14ac:dyDescent="0.25">
      <c r="A159" s="15"/>
      <c r="B159" s="15"/>
      <c r="C159" s="15"/>
      <c r="D159" s="15"/>
      <c r="E159" s="16"/>
    </row>
    <row r="160" spans="1:5" ht="14.25" customHeight="1" x14ac:dyDescent="0.25">
      <c r="A160" s="15"/>
      <c r="B160" s="15"/>
      <c r="C160" s="15"/>
      <c r="D160" s="15"/>
      <c r="E160" s="16"/>
    </row>
    <row r="161" spans="1:5" ht="14.25" customHeight="1" x14ac:dyDescent="0.25">
      <c r="A161" s="15"/>
      <c r="B161" s="15"/>
      <c r="C161" s="15"/>
      <c r="D161" s="15"/>
      <c r="E161" s="16"/>
    </row>
    <row r="162" spans="1:5" ht="14.25" customHeight="1" x14ac:dyDescent="0.25">
      <c r="A162" s="15"/>
      <c r="B162" s="15"/>
      <c r="C162" s="15"/>
      <c r="D162" s="15"/>
      <c r="E162" s="16"/>
    </row>
    <row r="163" spans="1:5" ht="14.25" customHeight="1" x14ac:dyDescent="0.25">
      <c r="A163" s="15"/>
      <c r="B163" s="15"/>
      <c r="C163" s="15"/>
      <c r="D163" s="15"/>
      <c r="E163" s="16"/>
    </row>
    <row r="164" spans="1:5" ht="14.25" customHeight="1" x14ac:dyDescent="0.25">
      <c r="A164" s="15"/>
      <c r="B164" s="15"/>
      <c r="C164" s="15"/>
      <c r="D164" s="15"/>
      <c r="E164" s="16"/>
    </row>
    <row r="165" spans="1:5" ht="14.25" customHeight="1" x14ac:dyDescent="0.25">
      <c r="A165" s="15"/>
      <c r="B165" s="15"/>
      <c r="C165" s="15"/>
      <c r="D165" s="15"/>
      <c r="E165" s="16"/>
    </row>
    <row r="166" spans="1:5" ht="14.25" customHeight="1" x14ac:dyDescent="0.25">
      <c r="A166" s="15"/>
      <c r="B166" s="15"/>
      <c r="C166" s="15"/>
      <c r="D166" s="15"/>
      <c r="E166" s="16"/>
    </row>
    <row r="167" spans="1:5" ht="14.25" customHeight="1" x14ac:dyDescent="0.25">
      <c r="A167" s="15"/>
      <c r="B167" s="15"/>
      <c r="C167" s="15"/>
      <c r="D167" s="15"/>
      <c r="E167" s="16"/>
    </row>
    <row r="168" spans="1:5" ht="14.25" customHeight="1" x14ac:dyDescent="0.25">
      <c r="A168" s="15"/>
      <c r="B168" s="15"/>
      <c r="C168" s="15"/>
      <c r="D168" s="15"/>
      <c r="E168" s="16"/>
    </row>
    <row r="169" spans="1:5" ht="14.25" customHeight="1" x14ac:dyDescent="0.25">
      <c r="A169" s="15"/>
      <c r="B169" s="15"/>
      <c r="C169" s="15"/>
      <c r="D169" s="15"/>
      <c r="E169" s="16"/>
    </row>
    <row r="170" spans="1:5" ht="14.25" customHeight="1" x14ac:dyDescent="0.25">
      <c r="A170" s="15"/>
      <c r="B170" s="15"/>
      <c r="C170" s="15"/>
      <c r="D170" s="15"/>
      <c r="E170" s="16"/>
    </row>
    <row r="171" spans="1:5" ht="14.25" customHeight="1" x14ac:dyDescent="0.25">
      <c r="A171" s="15"/>
      <c r="B171" s="15"/>
      <c r="C171" s="15"/>
      <c r="D171" s="15"/>
      <c r="E171" s="16"/>
    </row>
    <row r="172" spans="1:5" ht="14.25" customHeight="1" x14ac:dyDescent="0.25">
      <c r="A172" s="15"/>
      <c r="B172" s="15"/>
      <c r="C172" s="15"/>
      <c r="D172" s="15"/>
      <c r="E172" s="16"/>
    </row>
    <row r="173" spans="1:5" ht="14.25" customHeight="1" x14ac:dyDescent="0.25">
      <c r="A173" s="15"/>
      <c r="B173" s="15"/>
      <c r="C173" s="15"/>
      <c r="D173" s="15"/>
      <c r="E173" s="16"/>
    </row>
    <row r="174" spans="1:5" ht="14.25" customHeight="1" x14ac:dyDescent="0.25">
      <c r="A174" s="15"/>
      <c r="B174" s="15"/>
      <c r="C174" s="15"/>
      <c r="D174" s="15"/>
      <c r="E174" s="16"/>
    </row>
    <row r="175" spans="1:5" ht="14.25" customHeight="1" x14ac:dyDescent="0.25">
      <c r="A175" s="15"/>
      <c r="B175" s="15"/>
      <c r="C175" s="15"/>
      <c r="D175" s="15"/>
      <c r="E175" s="16"/>
    </row>
    <row r="176" spans="1:5" ht="14.25" customHeight="1" x14ac:dyDescent="0.25">
      <c r="A176" s="15"/>
      <c r="B176" s="15"/>
      <c r="C176" s="15"/>
      <c r="D176" s="15"/>
      <c r="E176" s="16"/>
    </row>
    <row r="177" spans="1:5" ht="14.25" customHeight="1" x14ac:dyDescent="0.25">
      <c r="A177" s="15"/>
      <c r="B177" s="15"/>
      <c r="C177" s="15"/>
      <c r="D177" s="15"/>
      <c r="E177" s="16"/>
    </row>
    <row r="178" spans="1:5" ht="14.25" customHeight="1" x14ac:dyDescent="0.25">
      <c r="A178" s="15"/>
      <c r="B178" s="15"/>
      <c r="C178" s="15"/>
      <c r="D178" s="15"/>
      <c r="E178" s="16"/>
    </row>
    <row r="179" spans="1:5" ht="14.25" customHeight="1" x14ac:dyDescent="0.25">
      <c r="A179" s="15"/>
      <c r="B179" s="15"/>
      <c r="C179" s="15"/>
      <c r="D179" s="15"/>
      <c r="E179" s="16"/>
    </row>
    <row r="180" spans="1:5" ht="14.25" customHeight="1" x14ac:dyDescent="0.25">
      <c r="A180" s="15"/>
      <c r="B180" s="15"/>
      <c r="C180" s="15"/>
      <c r="D180" s="15"/>
      <c r="E180" s="16"/>
    </row>
    <row r="181" spans="1:5" ht="14.25" customHeight="1" x14ac:dyDescent="0.25">
      <c r="A181" s="15"/>
      <c r="B181" s="15"/>
      <c r="C181" s="15"/>
      <c r="D181" s="15"/>
      <c r="E181" s="16"/>
    </row>
    <row r="182" spans="1:5" ht="14.25" customHeight="1" x14ac:dyDescent="0.25">
      <c r="A182" s="15"/>
      <c r="B182" s="15"/>
      <c r="C182" s="15"/>
      <c r="D182" s="15"/>
      <c r="E182" s="16"/>
    </row>
    <row r="183" spans="1:5" ht="14.25" customHeight="1" x14ac:dyDescent="0.25">
      <c r="A183" s="15"/>
      <c r="B183" s="15"/>
      <c r="C183" s="15"/>
      <c r="D183" s="15"/>
      <c r="E183" s="16"/>
    </row>
    <row r="184" spans="1:5" ht="14.25" customHeight="1" x14ac:dyDescent="0.25">
      <c r="A184" s="15"/>
      <c r="B184" s="15"/>
      <c r="C184" s="15"/>
      <c r="D184" s="15"/>
      <c r="E184" s="16"/>
    </row>
    <row r="185" spans="1:5" ht="14.25" customHeight="1" x14ac:dyDescent="0.25">
      <c r="A185" s="15"/>
      <c r="B185" s="15"/>
      <c r="C185" s="15"/>
      <c r="D185" s="15"/>
      <c r="E185" s="16"/>
    </row>
    <row r="186" spans="1:5" ht="14.25" customHeight="1" x14ac:dyDescent="0.25">
      <c r="A186" s="15"/>
      <c r="B186" s="15"/>
      <c r="C186" s="15"/>
      <c r="D186" s="15"/>
      <c r="E186" s="16"/>
    </row>
    <row r="187" spans="1:5" ht="14.25" customHeight="1" x14ac:dyDescent="0.25">
      <c r="A187" s="15"/>
      <c r="B187" s="15"/>
      <c r="C187" s="15"/>
      <c r="D187" s="15"/>
      <c r="E187" s="16"/>
    </row>
    <row r="188" spans="1:5" ht="14.25" customHeight="1" x14ac:dyDescent="0.25">
      <c r="A188" s="15"/>
      <c r="B188" s="15"/>
      <c r="C188" s="15"/>
      <c r="D188" s="15"/>
      <c r="E188" s="16"/>
    </row>
    <row r="189" spans="1:5" ht="14.25" customHeight="1" x14ac:dyDescent="0.25">
      <c r="A189" s="15"/>
      <c r="B189" s="15"/>
      <c r="C189" s="15"/>
      <c r="D189" s="15"/>
      <c r="E189" s="16"/>
    </row>
    <row r="190" spans="1:5" ht="14.25" customHeight="1" x14ac:dyDescent="0.25">
      <c r="A190" s="15"/>
      <c r="B190" s="15"/>
      <c r="C190" s="15"/>
      <c r="D190" s="15"/>
      <c r="E190" s="16"/>
    </row>
    <row r="191" spans="1:5" ht="14.25" customHeight="1" x14ac:dyDescent="0.25">
      <c r="A191" s="15"/>
      <c r="B191" s="15"/>
      <c r="C191" s="15"/>
      <c r="D191" s="15"/>
      <c r="E191" s="16"/>
    </row>
    <row r="192" spans="1:5" ht="14.25" customHeight="1" x14ac:dyDescent="0.25">
      <c r="A192" s="15"/>
      <c r="B192" s="15"/>
      <c r="C192" s="15"/>
      <c r="D192" s="15"/>
      <c r="E192" s="16"/>
    </row>
    <row r="193" spans="1:5" ht="14.25" customHeight="1" x14ac:dyDescent="0.25">
      <c r="A193" s="15"/>
      <c r="B193" s="15"/>
      <c r="C193" s="15"/>
      <c r="D193" s="15"/>
      <c r="E193" s="16"/>
    </row>
    <row r="194" spans="1:5" ht="14.25" customHeight="1" x14ac:dyDescent="0.25">
      <c r="A194" s="15"/>
      <c r="B194" s="15"/>
      <c r="C194" s="15"/>
      <c r="D194" s="15"/>
      <c r="E194" s="16"/>
    </row>
    <row r="195" spans="1:5" ht="14.25" customHeight="1" x14ac:dyDescent="0.25">
      <c r="A195" s="15"/>
      <c r="B195" s="15"/>
      <c r="C195" s="15"/>
      <c r="D195" s="15"/>
      <c r="E195" s="16"/>
    </row>
    <row r="196" spans="1:5" ht="14.25" customHeight="1" x14ac:dyDescent="0.25">
      <c r="A196" s="15"/>
      <c r="B196" s="15"/>
      <c r="C196" s="15"/>
      <c r="D196" s="15"/>
      <c r="E196" s="16"/>
    </row>
    <row r="197" spans="1:5" ht="14.25" customHeight="1" x14ac:dyDescent="0.25">
      <c r="A197" s="15"/>
      <c r="B197" s="15"/>
      <c r="C197" s="15"/>
      <c r="D197" s="15"/>
      <c r="E197" s="16"/>
    </row>
    <row r="198" spans="1:5" ht="14.25" customHeight="1" x14ac:dyDescent="0.25">
      <c r="A198" s="15"/>
      <c r="B198" s="15"/>
      <c r="C198" s="15"/>
      <c r="D198" s="15"/>
      <c r="E198" s="16"/>
    </row>
    <row r="199" spans="1:5" ht="14.25" customHeight="1" x14ac:dyDescent="0.25">
      <c r="A199" s="15"/>
      <c r="B199" s="15"/>
      <c r="C199" s="15"/>
      <c r="D199" s="15"/>
      <c r="E199" s="16"/>
    </row>
    <row r="200" spans="1:5" ht="14.25" customHeight="1" x14ac:dyDescent="0.25">
      <c r="A200" s="15"/>
      <c r="B200" s="15"/>
      <c r="C200" s="15"/>
      <c r="D200" s="15"/>
      <c r="E200" s="16"/>
    </row>
    <row r="201" spans="1:5" ht="14.25" customHeight="1" x14ac:dyDescent="0.25">
      <c r="A201" s="15"/>
      <c r="B201" s="15"/>
      <c r="C201" s="15"/>
      <c r="D201" s="15"/>
      <c r="E201" s="16"/>
    </row>
    <row r="202" spans="1:5" ht="14.25" customHeight="1" x14ac:dyDescent="0.25">
      <c r="A202" s="15"/>
      <c r="B202" s="15"/>
      <c r="C202" s="15"/>
      <c r="D202" s="15"/>
      <c r="E202" s="16"/>
    </row>
    <row r="203" spans="1:5" ht="14.25" customHeight="1" x14ac:dyDescent="0.25">
      <c r="A203" s="15"/>
      <c r="B203" s="15"/>
      <c r="C203" s="15"/>
      <c r="D203" s="15"/>
      <c r="E203" s="16"/>
    </row>
    <row r="204" spans="1:5" ht="14.25" customHeight="1" x14ac:dyDescent="0.25">
      <c r="A204" s="15"/>
      <c r="B204" s="15"/>
      <c r="C204" s="15"/>
      <c r="D204" s="15"/>
      <c r="E204" s="16"/>
    </row>
    <row r="205" spans="1:5" ht="14.25" customHeight="1" x14ac:dyDescent="0.25">
      <c r="A205" s="15"/>
      <c r="B205" s="15"/>
      <c r="C205" s="15"/>
      <c r="D205" s="15"/>
      <c r="E205" s="16"/>
    </row>
    <row r="206" spans="1:5" ht="14.25" customHeight="1" x14ac:dyDescent="0.25">
      <c r="A206" s="15"/>
      <c r="B206" s="15"/>
      <c r="C206" s="15"/>
      <c r="D206" s="15"/>
      <c r="E206" s="16"/>
    </row>
    <row r="207" spans="1:5" ht="14.25" customHeight="1" x14ac:dyDescent="0.25">
      <c r="A207" s="15"/>
      <c r="B207" s="15"/>
      <c r="C207" s="15"/>
      <c r="D207" s="15"/>
      <c r="E207" s="16"/>
    </row>
    <row r="208" spans="1:5" ht="14.25" customHeight="1" x14ac:dyDescent="0.25">
      <c r="A208" s="15"/>
      <c r="B208" s="15"/>
      <c r="C208" s="15"/>
      <c r="D208" s="15"/>
      <c r="E208" s="16"/>
    </row>
    <row r="209" spans="1:5" ht="14.25" customHeight="1" x14ac:dyDescent="0.25">
      <c r="A209" s="15"/>
      <c r="B209" s="15"/>
      <c r="C209" s="15"/>
      <c r="D209" s="15"/>
      <c r="E209" s="16"/>
    </row>
    <row r="210" spans="1:5" ht="14.25" customHeight="1" x14ac:dyDescent="0.25">
      <c r="A210" s="15"/>
      <c r="B210" s="15"/>
      <c r="C210" s="15"/>
      <c r="D210" s="15"/>
      <c r="E210" s="16"/>
    </row>
    <row r="211" spans="1:5" ht="14.25" customHeight="1" x14ac:dyDescent="0.25">
      <c r="A211" s="15"/>
      <c r="B211" s="15"/>
      <c r="C211" s="15"/>
      <c r="D211" s="15"/>
      <c r="E211" s="16"/>
    </row>
    <row r="212" spans="1:5" ht="14.25" customHeight="1" x14ac:dyDescent="0.25">
      <c r="A212" s="15"/>
      <c r="B212" s="15"/>
      <c r="C212" s="15"/>
      <c r="D212" s="15"/>
      <c r="E212" s="16"/>
    </row>
    <row r="213" spans="1:5" ht="14.25" customHeight="1" x14ac:dyDescent="0.25">
      <c r="A213" s="15"/>
      <c r="B213" s="15"/>
      <c r="C213" s="15"/>
      <c r="D213" s="15"/>
      <c r="E213" s="16"/>
    </row>
    <row r="214" spans="1:5" ht="14.25" customHeight="1" x14ac:dyDescent="0.25">
      <c r="A214" s="15"/>
      <c r="B214" s="15"/>
      <c r="C214" s="15"/>
      <c r="D214" s="15"/>
      <c r="E214" s="16"/>
    </row>
    <row r="215" spans="1:5" ht="14.25" customHeight="1" x14ac:dyDescent="0.25">
      <c r="A215" s="15"/>
      <c r="B215" s="15"/>
      <c r="C215" s="15"/>
      <c r="D215" s="15"/>
      <c r="E215" s="16"/>
    </row>
    <row r="216" spans="1:5" ht="14.25" customHeight="1" x14ac:dyDescent="0.25">
      <c r="A216" s="15"/>
      <c r="B216" s="15"/>
      <c r="C216" s="15"/>
      <c r="D216" s="15"/>
      <c r="E216" s="16"/>
    </row>
    <row r="217" spans="1:5" ht="14.25" customHeight="1" x14ac:dyDescent="0.25">
      <c r="A217" s="15"/>
      <c r="B217" s="15"/>
      <c r="C217" s="15"/>
      <c r="D217" s="15"/>
      <c r="E217" s="16"/>
    </row>
    <row r="218" spans="1:5" ht="14.25" customHeight="1" x14ac:dyDescent="0.25">
      <c r="A218" s="15"/>
      <c r="B218" s="15"/>
      <c r="C218" s="15"/>
      <c r="D218" s="15"/>
      <c r="E218" s="16"/>
    </row>
    <row r="219" spans="1:5" ht="14.25" customHeight="1" x14ac:dyDescent="0.25">
      <c r="A219" s="15"/>
      <c r="B219" s="15"/>
      <c r="C219" s="15"/>
      <c r="D219" s="15"/>
      <c r="E219" s="16"/>
    </row>
    <row r="220" spans="1:5" ht="14.25" customHeight="1" x14ac:dyDescent="0.25">
      <c r="A220" s="15"/>
      <c r="B220" s="15"/>
      <c r="C220" s="15"/>
      <c r="D220" s="15"/>
      <c r="E220" s="16"/>
    </row>
    <row r="221" spans="1:5" ht="14.25" customHeight="1" x14ac:dyDescent="0.25">
      <c r="A221" s="15"/>
      <c r="B221" s="15"/>
      <c r="C221" s="15"/>
      <c r="D221" s="15"/>
      <c r="E221" s="16"/>
    </row>
    <row r="222" spans="1:5" ht="14.25" customHeight="1" x14ac:dyDescent="0.25">
      <c r="A222" s="15"/>
      <c r="B222" s="15"/>
      <c r="C222" s="15"/>
      <c r="D222" s="15"/>
      <c r="E222" s="16"/>
    </row>
    <row r="223" spans="1:5" ht="14.25" customHeight="1" x14ac:dyDescent="0.25">
      <c r="A223" s="15"/>
      <c r="B223" s="15"/>
      <c r="C223" s="15"/>
      <c r="D223" s="15"/>
      <c r="E223" s="16"/>
    </row>
    <row r="224" spans="1:5" ht="14.25" customHeight="1" x14ac:dyDescent="0.25">
      <c r="A224" s="15"/>
      <c r="B224" s="15"/>
      <c r="C224" s="15"/>
      <c r="D224" s="15"/>
      <c r="E224" s="16"/>
    </row>
    <row r="225" spans="1:5" ht="14.25" customHeight="1" x14ac:dyDescent="0.25">
      <c r="A225" s="15"/>
      <c r="B225" s="15"/>
      <c r="C225" s="15"/>
      <c r="D225" s="15"/>
      <c r="E225" s="16"/>
    </row>
    <row r="226" spans="1:5" ht="14.25" customHeight="1" x14ac:dyDescent="0.25">
      <c r="A226" s="15"/>
      <c r="B226" s="15"/>
      <c r="C226" s="15"/>
      <c r="D226" s="15"/>
      <c r="E226" s="16"/>
    </row>
    <row r="227" spans="1:5" ht="14.25" customHeight="1" x14ac:dyDescent="0.25">
      <c r="A227" s="15"/>
      <c r="B227" s="15"/>
      <c r="C227" s="15"/>
      <c r="D227" s="15"/>
      <c r="E227" s="16"/>
    </row>
    <row r="228" spans="1:5" ht="14.25" customHeight="1" x14ac:dyDescent="0.25">
      <c r="A228" s="15"/>
      <c r="B228" s="15"/>
      <c r="C228" s="15"/>
      <c r="D228" s="15"/>
      <c r="E228" s="16"/>
    </row>
    <row r="229" spans="1:5" ht="14.25" customHeight="1" x14ac:dyDescent="0.25">
      <c r="A229" s="15"/>
      <c r="B229" s="15"/>
      <c r="C229" s="15"/>
      <c r="D229" s="15"/>
      <c r="E229" s="16"/>
    </row>
    <row r="230" spans="1:5" ht="14.25" customHeight="1" x14ac:dyDescent="0.25">
      <c r="A230" s="15"/>
      <c r="B230" s="15"/>
      <c r="C230" s="15"/>
      <c r="D230" s="15"/>
      <c r="E230" s="16"/>
    </row>
    <row r="231" spans="1:5" ht="14.25" customHeight="1" x14ac:dyDescent="0.25">
      <c r="A231" s="15"/>
      <c r="B231" s="15"/>
      <c r="C231" s="15"/>
      <c r="D231" s="15"/>
      <c r="E231" s="16"/>
    </row>
    <row r="232" spans="1:5" ht="14.25" customHeight="1" x14ac:dyDescent="0.25">
      <c r="A232" s="15"/>
      <c r="B232" s="15"/>
      <c r="C232" s="15"/>
      <c r="D232" s="15"/>
      <c r="E232" s="16"/>
    </row>
    <row r="233" spans="1:5" ht="14.25" customHeight="1" x14ac:dyDescent="0.25">
      <c r="A233" s="15"/>
      <c r="B233" s="15"/>
      <c r="C233" s="15"/>
      <c r="D233" s="15"/>
      <c r="E233" s="16"/>
    </row>
    <row r="234" spans="1:5" ht="14.25" customHeight="1" x14ac:dyDescent="0.25">
      <c r="A234" s="15"/>
      <c r="B234" s="15"/>
      <c r="C234" s="15"/>
      <c r="D234" s="15"/>
      <c r="E234" s="16"/>
    </row>
    <row r="235" spans="1:5" ht="14.25" customHeight="1" x14ac:dyDescent="0.25">
      <c r="A235" s="15"/>
      <c r="B235" s="15"/>
      <c r="C235" s="15"/>
      <c r="D235" s="15"/>
      <c r="E235" s="16"/>
    </row>
    <row r="236" spans="1:5" ht="14.25" customHeight="1" x14ac:dyDescent="0.25">
      <c r="A236" s="15"/>
      <c r="B236" s="15"/>
      <c r="C236" s="15"/>
      <c r="D236" s="15"/>
      <c r="E236" s="16"/>
    </row>
    <row r="237" spans="1:5" ht="14.25" customHeight="1" x14ac:dyDescent="0.25">
      <c r="A237" s="15"/>
      <c r="B237" s="15"/>
      <c r="C237" s="15"/>
      <c r="D237" s="15"/>
      <c r="E237" s="16"/>
    </row>
    <row r="238" spans="1:5" ht="14.25" customHeight="1" x14ac:dyDescent="0.25">
      <c r="A238" s="15"/>
      <c r="B238" s="15"/>
      <c r="C238" s="15"/>
      <c r="D238" s="15"/>
      <c r="E238" s="16"/>
    </row>
    <row r="239" spans="1:5" ht="14.25" customHeight="1" x14ac:dyDescent="0.25">
      <c r="A239" s="15"/>
      <c r="B239" s="15"/>
      <c r="C239" s="15"/>
      <c r="D239" s="15"/>
      <c r="E239" s="16"/>
    </row>
    <row r="240" spans="1:5" ht="14.25" customHeight="1" x14ac:dyDescent="0.25">
      <c r="A240" s="15"/>
      <c r="B240" s="15"/>
      <c r="C240" s="15"/>
      <c r="D240" s="15"/>
      <c r="E240" s="16"/>
    </row>
    <row r="241" spans="1:5" ht="14.25" customHeight="1" x14ac:dyDescent="0.25">
      <c r="A241" s="15"/>
      <c r="B241" s="15"/>
      <c r="C241" s="15"/>
      <c r="D241" s="15"/>
      <c r="E241" s="16"/>
    </row>
    <row r="242" spans="1:5" ht="14.25" customHeight="1" x14ac:dyDescent="0.25">
      <c r="A242" s="15"/>
      <c r="B242" s="15"/>
      <c r="C242" s="15"/>
      <c r="D242" s="15"/>
      <c r="E242" s="16"/>
    </row>
    <row r="243" spans="1:5" ht="14.25" customHeight="1" x14ac:dyDescent="0.25">
      <c r="A243" s="15"/>
      <c r="B243" s="15"/>
      <c r="C243" s="15"/>
      <c r="D243" s="15"/>
      <c r="E243" s="16"/>
    </row>
    <row r="244" spans="1:5" ht="14.25" customHeight="1" x14ac:dyDescent="0.25">
      <c r="A244" s="15"/>
      <c r="B244" s="15"/>
      <c r="C244" s="15"/>
      <c r="D244" s="15"/>
      <c r="E244" s="16"/>
    </row>
    <row r="245" spans="1:5" ht="14.25" customHeight="1" x14ac:dyDescent="0.25">
      <c r="A245" s="15"/>
      <c r="B245" s="15"/>
      <c r="C245" s="15"/>
      <c r="D245" s="15"/>
      <c r="E245" s="16"/>
    </row>
    <row r="246" spans="1:5" ht="14.25" customHeight="1" x14ac:dyDescent="0.25">
      <c r="A246" s="15"/>
      <c r="B246" s="15"/>
      <c r="C246" s="15"/>
      <c r="D246" s="15"/>
      <c r="E246" s="16"/>
    </row>
    <row r="247" spans="1:5" ht="14.25" customHeight="1" x14ac:dyDescent="0.25">
      <c r="A247" s="15"/>
      <c r="B247" s="15"/>
      <c r="C247" s="15"/>
      <c r="D247" s="15"/>
      <c r="E247" s="16"/>
    </row>
    <row r="248" spans="1:5" ht="14.25" customHeight="1" x14ac:dyDescent="0.25">
      <c r="A248" s="15"/>
      <c r="B248" s="15"/>
      <c r="C248" s="15"/>
      <c r="D248" s="15"/>
      <c r="E248" s="16"/>
    </row>
    <row r="249" spans="1:5" ht="14.25" customHeight="1" x14ac:dyDescent="0.25">
      <c r="A249" s="15"/>
      <c r="B249" s="15"/>
      <c r="C249" s="15"/>
      <c r="D249" s="15"/>
      <c r="E249" s="16"/>
    </row>
    <row r="250" spans="1:5" ht="14.25" customHeight="1" x14ac:dyDescent="0.25">
      <c r="A250" s="15"/>
      <c r="B250" s="15"/>
      <c r="C250" s="15"/>
      <c r="D250" s="15"/>
      <c r="E250" s="16"/>
    </row>
    <row r="251" spans="1:5" ht="14.25" customHeight="1" x14ac:dyDescent="0.25">
      <c r="A251" s="15"/>
      <c r="B251" s="15"/>
      <c r="C251" s="15"/>
      <c r="D251" s="15"/>
      <c r="E251" s="16"/>
    </row>
    <row r="252" spans="1:5" ht="14.25" customHeight="1" x14ac:dyDescent="0.25">
      <c r="A252" s="15"/>
      <c r="B252" s="15"/>
      <c r="C252" s="15"/>
      <c r="D252" s="15"/>
      <c r="E252" s="16"/>
    </row>
    <row r="253" spans="1:5" ht="14.25" customHeight="1" x14ac:dyDescent="0.25">
      <c r="A253" s="15"/>
      <c r="B253" s="15"/>
      <c r="C253" s="15"/>
      <c r="D253" s="15"/>
      <c r="E253" s="16"/>
    </row>
    <row r="254" spans="1:5" ht="14.25" customHeight="1" x14ac:dyDescent="0.25">
      <c r="A254" s="15"/>
      <c r="B254" s="15"/>
      <c r="C254" s="15"/>
      <c r="D254" s="15"/>
      <c r="E254" s="16"/>
    </row>
    <row r="255" spans="1:5" ht="14.25" customHeight="1" x14ac:dyDescent="0.25">
      <c r="A255" s="15"/>
      <c r="B255" s="15"/>
      <c r="C255" s="15"/>
      <c r="D255" s="15"/>
      <c r="E255" s="16"/>
    </row>
    <row r="256" spans="1:5" ht="14.25" customHeight="1" x14ac:dyDescent="0.25">
      <c r="A256" s="15"/>
      <c r="B256" s="15"/>
      <c r="C256" s="15"/>
      <c r="D256" s="15"/>
      <c r="E256" s="16"/>
    </row>
    <row r="257" spans="1:5" ht="14.25" customHeight="1" x14ac:dyDescent="0.25">
      <c r="A257" s="15"/>
      <c r="B257" s="15"/>
      <c r="C257" s="15"/>
      <c r="D257" s="15"/>
      <c r="E257" s="16"/>
    </row>
    <row r="258" spans="1:5" ht="14.25" customHeight="1" x14ac:dyDescent="0.25">
      <c r="A258" s="15"/>
      <c r="B258" s="15"/>
      <c r="C258" s="15"/>
      <c r="D258" s="15"/>
      <c r="E258" s="16"/>
    </row>
    <row r="259" spans="1:5" ht="14.25" customHeight="1" x14ac:dyDescent="0.25">
      <c r="A259" s="15"/>
      <c r="B259" s="15"/>
      <c r="C259" s="15"/>
      <c r="D259" s="15"/>
      <c r="E259" s="16"/>
    </row>
    <row r="260" spans="1:5" ht="14.25" customHeight="1" x14ac:dyDescent="0.25">
      <c r="A260" s="15"/>
      <c r="B260" s="15"/>
      <c r="C260" s="15"/>
      <c r="D260" s="15"/>
      <c r="E260" s="16"/>
    </row>
    <row r="261" spans="1:5" ht="14.25" customHeight="1" x14ac:dyDescent="0.25">
      <c r="A261" s="15"/>
      <c r="B261" s="15"/>
      <c r="C261" s="15"/>
      <c r="D261" s="15"/>
      <c r="E261" s="16"/>
    </row>
    <row r="262" spans="1:5" ht="14.25" customHeight="1" x14ac:dyDescent="0.25">
      <c r="A262" s="15"/>
      <c r="B262" s="15"/>
      <c r="C262" s="15"/>
      <c r="D262" s="15"/>
      <c r="E262" s="16"/>
    </row>
    <row r="263" spans="1:5" ht="14.25" customHeight="1" x14ac:dyDescent="0.25">
      <c r="A263" s="15"/>
      <c r="B263" s="15"/>
      <c r="C263" s="15"/>
      <c r="D263" s="15"/>
      <c r="E263" s="16"/>
    </row>
    <row r="264" spans="1:5" ht="14.25" customHeight="1" x14ac:dyDescent="0.25">
      <c r="A264" s="15"/>
      <c r="B264" s="15"/>
      <c r="C264" s="15"/>
      <c r="D264" s="15"/>
      <c r="E264" s="16"/>
    </row>
    <row r="265" spans="1:5" ht="14.25" customHeight="1" x14ac:dyDescent="0.25">
      <c r="A265" s="15"/>
      <c r="B265" s="15"/>
      <c r="C265" s="15"/>
      <c r="D265" s="15"/>
      <c r="E265" s="16"/>
    </row>
    <row r="266" spans="1:5" ht="14.25" customHeight="1" x14ac:dyDescent="0.25">
      <c r="A266" s="15"/>
      <c r="B266" s="15"/>
      <c r="C266" s="15"/>
      <c r="D266" s="15"/>
      <c r="E266" s="16"/>
    </row>
    <row r="267" spans="1:5" ht="14.25" customHeight="1" x14ac:dyDescent="0.25">
      <c r="A267" s="15"/>
      <c r="B267" s="15"/>
      <c r="C267" s="15"/>
      <c r="D267" s="15"/>
      <c r="E267" s="16"/>
    </row>
    <row r="268" spans="1:5" ht="14.25" customHeight="1" x14ac:dyDescent="0.25">
      <c r="A268" s="15"/>
      <c r="B268" s="15"/>
      <c r="C268" s="15"/>
      <c r="D268" s="15"/>
      <c r="E268" s="16"/>
    </row>
    <row r="269" spans="1:5" ht="14.25" customHeight="1" x14ac:dyDescent="0.25">
      <c r="A269" s="15"/>
      <c r="B269" s="15"/>
      <c r="C269" s="15"/>
      <c r="D269" s="15"/>
      <c r="E269" s="16"/>
    </row>
    <row r="270" spans="1:5" ht="14.25" customHeight="1" x14ac:dyDescent="0.25">
      <c r="A270" s="15"/>
      <c r="B270" s="15"/>
      <c r="C270" s="15"/>
      <c r="D270" s="15"/>
      <c r="E270" s="16"/>
    </row>
    <row r="271" spans="1:5" ht="14.25" customHeight="1" x14ac:dyDescent="0.25">
      <c r="A271" s="15"/>
      <c r="B271" s="15"/>
      <c r="C271" s="15"/>
      <c r="D271" s="15"/>
      <c r="E271" s="16"/>
    </row>
    <row r="272" spans="1:5" ht="14.25" customHeight="1" x14ac:dyDescent="0.25">
      <c r="A272" s="15"/>
      <c r="B272" s="15"/>
      <c r="C272" s="15"/>
      <c r="D272" s="15"/>
      <c r="E272" s="16"/>
    </row>
    <row r="273" spans="1:5" ht="14.25" customHeight="1" x14ac:dyDescent="0.25">
      <c r="A273" s="15"/>
      <c r="B273" s="15"/>
      <c r="C273" s="15"/>
      <c r="D273" s="15"/>
      <c r="E273" s="16"/>
    </row>
    <row r="274" spans="1:5" ht="14.25" customHeight="1" x14ac:dyDescent="0.25">
      <c r="A274" s="15"/>
      <c r="B274" s="15"/>
      <c r="C274" s="15"/>
      <c r="D274" s="15"/>
      <c r="E274" s="16"/>
    </row>
    <row r="275" spans="1:5" ht="14.25" customHeight="1" x14ac:dyDescent="0.25">
      <c r="A275" s="15"/>
      <c r="B275" s="15"/>
      <c r="C275" s="15"/>
      <c r="D275" s="15"/>
      <c r="E275" s="16"/>
    </row>
    <row r="276" spans="1:5" ht="14.25" customHeight="1" x14ac:dyDescent="0.25">
      <c r="A276" s="15"/>
      <c r="B276" s="15"/>
      <c r="C276" s="15"/>
      <c r="D276" s="15"/>
      <c r="E276" s="16"/>
    </row>
    <row r="277" spans="1:5" ht="14.25" customHeight="1" x14ac:dyDescent="0.25">
      <c r="A277" s="15"/>
      <c r="B277" s="15"/>
      <c r="C277" s="15"/>
      <c r="D277" s="15"/>
      <c r="E277" s="16"/>
    </row>
    <row r="278" spans="1:5" ht="14.25" customHeight="1" x14ac:dyDescent="0.25">
      <c r="A278" s="15"/>
      <c r="B278" s="15"/>
      <c r="C278" s="15"/>
      <c r="D278" s="15"/>
      <c r="E278" s="16"/>
    </row>
    <row r="279" spans="1:5" ht="14.25" customHeight="1" x14ac:dyDescent="0.25">
      <c r="A279" s="15"/>
      <c r="B279" s="15"/>
      <c r="C279" s="15"/>
      <c r="D279" s="15"/>
      <c r="E279" s="16"/>
    </row>
    <row r="280" spans="1:5" ht="14.25" customHeight="1" x14ac:dyDescent="0.25">
      <c r="A280" s="15"/>
      <c r="B280" s="15"/>
      <c r="C280" s="15"/>
      <c r="D280" s="15"/>
      <c r="E280" s="16"/>
    </row>
    <row r="281" spans="1:5" ht="14.25" customHeight="1" x14ac:dyDescent="0.25">
      <c r="A281" s="15"/>
      <c r="B281" s="15"/>
      <c r="C281" s="15"/>
      <c r="D281" s="15"/>
      <c r="E281" s="16"/>
    </row>
    <row r="282" spans="1:5" ht="14.25" customHeight="1" x14ac:dyDescent="0.25">
      <c r="A282" s="15"/>
      <c r="B282" s="15"/>
      <c r="C282" s="15"/>
      <c r="D282" s="15"/>
      <c r="E282" s="16"/>
    </row>
    <row r="283" spans="1:5" ht="14.25" customHeight="1" x14ac:dyDescent="0.25">
      <c r="A283" s="15"/>
      <c r="B283" s="15"/>
      <c r="C283" s="15"/>
      <c r="D283" s="15"/>
      <c r="E283" s="16"/>
    </row>
    <row r="284" spans="1:5" ht="14.25" customHeight="1" x14ac:dyDescent="0.25">
      <c r="A284" s="15"/>
      <c r="B284" s="15"/>
      <c r="C284" s="15"/>
      <c r="D284" s="15"/>
      <c r="E284" s="16"/>
    </row>
    <row r="285" spans="1:5" ht="14.25" customHeight="1" x14ac:dyDescent="0.25">
      <c r="A285" s="15"/>
      <c r="B285" s="15"/>
      <c r="C285" s="15"/>
      <c r="D285" s="15"/>
      <c r="E285" s="16"/>
    </row>
    <row r="286" spans="1:5" ht="14.25" customHeight="1" x14ac:dyDescent="0.25">
      <c r="A286" s="15"/>
      <c r="B286" s="15"/>
      <c r="C286" s="15"/>
      <c r="D286" s="15"/>
      <c r="E286" s="16"/>
    </row>
    <row r="287" spans="1:5" ht="14.25" customHeight="1" x14ac:dyDescent="0.25">
      <c r="A287" s="15"/>
      <c r="B287" s="15"/>
      <c r="C287" s="15"/>
      <c r="D287" s="15"/>
      <c r="E287" s="16"/>
    </row>
    <row r="288" spans="1:5" ht="14.25" customHeight="1" x14ac:dyDescent="0.25">
      <c r="A288" s="15"/>
      <c r="B288" s="15"/>
      <c r="C288" s="15"/>
      <c r="D288" s="15"/>
      <c r="E288" s="16"/>
    </row>
    <row r="289" spans="1:5" ht="14.25" customHeight="1" x14ac:dyDescent="0.25">
      <c r="A289" s="15"/>
      <c r="B289" s="15"/>
      <c r="C289" s="15"/>
      <c r="D289" s="15"/>
      <c r="E289" s="16"/>
    </row>
    <row r="290" spans="1:5" ht="14.25" customHeight="1" x14ac:dyDescent="0.25">
      <c r="A290" s="15"/>
      <c r="B290" s="15"/>
      <c r="C290" s="15"/>
      <c r="D290" s="15"/>
      <c r="E290" s="16"/>
    </row>
    <row r="291" spans="1:5" ht="14.25" customHeight="1" x14ac:dyDescent="0.25">
      <c r="A291" s="15"/>
      <c r="B291" s="15"/>
      <c r="C291" s="15"/>
      <c r="D291" s="15"/>
      <c r="E291" s="16"/>
    </row>
    <row r="292" spans="1:5" ht="14.25" customHeight="1" x14ac:dyDescent="0.25">
      <c r="A292" s="15"/>
      <c r="B292" s="15"/>
      <c r="C292" s="15"/>
      <c r="D292" s="15"/>
      <c r="E292" s="16"/>
    </row>
    <row r="293" spans="1:5" ht="14.25" customHeight="1" x14ac:dyDescent="0.25">
      <c r="A293" s="15"/>
      <c r="B293" s="15"/>
      <c r="C293" s="15"/>
      <c r="D293" s="15"/>
      <c r="E293" s="16"/>
    </row>
    <row r="294" spans="1:5" ht="14.25" customHeight="1" x14ac:dyDescent="0.25">
      <c r="A294" s="15"/>
      <c r="B294" s="15"/>
      <c r="C294" s="15"/>
      <c r="D294" s="15"/>
      <c r="E294" s="16"/>
    </row>
    <row r="295" spans="1:5" ht="14.25" customHeight="1" x14ac:dyDescent="0.25">
      <c r="A295" s="15"/>
      <c r="B295" s="15"/>
      <c r="C295" s="15"/>
      <c r="D295" s="15"/>
      <c r="E295" s="16"/>
    </row>
    <row r="296" spans="1:5" ht="14.25" customHeight="1" x14ac:dyDescent="0.25">
      <c r="A296" s="15"/>
      <c r="B296" s="15"/>
      <c r="C296" s="15"/>
      <c r="D296" s="15"/>
      <c r="E296" s="16"/>
    </row>
    <row r="297" spans="1:5" ht="14.25" customHeight="1" x14ac:dyDescent="0.25">
      <c r="A297" s="15"/>
      <c r="B297" s="15"/>
      <c r="C297" s="15"/>
      <c r="D297" s="15"/>
      <c r="E297" s="16"/>
    </row>
    <row r="298" spans="1:5" ht="14.25" customHeight="1" x14ac:dyDescent="0.25">
      <c r="A298" s="15"/>
      <c r="B298" s="15"/>
      <c r="C298" s="15"/>
      <c r="D298" s="15"/>
      <c r="E298" s="16"/>
    </row>
    <row r="299" spans="1:5" ht="14.25" customHeight="1" x14ac:dyDescent="0.25">
      <c r="A299" s="15"/>
      <c r="B299" s="15"/>
      <c r="C299" s="15"/>
      <c r="D299" s="15"/>
      <c r="E299" s="16"/>
    </row>
    <row r="300" spans="1:5" ht="14.25" customHeight="1" x14ac:dyDescent="0.25">
      <c r="A300" s="15"/>
      <c r="B300" s="15"/>
      <c r="C300" s="15"/>
      <c r="D300" s="15"/>
      <c r="E300" s="16"/>
    </row>
    <row r="301" spans="1:5" ht="14.25" customHeight="1" x14ac:dyDescent="0.25">
      <c r="A301" s="15"/>
      <c r="B301" s="15"/>
      <c r="C301" s="15"/>
      <c r="D301" s="15"/>
      <c r="E301" s="16"/>
    </row>
    <row r="302" spans="1:5" ht="14.25" customHeight="1" x14ac:dyDescent="0.25">
      <c r="A302" s="15"/>
      <c r="B302" s="15"/>
      <c r="C302" s="15"/>
      <c r="D302" s="15"/>
      <c r="E302" s="16"/>
    </row>
    <row r="303" spans="1:5" ht="14.25" customHeight="1" x14ac:dyDescent="0.25">
      <c r="A303" s="15"/>
      <c r="B303" s="15"/>
      <c r="C303" s="15"/>
      <c r="D303" s="15"/>
      <c r="E303" s="16"/>
    </row>
    <row r="304" spans="1:5" ht="14.25" customHeight="1" x14ac:dyDescent="0.25">
      <c r="A304" s="15"/>
      <c r="B304" s="15"/>
      <c r="C304" s="15"/>
      <c r="D304" s="15"/>
      <c r="E304" s="16"/>
    </row>
    <row r="305" spans="1:5" ht="14.25" customHeight="1" x14ac:dyDescent="0.25">
      <c r="A305" s="15"/>
      <c r="B305" s="15"/>
      <c r="C305" s="15"/>
      <c r="D305" s="15"/>
      <c r="E305" s="16"/>
    </row>
    <row r="306" spans="1:5" ht="14.25" customHeight="1" x14ac:dyDescent="0.25">
      <c r="A306" s="15"/>
      <c r="B306" s="15"/>
      <c r="C306" s="15"/>
      <c r="D306" s="15"/>
      <c r="E306" s="16"/>
    </row>
    <row r="307" spans="1:5" ht="14.25" customHeight="1" x14ac:dyDescent="0.25">
      <c r="A307" s="15"/>
      <c r="B307" s="15"/>
      <c r="C307" s="15"/>
      <c r="D307" s="15"/>
      <c r="E307" s="16"/>
    </row>
    <row r="308" spans="1:5" ht="14.25" customHeight="1" x14ac:dyDescent="0.25">
      <c r="A308" s="15"/>
      <c r="B308" s="15"/>
      <c r="C308" s="15"/>
      <c r="D308" s="15"/>
      <c r="E308" s="16"/>
    </row>
    <row r="309" spans="1:5" ht="14.25" customHeight="1" x14ac:dyDescent="0.25">
      <c r="A309" s="15"/>
      <c r="B309" s="15"/>
      <c r="C309" s="15"/>
      <c r="D309" s="15"/>
      <c r="E309" s="16"/>
    </row>
    <row r="310" spans="1:5" ht="14.25" customHeight="1" x14ac:dyDescent="0.25">
      <c r="A310" s="15"/>
      <c r="B310" s="15"/>
      <c r="C310" s="15"/>
      <c r="D310" s="15"/>
      <c r="E310" s="16"/>
    </row>
    <row r="311" spans="1:5" ht="14.25" customHeight="1" x14ac:dyDescent="0.25">
      <c r="A311" s="15"/>
      <c r="B311" s="15"/>
      <c r="C311" s="15"/>
      <c r="D311" s="15"/>
      <c r="E311" s="16"/>
    </row>
    <row r="312" spans="1:5" ht="14.25" customHeight="1" x14ac:dyDescent="0.25">
      <c r="A312" s="15"/>
      <c r="B312" s="15"/>
      <c r="C312" s="15"/>
      <c r="D312" s="15"/>
      <c r="E312" s="16"/>
    </row>
    <row r="313" spans="1:5" ht="14.25" customHeight="1" x14ac:dyDescent="0.25">
      <c r="A313" s="15"/>
      <c r="B313" s="15"/>
      <c r="C313" s="15"/>
      <c r="D313" s="15"/>
      <c r="E313" s="16"/>
    </row>
    <row r="314" spans="1:5" ht="14.25" customHeight="1" x14ac:dyDescent="0.25">
      <c r="A314" s="15"/>
      <c r="B314" s="15"/>
      <c r="C314" s="15"/>
      <c r="D314" s="15"/>
      <c r="E314" s="16"/>
    </row>
    <row r="315" spans="1:5" ht="14.25" customHeight="1" x14ac:dyDescent="0.25">
      <c r="A315" s="15"/>
      <c r="B315" s="15"/>
      <c r="C315" s="15"/>
      <c r="D315" s="15"/>
      <c r="E315" s="16"/>
    </row>
    <row r="316" spans="1:5" ht="14.25" customHeight="1" x14ac:dyDescent="0.25">
      <c r="A316" s="15"/>
      <c r="B316" s="15"/>
      <c r="C316" s="15"/>
      <c r="D316" s="15"/>
      <c r="E316" s="16"/>
    </row>
    <row r="317" spans="1:5" ht="14.25" customHeight="1" x14ac:dyDescent="0.25">
      <c r="A317" s="15"/>
      <c r="B317" s="15"/>
      <c r="C317" s="15"/>
      <c r="D317" s="15"/>
      <c r="E317" s="16"/>
    </row>
    <row r="318" spans="1:5" ht="14.25" customHeight="1" x14ac:dyDescent="0.25">
      <c r="A318" s="15"/>
      <c r="B318" s="15"/>
      <c r="C318" s="15"/>
      <c r="D318" s="15"/>
      <c r="E318" s="16"/>
    </row>
    <row r="319" spans="1:5" ht="14.25" customHeight="1" x14ac:dyDescent="0.25">
      <c r="A319" s="15"/>
      <c r="B319" s="15"/>
      <c r="C319" s="15"/>
      <c r="D319" s="15"/>
      <c r="E319" s="16"/>
    </row>
    <row r="320" spans="1:5" ht="14.25" customHeight="1" x14ac:dyDescent="0.25">
      <c r="A320" s="15"/>
      <c r="B320" s="15"/>
      <c r="C320" s="15"/>
      <c r="D320" s="15"/>
      <c r="E320" s="16"/>
    </row>
    <row r="321" spans="1:5" ht="14.25" customHeight="1" x14ac:dyDescent="0.25">
      <c r="A321" s="15"/>
      <c r="B321" s="15"/>
      <c r="C321" s="15"/>
      <c r="D321" s="15"/>
      <c r="E321" s="16"/>
    </row>
    <row r="322" spans="1:5" ht="14.25" customHeight="1" x14ac:dyDescent="0.25">
      <c r="A322" s="15"/>
      <c r="B322" s="15"/>
      <c r="C322" s="15"/>
      <c r="D322" s="15"/>
      <c r="E322" s="16"/>
    </row>
    <row r="323" spans="1:5" ht="14.25" customHeight="1" x14ac:dyDescent="0.25">
      <c r="A323" s="15"/>
      <c r="B323" s="15"/>
      <c r="C323" s="15"/>
      <c r="D323" s="15"/>
      <c r="E323" s="16"/>
    </row>
    <row r="324" spans="1:5" ht="14.25" customHeight="1" x14ac:dyDescent="0.25">
      <c r="A324" s="15"/>
      <c r="B324" s="15"/>
      <c r="C324" s="15"/>
      <c r="D324" s="15"/>
      <c r="E324" s="16"/>
    </row>
    <row r="325" spans="1:5" ht="14.25" customHeight="1" x14ac:dyDescent="0.25">
      <c r="A325" s="15"/>
      <c r="B325" s="15"/>
      <c r="C325" s="15"/>
      <c r="D325" s="15"/>
      <c r="E325" s="16"/>
    </row>
    <row r="326" spans="1:5" ht="14.25" customHeight="1" x14ac:dyDescent="0.25">
      <c r="A326" s="15"/>
      <c r="B326" s="15"/>
      <c r="C326" s="15"/>
      <c r="D326" s="15"/>
      <c r="E326" s="16"/>
    </row>
    <row r="327" spans="1:5" ht="14.25" customHeight="1" x14ac:dyDescent="0.25">
      <c r="A327" s="15"/>
      <c r="B327" s="15"/>
      <c r="C327" s="15"/>
      <c r="D327" s="15"/>
      <c r="E327" s="16"/>
    </row>
    <row r="328" spans="1:5" ht="14.25" customHeight="1" x14ac:dyDescent="0.25">
      <c r="A328" s="15"/>
      <c r="B328" s="15"/>
      <c r="C328" s="15"/>
      <c r="D328" s="15"/>
      <c r="E328" s="16"/>
    </row>
    <row r="329" spans="1:5" ht="14.25" customHeight="1" x14ac:dyDescent="0.25">
      <c r="A329" s="15"/>
      <c r="B329" s="15"/>
      <c r="C329" s="15"/>
      <c r="D329" s="15"/>
      <c r="E329" s="16"/>
    </row>
    <row r="330" spans="1:5" ht="14.25" customHeight="1" x14ac:dyDescent="0.25">
      <c r="A330" s="15"/>
      <c r="B330" s="15"/>
      <c r="C330" s="15"/>
      <c r="D330" s="15"/>
      <c r="E330" s="16"/>
    </row>
    <row r="331" spans="1:5" ht="14.25" customHeight="1" x14ac:dyDescent="0.25">
      <c r="A331" s="15"/>
      <c r="B331" s="15"/>
      <c r="C331" s="15"/>
      <c r="D331" s="15"/>
      <c r="E331" s="16"/>
    </row>
    <row r="332" spans="1:5" ht="14.25" customHeight="1" x14ac:dyDescent="0.25">
      <c r="A332" s="15"/>
      <c r="B332" s="15"/>
      <c r="C332" s="15"/>
      <c r="D332" s="15"/>
      <c r="E332" s="16"/>
    </row>
    <row r="333" spans="1:5" ht="14.25" customHeight="1" x14ac:dyDescent="0.25">
      <c r="A333" s="15"/>
      <c r="B333" s="15"/>
      <c r="C333" s="15"/>
      <c r="D333" s="15"/>
      <c r="E333" s="16"/>
    </row>
    <row r="334" spans="1:5" ht="14.25" customHeight="1" x14ac:dyDescent="0.25">
      <c r="A334" s="15"/>
      <c r="B334" s="15"/>
      <c r="C334" s="15"/>
      <c r="D334" s="15"/>
      <c r="E334" s="16"/>
    </row>
    <row r="335" spans="1:5" ht="14.25" customHeight="1" x14ac:dyDescent="0.25">
      <c r="A335" s="15"/>
      <c r="B335" s="15"/>
      <c r="C335" s="15"/>
      <c r="D335" s="15"/>
      <c r="E335" s="16"/>
    </row>
    <row r="336" spans="1:5" ht="14.25" customHeight="1" x14ac:dyDescent="0.25">
      <c r="A336" s="15"/>
      <c r="B336" s="15"/>
      <c r="C336" s="15"/>
      <c r="D336" s="15"/>
      <c r="E336" s="16"/>
    </row>
    <row r="337" spans="1:5" ht="14.25" customHeight="1" x14ac:dyDescent="0.25">
      <c r="A337" s="15"/>
      <c r="B337" s="15"/>
      <c r="C337" s="15"/>
      <c r="D337" s="15"/>
      <c r="E337" s="16"/>
    </row>
    <row r="338" spans="1:5" ht="14.25" customHeight="1" x14ac:dyDescent="0.25">
      <c r="A338" s="15"/>
      <c r="B338" s="15"/>
      <c r="C338" s="15"/>
      <c r="D338" s="15"/>
      <c r="E338" s="16"/>
    </row>
    <row r="339" spans="1:5" ht="14.25" customHeight="1" x14ac:dyDescent="0.25">
      <c r="A339" s="15"/>
      <c r="B339" s="15"/>
      <c r="C339" s="15"/>
      <c r="D339" s="15"/>
      <c r="E339" s="16"/>
    </row>
    <row r="340" spans="1:5" ht="14.25" customHeight="1" x14ac:dyDescent="0.25">
      <c r="A340" s="15"/>
      <c r="B340" s="15"/>
      <c r="C340" s="15"/>
      <c r="D340" s="15"/>
      <c r="E340" s="16"/>
    </row>
    <row r="341" spans="1:5" ht="14.25" customHeight="1" x14ac:dyDescent="0.25">
      <c r="A341" s="15"/>
      <c r="B341" s="15"/>
      <c r="C341" s="15"/>
      <c r="D341" s="15"/>
      <c r="E341" s="16"/>
    </row>
    <row r="342" spans="1:5" ht="14.25" customHeight="1" x14ac:dyDescent="0.25">
      <c r="A342" s="15"/>
      <c r="B342" s="15"/>
      <c r="C342" s="15"/>
      <c r="D342" s="15"/>
      <c r="E342" s="16"/>
    </row>
    <row r="343" spans="1:5" ht="14.25" customHeight="1" x14ac:dyDescent="0.25">
      <c r="A343" s="15"/>
      <c r="B343" s="15"/>
      <c r="C343" s="15"/>
      <c r="D343" s="15"/>
      <c r="E343" s="16"/>
    </row>
    <row r="344" spans="1:5" ht="14.25" customHeight="1" x14ac:dyDescent="0.25">
      <c r="A344" s="15"/>
      <c r="B344" s="15"/>
      <c r="C344" s="15"/>
      <c r="D344" s="15"/>
      <c r="E344" s="16"/>
    </row>
    <row r="345" spans="1:5" ht="14.25" customHeight="1" x14ac:dyDescent="0.25">
      <c r="A345" s="15"/>
      <c r="B345" s="15"/>
      <c r="C345" s="15"/>
      <c r="D345" s="15"/>
      <c r="E345" s="16"/>
    </row>
    <row r="346" spans="1:5" ht="14.25" customHeight="1" x14ac:dyDescent="0.25">
      <c r="A346" s="15"/>
      <c r="B346" s="15"/>
      <c r="C346" s="15"/>
      <c r="D346" s="15"/>
      <c r="E346" s="16"/>
    </row>
    <row r="347" spans="1:5" ht="14.25" customHeight="1" x14ac:dyDescent="0.25">
      <c r="A347" s="15"/>
      <c r="B347" s="15"/>
      <c r="C347" s="15"/>
      <c r="D347" s="15"/>
      <c r="E347" s="16"/>
    </row>
    <row r="348" spans="1:5" ht="14.25" customHeight="1" x14ac:dyDescent="0.25">
      <c r="A348" s="15"/>
      <c r="B348" s="15"/>
      <c r="C348" s="15"/>
      <c r="D348" s="15"/>
      <c r="E348" s="16"/>
    </row>
    <row r="349" spans="1:5" ht="14.25" customHeight="1" x14ac:dyDescent="0.25">
      <c r="A349" s="15"/>
      <c r="B349" s="15"/>
      <c r="C349" s="15"/>
      <c r="D349" s="15"/>
      <c r="E349" s="16"/>
    </row>
    <row r="350" spans="1:5" ht="14.25" customHeight="1" x14ac:dyDescent="0.25">
      <c r="A350" s="15"/>
      <c r="B350" s="15"/>
      <c r="C350" s="15"/>
      <c r="D350" s="15"/>
      <c r="E350" s="16"/>
    </row>
    <row r="351" spans="1:5" ht="14.25" customHeight="1" x14ac:dyDescent="0.25">
      <c r="A351" s="15"/>
      <c r="B351" s="15"/>
      <c r="C351" s="15"/>
      <c r="D351" s="15"/>
      <c r="E351" s="16"/>
    </row>
    <row r="352" spans="1:5" ht="14.25" customHeight="1" x14ac:dyDescent="0.25">
      <c r="A352" s="15"/>
      <c r="B352" s="15"/>
      <c r="C352" s="15"/>
      <c r="D352" s="15"/>
      <c r="E352" s="16"/>
    </row>
    <row r="353" spans="1:5" ht="14.25" customHeight="1" x14ac:dyDescent="0.25">
      <c r="A353" s="15"/>
      <c r="B353" s="15"/>
      <c r="C353" s="15"/>
      <c r="D353" s="15"/>
      <c r="E353" s="16"/>
    </row>
    <row r="354" spans="1:5" ht="14.25" customHeight="1" x14ac:dyDescent="0.25">
      <c r="A354" s="15"/>
      <c r="B354" s="15"/>
      <c r="C354" s="15"/>
      <c r="D354" s="15"/>
      <c r="E354" s="16"/>
    </row>
    <row r="355" spans="1:5" ht="14.25" customHeight="1" x14ac:dyDescent="0.25">
      <c r="A355" s="15"/>
      <c r="B355" s="15"/>
      <c r="C355" s="15"/>
      <c r="D355" s="15"/>
      <c r="E355" s="16"/>
    </row>
    <row r="356" spans="1:5" ht="14.25" customHeight="1" x14ac:dyDescent="0.25">
      <c r="A356" s="15"/>
      <c r="B356" s="15"/>
      <c r="C356" s="15"/>
      <c r="D356" s="15"/>
      <c r="E356" s="16"/>
    </row>
    <row r="357" spans="1:5" ht="14.25" customHeight="1" x14ac:dyDescent="0.25">
      <c r="A357" s="15"/>
      <c r="B357" s="15"/>
      <c r="C357" s="15"/>
      <c r="D357" s="15"/>
      <c r="E357" s="16"/>
    </row>
    <row r="358" spans="1:5" ht="14.25" customHeight="1" x14ac:dyDescent="0.25">
      <c r="A358" s="15"/>
      <c r="B358" s="15"/>
      <c r="C358" s="15"/>
      <c r="D358" s="15"/>
      <c r="E358" s="16"/>
    </row>
    <row r="359" spans="1:5" ht="14.25" customHeight="1" x14ac:dyDescent="0.25">
      <c r="A359" s="15"/>
      <c r="B359" s="15"/>
      <c r="C359" s="15"/>
      <c r="D359" s="15"/>
      <c r="E359" s="16"/>
    </row>
    <row r="360" spans="1:5" ht="14.25" customHeight="1" x14ac:dyDescent="0.25">
      <c r="A360" s="15"/>
      <c r="B360" s="15"/>
      <c r="C360" s="15"/>
      <c r="D360" s="15"/>
      <c r="E360" s="16"/>
    </row>
    <row r="361" spans="1:5" ht="14.25" customHeight="1" x14ac:dyDescent="0.25">
      <c r="A361" s="15"/>
      <c r="B361" s="15"/>
      <c r="C361" s="15"/>
      <c r="D361" s="15"/>
      <c r="E361" s="16"/>
    </row>
    <row r="362" spans="1:5" ht="14.25" customHeight="1" x14ac:dyDescent="0.25">
      <c r="A362" s="15"/>
      <c r="B362" s="15"/>
      <c r="C362" s="15"/>
      <c r="D362" s="15"/>
      <c r="E362" s="16"/>
    </row>
    <row r="363" spans="1:5" ht="14.25" customHeight="1" x14ac:dyDescent="0.25">
      <c r="A363" s="15"/>
      <c r="B363" s="15"/>
      <c r="C363" s="15"/>
      <c r="D363" s="15"/>
      <c r="E363" s="16"/>
    </row>
    <row r="364" spans="1:5" ht="14.25" customHeight="1" x14ac:dyDescent="0.25">
      <c r="A364" s="15"/>
      <c r="B364" s="15"/>
      <c r="C364" s="15"/>
      <c r="D364" s="15"/>
      <c r="E364" s="16"/>
    </row>
    <row r="365" spans="1:5" ht="14.25" customHeight="1" x14ac:dyDescent="0.25">
      <c r="A365" s="15"/>
      <c r="B365" s="15"/>
      <c r="C365" s="15"/>
      <c r="D365" s="15"/>
      <c r="E365" s="16"/>
    </row>
    <row r="366" spans="1:5" ht="14.25" customHeight="1" x14ac:dyDescent="0.25">
      <c r="A366" s="15"/>
      <c r="B366" s="15"/>
      <c r="C366" s="15"/>
      <c r="D366" s="15"/>
      <c r="E366" s="16"/>
    </row>
    <row r="367" spans="1:5" ht="14.25" customHeight="1" x14ac:dyDescent="0.25">
      <c r="A367" s="15"/>
      <c r="B367" s="15"/>
      <c r="C367" s="15"/>
      <c r="D367" s="15"/>
      <c r="E367" s="16"/>
    </row>
    <row r="368" spans="1:5" ht="14.25" customHeight="1" x14ac:dyDescent="0.25">
      <c r="A368" s="15"/>
      <c r="B368" s="15"/>
      <c r="C368" s="15"/>
      <c r="D368" s="15"/>
      <c r="E368" s="16"/>
    </row>
    <row r="369" spans="1:5" ht="14.25" customHeight="1" x14ac:dyDescent="0.25">
      <c r="A369" s="15"/>
      <c r="B369" s="15"/>
      <c r="C369" s="15"/>
      <c r="D369" s="15"/>
      <c r="E369" s="16"/>
    </row>
    <row r="370" spans="1:5" ht="14.25" customHeight="1" x14ac:dyDescent="0.25">
      <c r="A370" s="15"/>
      <c r="B370" s="15"/>
      <c r="C370" s="15"/>
      <c r="D370" s="15"/>
      <c r="E370" s="16"/>
    </row>
    <row r="371" spans="1:5" ht="14.25" customHeight="1" x14ac:dyDescent="0.25">
      <c r="A371" s="15"/>
      <c r="B371" s="15"/>
      <c r="C371" s="15"/>
      <c r="D371" s="15"/>
      <c r="E371" s="16"/>
    </row>
    <row r="372" spans="1:5" ht="14.25" customHeight="1" x14ac:dyDescent="0.25">
      <c r="A372" s="15"/>
      <c r="B372" s="15"/>
      <c r="C372" s="15"/>
      <c r="D372" s="15"/>
      <c r="E372" s="16"/>
    </row>
    <row r="373" spans="1:5" ht="14.25" customHeight="1" x14ac:dyDescent="0.25">
      <c r="A373" s="15"/>
      <c r="B373" s="15"/>
      <c r="C373" s="15"/>
      <c r="D373" s="15"/>
      <c r="E373" s="16"/>
    </row>
    <row r="374" spans="1:5" ht="14.25" customHeight="1" x14ac:dyDescent="0.25">
      <c r="A374" s="15"/>
      <c r="B374" s="15"/>
      <c r="C374" s="15"/>
      <c r="D374" s="15"/>
      <c r="E374" s="16"/>
    </row>
    <row r="375" spans="1:5" ht="14.25" customHeight="1" x14ac:dyDescent="0.25">
      <c r="A375" s="15"/>
      <c r="B375" s="15"/>
      <c r="C375" s="15"/>
      <c r="D375" s="15"/>
      <c r="E375" s="16"/>
    </row>
    <row r="376" spans="1:5" ht="14.25" customHeight="1" x14ac:dyDescent="0.25">
      <c r="A376" s="15"/>
      <c r="B376" s="15"/>
      <c r="C376" s="15"/>
      <c r="D376" s="15"/>
      <c r="E376" s="16"/>
    </row>
    <row r="377" spans="1:5" ht="14.25" customHeight="1" x14ac:dyDescent="0.25">
      <c r="A377" s="15"/>
      <c r="B377" s="15"/>
      <c r="C377" s="15"/>
      <c r="D377" s="15"/>
      <c r="E377" s="16"/>
    </row>
    <row r="378" spans="1:5" ht="14.25" customHeight="1" x14ac:dyDescent="0.25">
      <c r="A378" s="15"/>
      <c r="B378" s="15"/>
      <c r="C378" s="15"/>
      <c r="D378" s="15"/>
      <c r="E378" s="16"/>
    </row>
    <row r="379" spans="1:5" ht="14.25" customHeight="1" x14ac:dyDescent="0.25">
      <c r="A379" s="15"/>
      <c r="B379" s="15"/>
      <c r="C379" s="15"/>
      <c r="D379" s="15"/>
      <c r="E379" s="16"/>
    </row>
    <row r="380" spans="1:5" ht="14.25" customHeight="1" x14ac:dyDescent="0.25">
      <c r="A380" s="15"/>
      <c r="B380" s="15"/>
      <c r="C380" s="15"/>
      <c r="D380" s="15"/>
      <c r="E380" s="16"/>
    </row>
    <row r="381" spans="1:5" ht="14.25" customHeight="1" x14ac:dyDescent="0.25">
      <c r="A381" s="15"/>
      <c r="B381" s="15"/>
      <c r="C381" s="15"/>
      <c r="D381" s="15"/>
      <c r="E381" s="16"/>
    </row>
    <row r="382" spans="1:5" ht="14.25" customHeight="1" x14ac:dyDescent="0.25">
      <c r="A382" s="15"/>
      <c r="B382" s="15"/>
      <c r="C382" s="15"/>
      <c r="D382" s="15"/>
      <c r="E382" s="16"/>
    </row>
    <row r="383" spans="1:5" ht="14.25" customHeight="1" x14ac:dyDescent="0.25">
      <c r="A383" s="15"/>
      <c r="B383" s="15"/>
      <c r="C383" s="15"/>
      <c r="D383" s="15"/>
      <c r="E383" s="16"/>
    </row>
    <row r="384" spans="1:5" ht="14.25" customHeight="1" x14ac:dyDescent="0.25">
      <c r="A384" s="15"/>
      <c r="B384" s="15"/>
      <c r="C384" s="15"/>
      <c r="D384" s="15"/>
      <c r="E384" s="16"/>
    </row>
    <row r="385" spans="1:5" ht="14.25" customHeight="1" x14ac:dyDescent="0.25">
      <c r="A385" s="15"/>
      <c r="B385" s="15"/>
      <c r="C385" s="15"/>
      <c r="D385" s="15"/>
      <c r="E385" s="16"/>
    </row>
    <row r="386" spans="1:5" ht="14.25" customHeight="1" x14ac:dyDescent="0.25">
      <c r="A386" s="15"/>
      <c r="B386" s="15"/>
      <c r="C386" s="15"/>
      <c r="D386" s="15"/>
      <c r="E386" s="16"/>
    </row>
    <row r="387" spans="1:5" ht="14.25" customHeight="1" x14ac:dyDescent="0.25">
      <c r="A387" s="15"/>
      <c r="B387" s="15"/>
      <c r="C387" s="15"/>
      <c r="D387" s="15"/>
      <c r="E387" s="16"/>
    </row>
    <row r="388" spans="1:5" ht="14.25" customHeight="1" x14ac:dyDescent="0.25">
      <c r="A388" s="15"/>
      <c r="B388" s="15"/>
      <c r="C388" s="15"/>
      <c r="D388" s="15"/>
      <c r="E388" s="16"/>
    </row>
    <row r="389" spans="1:5" ht="14.25" customHeight="1" x14ac:dyDescent="0.25">
      <c r="A389" s="15"/>
      <c r="B389" s="15"/>
      <c r="C389" s="15"/>
      <c r="D389" s="15"/>
      <c r="E389" s="16"/>
    </row>
    <row r="390" spans="1:5" ht="14.25" customHeight="1" x14ac:dyDescent="0.25">
      <c r="A390" s="15"/>
      <c r="B390" s="15"/>
      <c r="C390" s="15"/>
      <c r="D390" s="15"/>
      <c r="E390" s="16"/>
    </row>
    <row r="391" spans="1:5" ht="14.25" customHeight="1" x14ac:dyDescent="0.25">
      <c r="A391" s="15"/>
      <c r="B391" s="15"/>
      <c r="C391" s="15"/>
      <c r="D391" s="15"/>
      <c r="E391" s="16"/>
    </row>
    <row r="392" spans="1:5" ht="14.25" customHeight="1" x14ac:dyDescent="0.25">
      <c r="A392" s="15"/>
      <c r="B392" s="15"/>
      <c r="C392" s="15"/>
      <c r="D392" s="15"/>
      <c r="E392" s="16"/>
    </row>
    <row r="393" spans="1:5" ht="14.25" customHeight="1" x14ac:dyDescent="0.25">
      <c r="A393" s="15"/>
      <c r="B393" s="15"/>
      <c r="C393" s="15"/>
      <c r="D393" s="15"/>
      <c r="E393" s="16"/>
    </row>
    <row r="394" spans="1:5" ht="14.25" customHeight="1" x14ac:dyDescent="0.25">
      <c r="A394" s="15"/>
      <c r="B394" s="15"/>
      <c r="C394" s="15"/>
      <c r="D394" s="15"/>
      <c r="E394" s="16"/>
    </row>
    <row r="395" spans="1:5" ht="14.25" customHeight="1" x14ac:dyDescent="0.25">
      <c r="A395" s="15"/>
      <c r="B395" s="15"/>
      <c r="C395" s="15"/>
      <c r="D395" s="15"/>
      <c r="E395" s="16"/>
    </row>
    <row r="396" spans="1:5" ht="14.25" customHeight="1" x14ac:dyDescent="0.25">
      <c r="A396" s="15"/>
      <c r="B396" s="15"/>
      <c r="C396" s="15"/>
      <c r="D396" s="15"/>
      <c r="E396" s="16"/>
    </row>
    <row r="397" spans="1:5" ht="14.25" customHeight="1" x14ac:dyDescent="0.25">
      <c r="A397" s="15"/>
      <c r="B397" s="15"/>
      <c r="C397" s="15"/>
      <c r="D397" s="15"/>
      <c r="E397" s="16"/>
    </row>
    <row r="398" spans="1:5" ht="14.25" customHeight="1" x14ac:dyDescent="0.25">
      <c r="A398" s="15"/>
      <c r="B398" s="15"/>
      <c r="C398" s="15"/>
      <c r="D398" s="15"/>
      <c r="E398" s="16"/>
    </row>
    <row r="399" spans="1:5" ht="14.25" customHeight="1" x14ac:dyDescent="0.25">
      <c r="A399" s="15"/>
      <c r="B399" s="15"/>
      <c r="C399" s="15"/>
      <c r="D399" s="15"/>
      <c r="E399" s="16"/>
    </row>
    <row r="400" spans="1:5" ht="14.25" customHeight="1" x14ac:dyDescent="0.25">
      <c r="A400" s="15"/>
      <c r="B400" s="15"/>
      <c r="C400" s="15"/>
      <c r="D400" s="15"/>
      <c r="E400" s="16"/>
    </row>
    <row r="401" spans="1:5" ht="14.25" customHeight="1" x14ac:dyDescent="0.25">
      <c r="A401" s="15"/>
      <c r="B401" s="15"/>
      <c r="C401" s="15"/>
      <c r="D401" s="15"/>
      <c r="E401" s="16"/>
    </row>
    <row r="402" spans="1:5" ht="14.25" customHeight="1" x14ac:dyDescent="0.25">
      <c r="A402" s="15"/>
      <c r="B402" s="15"/>
      <c r="C402" s="15"/>
      <c r="D402" s="15"/>
      <c r="E402" s="16"/>
    </row>
    <row r="403" spans="1:5" ht="14.25" customHeight="1" x14ac:dyDescent="0.25">
      <c r="A403" s="15"/>
      <c r="B403" s="15"/>
      <c r="C403" s="15"/>
      <c r="D403" s="15"/>
      <c r="E403" s="16"/>
    </row>
    <row r="404" spans="1:5" ht="14.25" customHeight="1" x14ac:dyDescent="0.25">
      <c r="A404" s="15"/>
      <c r="B404" s="15"/>
      <c r="C404" s="15"/>
      <c r="D404" s="15"/>
      <c r="E404" s="16"/>
    </row>
    <row r="405" spans="1:5" ht="14.25" customHeight="1" x14ac:dyDescent="0.25">
      <c r="A405" s="15"/>
      <c r="B405" s="15"/>
      <c r="C405" s="15"/>
      <c r="D405" s="15"/>
      <c r="E405" s="16"/>
    </row>
    <row r="406" spans="1:5" ht="14.25" customHeight="1" x14ac:dyDescent="0.25">
      <c r="A406" s="15"/>
      <c r="B406" s="15"/>
      <c r="C406" s="15"/>
      <c r="D406" s="15"/>
      <c r="E406" s="16"/>
    </row>
    <row r="407" spans="1:5" ht="14.25" customHeight="1" x14ac:dyDescent="0.25">
      <c r="A407" s="15"/>
      <c r="B407" s="15"/>
      <c r="C407" s="15"/>
      <c r="D407" s="15"/>
      <c r="E407" s="16"/>
    </row>
    <row r="408" spans="1:5" ht="14.25" customHeight="1" x14ac:dyDescent="0.25">
      <c r="A408" s="15"/>
      <c r="B408" s="15"/>
      <c r="C408" s="15"/>
      <c r="D408" s="15"/>
      <c r="E408" s="16"/>
    </row>
    <row r="409" spans="1:5" ht="14.25" customHeight="1" x14ac:dyDescent="0.25">
      <c r="A409" s="15"/>
      <c r="B409" s="15"/>
      <c r="C409" s="15"/>
      <c r="D409" s="15"/>
      <c r="E409" s="16"/>
    </row>
    <row r="410" spans="1:5" ht="14.25" customHeight="1" x14ac:dyDescent="0.25">
      <c r="A410" s="15"/>
      <c r="B410" s="15"/>
      <c r="C410" s="15"/>
      <c r="D410" s="15"/>
      <c r="E410" s="16"/>
    </row>
    <row r="411" spans="1:5" ht="14.25" customHeight="1" x14ac:dyDescent="0.25">
      <c r="A411" s="15"/>
      <c r="B411" s="15"/>
      <c r="C411" s="15"/>
      <c r="D411" s="15"/>
      <c r="E411" s="16"/>
    </row>
    <row r="412" spans="1:5" ht="14.25" customHeight="1" x14ac:dyDescent="0.25">
      <c r="A412" s="15"/>
      <c r="B412" s="15"/>
      <c r="C412" s="15"/>
      <c r="D412" s="15"/>
      <c r="E412" s="16"/>
    </row>
    <row r="413" spans="1:5" ht="14.25" customHeight="1" x14ac:dyDescent="0.25">
      <c r="A413" s="15"/>
      <c r="B413" s="15"/>
      <c r="C413" s="15"/>
      <c r="D413" s="15"/>
      <c r="E413" s="16"/>
    </row>
    <row r="414" spans="1:5" ht="14.25" customHeight="1" x14ac:dyDescent="0.25">
      <c r="A414" s="15"/>
      <c r="B414" s="15"/>
      <c r="C414" s="15"/>
      <c r="D414" s="15"/>
      <c r="E414" s="16"/>
    </row>
    <row r="415" spans="1:5" ht="14.25" customHeight="1" x14ac:dyDescent="0.25">
      <c r="A415" s="15"/>
      <c r="B415" s="15"/>
      <c r="C415" s="15"/>
      <c r="D415" s="15"/>
      <c r="E415" s="16"/>
    </row>
    <row r="416" spans="1:5" ht="14.25" customHeight="1" x14ac:dyDescent="0.25">
      <c r="A416" s="15"/>
      <c r="B416" s="15"/>
      <c r="C416" s="15"/>
      <c r="D416" s="15"/>
      <c r="E416" s="16"/>
    </row>
    <row r="417" spans="1:5" ht="14.25" customHeight="1" x14ac:dyDescent="0.25">
      <c r="A417" s="15"/>
      <c r="B417" s="15"/>
      <c r="C417" s="15"/>
      <c r="D417" s="15"/>
      <c r="E417" s="16"/>
    </row>
    <row r="418" spans="1:5" ht="14.25" customHeight="1" x14ac:dyDescent="0.25">
      <c r="A418" s="15"/>
      <c r="B418" s="15"/>
      <c r="C418" s="15"/>
      <c r="D418" s="15"/>
      <c r="E418" s="16"/>
    </row>
    <row r="419" spans="1:5" ht="14.25" customHeight="1" x14ac:dyDescent="0.25">
      <c r="A419" s="15"/>
      <c r="B419" s="15"/>
      <c r="C419" s="15"/>
      <c r="D419" s="15"/>
      <c r="E419" s="16"/>
    </row>
    <row r="420" spans="1:5" ht="14.25" customHeight="1" x14ac:dyDescent="0.25">
      <c r="A420" s="15"/>
      <c r="B420" s="15"/>
      <c r="C420" s="15"/>
      <c r="D420" s="15"/>
      <c r="E420" s="16"/>
    </row>
    <row r="421" spans="1:5" ht="14.25" customHeight="1" x14ac:dyDescent="0.25">
      <c r="A421" s="15"/>
      <c r="B421" s="15"/>
      <c r="C421" s="15"/>
      <c r="D421" s="15"/>
      <c r="E421" s="16"/>
    </row>
    <row r="422" spans="1:5" ht="14.25" customHeight="1" x14ac:dyDescent="0.25">
      <c r="A422" s="15"/>
      <c r="B422" s="15"/>
      <c r="C422" s="15"/>
      <c r="D422" s="15"/>
      <c r="E422" s="16"/>
    </row>
    <row r="423" spans="1:5" ht="14.25" customHeight="1" x14ac:dyDescent="0.25">
      <c r="A423" s="15"/>
      <c r="B423" s="15"/>
      <c r="C423" s="15"/>
      <c r="D423" s="15"/>
      <c r="E423" s="16"/>
    </row>
    <row r="424" spans="1:5" ht="14.25" customHeight="1" x14ac:dyDescent="0.25">
      <c r="A424" s="15"/>
      <c r="B424" s="15"/>
      <c r="C424" s="15"/>
      <c r="D424" s="15"/>
      <c r="E424" s="16"/>
    </row>
    <row r="425" spans="1:5" ht="14.25" customHeight="1" x14ac:dyDescent="0.25">
      <c r="A425" s="15"/>
      <c r="B425" s="15"/>
      <c r="C425" s="15"/>
      <c r="D425" s="15"/>
      <c r="E425" s="16"/>
    </row>
    <row r="426" spans="1:5" ht="14.25" customHeight="1" x14ac:dyDescent="0.25">
      <c r="A426" s="15"/>
      <c r="B426" s="15"/>
      <c r="C426" s="15"/>
      <c r="D426" s="15"/>
      <c r="E426" s="16"/>
    </row>
    <row r="427" spans="1:5" ht="14.25" customHeight="1" x14ac:dyDescent="0.25">
      <c r="A427" s="15"/>
      <c r="B427" s="15"/>
      <c r="C427" s="15"/>
      <c r="D427" s="15"/>
      <c r="E427" s="16"/>
    </row>
    <row r="428" spans="1:5" ht="14.25" customHeight="1" x14ac:dyDescent="0.25">
      <c r="A428" s="15"/>
      <c r="B428" s="15"/>
      <c r="C428" s="15"/>
      <c r="D428" s="15"/>
      <c r="E428" s="16"/>
    </row>
    <row r="429" spans="1:5" ht="14.25" customHeight="1" x14ac:dyDescent="0.25">
      <c r="A429" s="15"/>
      <c r="B429" s="15"/>
      <c r="C429" s="15"/>
      <c r="D429" s="15"/>
      <c r="E429" s="16"/>
    </row>
    <row r="430" spans="1:5" ht="14.25" customHeight="1" x14ac:dyDescent="0.25">
      <c r="A430" s="15"/>
      <c r="B430" s="15"/>
      <c r="C430" s="15"/>
      <c r="D430" s="15"/>
      <c r="E430" s="16"/>
    </row>
    <row r="431" spans="1:5" ht="14.25" customHeight="1" x14ac:dyDescent="0.25">
      <c r="A431" s="15"/>
      <c r="B431" s="15"/>
      <c r="C431" s="15"/>
      <c r="D431" s="15"/>
      <c r="E431" s="16"/>
    </row>
    <row r="432" spans="1:5" ht="14.25" customHeight="1" x14ac:dyDescent="0.25">
      <c r="A432" s="15"/>
      <c r="B432" s="15"/>
      <c r="C432" s="15"/>
      <c r="D432" s="15"/>
      <c r="E432" s="16"/>
    </row>
    <row r="433" spans="1:5" ht="14.25" customHeight="1" x14ac:dyDescent="0.25">
      <c r="A433" s="15"/>
      <c r="B433" s="15"/>
      <c r="C433" s="15"/>
      <c r="D433" s="15"/>
      <c r="E433" s="16"/>
    </row>
    <row r="434" spans="1:5" ht="14.25" customHeight="1" x14ac:dyDescent="0.25">
      <c r="A434" s="15"/>
      <c r="B434" s="15"/>
      <c r="C434" s="15"/>
      <c r="D434" s="15"/>
      <c r="E434" s="16"/>
    </row>
    <row r="435" spans="1:5" ht="14.25" customHeight="1" x14ac:dyDescent="0.25">
      <c r="A435" s="15"/>
      <c r="B435" s="15"/>
      <c r="C435" s="15"/>
      <c r="D435" s="15"/>
      <c r="E435" s="16"/>
    </row>
    <row r="436" spans="1:5" ht="14.25" customHeight="1" x14ac:dyDescent="0.25">
      <c r="A436" s="15"/>
      <c r="B436" s="15"/>
      <c r="C436" s="15"/>
      <c r="D436" s="15"/>
      <c r="E436" s="16"/>
    </row>
    <row r="437" spans="1:5" ht="14.25" customHeight="1" x14ac:dyDescent="0.25">
      <c r="A437" s="15"/>
      <c r="B437" s="15"/>
      <c r="C437" s="15"/>
      <c r="D437" s="15"/>
      <c r="E437" s="16"/>
    </row>
    <row r="438" spans="1:5" ht="14.25" customHeight="1" x14ac:dyDescent="0.25">
      <c r="A438" s="15"/>
      <c r="B438" s="15"/>
      <c r="C438" s="15"/>
      <c r="D438" s="15"/>
      <c r="E438" s="16"/>
    </row>
    <row r="439" spans="1:5" ht="14.25" customHeight="1" x14ac:dyDescent="0.25">
      <c r="A439" s="15"/>
      <c r="B439" s="15"/>
      <c r="C439" s="15"/>
      <c r="D439" s="15"/>
      <c r="E439" s="16"/>
    </row>
    <row r="440" spans="1:5" ht="14.25" customHeight="1" x14ac:dyDescent="0.25">
      <c r="A440" s="15"/>
      <c r="B440" s="15"/>
      <c r="C440" s="15"/>
      <c r="D440" s="15"/>
      <c r="E440" s="16"/>
    </row>
    <row r="441" spans="1:5" ht="14.25" customHeight="1" x14ac:dyDescent="0.25">
      <c r="A441" s="15"/>
      <c r="B441" s="15"/>
      <c r="C441" s="15"/>
      <c r="D441" s="15"/>
      <c r="E441" s="16"/>
    </row>
    <row r="442" spans="1:5" ht="14.25" customHeight="1" x14ac:dyDescent="0.25">
      <c r="A442" s="15"/>
      <c r="B442" s="15"/>
      <c r="C442" s="15"/>
      <c r="D442" s="15"/>
      <c r="E442" s="16"/>
    </row>
    <row r="443" spans="1:5" ht="14.25" customHeight="1" x14ac:dyDescent="0.25">
      <c r="A443" s="15"/>
      <c r="B443" s="15"/>
      <c r="C443" s="15"/>
      <c r="D443" s="15"/>
      <c r="E443" s="16"/>
    </row>
    <row r="444" spans="1:5" ht="14.25" customHeight="1" x14ac:dyDescent="0.25">
      <c r="A444" s="15"/>
      <c r="B444" s="15"/>
      <c r="C444" s="15"/>
      <c r="D444" s="15"/>
      <c r="E444" s="16"/>
    </row>
    <row r="445" spans="1:5" ht="14.25" customHeight="1" x14ac:dyDescent="0.25">
      <c r="A445" s="15"/>
      <c r="B445" s="15"/>
      <c r="C445" s="15"/>
      <c r="D445" s="15"/>
      <c r="E445" s="16"/>
    </row>
    <row r="446" spans="1:5" ht="14.25" customHeight="1" x14ac:dyDescent="0.25">
      <c r="A446" s="15"/>
      <c r="B446" s="15"/>
      <c r="C446" s="15"/>
      <c r="D446" s="15"/>
      <c r="E446" s="16"/>
    </row>
    <row r="447" spans="1:5" ht="14.25" customHeight="1" x14ac:dyDescent="0.25">
      <c r="A447" s="15"/>
      <c r="B447" s="15"/>
      <c r="C447" s="15"/>
      <c r="D447" s="15"/>
      <c r="E447" s="16"/>
    </row>
    <row r="448" spans="1:5" ht="14.25" customHeight="1" x14ac:dyDescent="0.25">
      <c r="A448" s="15"/>
      <c r="B448" s="15"/>
      <c r="C448" s="15"/>
      <c r="D448" s="15"/>
      <c r="E448" s="16"/>
    </row>
    <row r="449" spans="1:5" ht="14.25" customHeight="1" x14ac:dyDescent="0.25">
      <c r="A449" s="15"/>
      <c r="B449" s="15"/>
      <c r="C449" s="15"/>
      <c r="D449" s="15"/>
      <c r="E449" s="16"/>
    </row>
    <row r="450" spans="1:5" ht="14.25" customHeight="1" x14ac:dyDescent="0.25">
      <c r="A450" s="15"/>
      <c r="B450" s="15"/>
      <c r="C450" s="15"/>
      <c r="D450" s="15"/>
      <c r="E450" s="16"/>
    </row>
    <row r="451" spans="1:5" ht="14.25" customHeight="1" x14ac:dyDescent="0.25">
      <c r="A451" s="15"/>
      <c r="B451" s="15"/>
      <c r="C451" s="15"/>
      <c r="D451" s="15"/>
      <c r="E451" s="16"/>
    </row>
    <row r="452" spans="1:5" ht="14.25" customHeight="1" x14ac:dyDescent="0.25">
      <c r="A452" s="15"/>
      <c r="B452" s="15"/>
      <c r="C452" s="15"/>
      <c r="D452" s="15"/>
      <c r="E452" s="16"/>
    </row>
    <row r="453" spans="1:5" ht="14.25" customHeight="1" x14ac:dyDescent="0.25">
      <c r="A453" s="15"/>
      <c r="B453" s="15"/>
      <c r="C453" s="15"/>
      <c r="D453" s="15"/>
      <c r="E453" s="16"/>
    </row>
    <row r="454" spans="1:5" ht="14.25" customHeight="1" x14ac:dyDescent="0.25">
      <c r="A454" s="15"/>
      <c r="B454" s="15"/>
      <c r="C454" s="15"/>
      <c r="D454" s="15"/>
      <c r="E454" s="16"/>
    </row>
    <row r="455" spans="1:5" ht="14.25" customHeight="1" x14ac:dyDescent="0.25">
      <c r="A455" s="15"/>
      <c r="B455" s="15"/>
      <c r="C455" s="15"/>
      <c r="D455" s="15"/>
      <c r="E455" s="16"/>
    </row>
    <row r="456" spans="1:5" ht="14.25" customHeight="1" x14ac:dyDescent="0.25">
      <c r="A456" s="15"/>
      <c r="B456" s="15"/>
      <c r="C456" s="15"/>
      <c r="D456" s="15"/>
      <c r="E456" s="16"/>
    </row>
    <row r="457" spans="1:5" ht="14.25" customHeight="1" x14ac:dyDescent="0.25">
      <c r="A457" s="15"/>
      <c r="B457" s="15"/>
      <c r="C457" s="15"/>
      <c r="D457" s="15"/>
      <c r="E457" s="16"/>
    </row>
    <row r="458" spans="1:5" ht="14.25" customHeight="1" x14ac:dyDescent="0.25">
      <c r="A458" s="15"/>
      <c r="B458" s="15"/>
      <c r="C458" s="15"/>
      <c r="D458" s="15"/>
      <c r="E458" s="16"/>
    </row>
    <row r="459" spans="1:5" ht="14.25" customHeight="1" x14ac:dyDescent="0.25">
      <c r="A459" s="15"/>
      <c r="B459" s="15"/>
      <c r="C459" s="15"/>
      <c r="D459" s="15"/>
      <c r="E459" s="16"/>
    </row>
    <row r="460" spans="1:5" ht="14.25" customHeight="1" x14ac:dyDescent="0.25">
      <c r="A460" s="15"/>
      <c r="B460" s="15"/>
      <c r="C460" s="15"/>
      <c r="D460" s="15"/>
      <c r="E460" s="16"/>
    </row>
    <row r="461" spans="1:5" ht="14.25" customHeight="1" x14ac:dyDescent="0.25">
      <c r="A461" s="15"/>
      <c r="B461" s="15"/>
      <c r="C461" s="15"/>
      <c r="D461" s="15"/>
      <c r="E461" s="16"/>
    </row>
    <row r="462" spans="1:5" ht="14.25" customHeight="1" x14ac:dyDescent="0.25">
      <c r="A462" s="15"/>
      <c r="B462" s="15"/>
      <c r="C462" s="15"/>
      <c r="D462" s="15"/>
      <c r="E462" s="16"/>
    </row>
    <row r="463" spans="1:5" ht="14.25" customHeight="1" x14ac:dyDescent="0.25">
      <c r="A463" s="15"/>
      <c r="B463" s="15"/>
      <c r="C463" s="15"/>
      <c r="D463" s="15"/>
      <c r="E463" s="16"/>
    </row>
    <row r="464" spans="1:5" ht="14.25" customHeight="1" x14ac:dyDescent="0.25">
      <c r="A464" s="15"/>
      <c r="B464" s="15"/>
      <c r="C464" s="15"/>
      <c r="D464" s="15"/>
      <c r="E464" s="16"/>
    </row>
    <row r="465" spans="1:5" ht="14.25" customHeight="1" x14ac:dyDescent="0.25">
      <c r="A465" s="15"/>
      <c r="B465" s="15"/>
      <c r="C465" s="15"/>
      <c r="D465" s="15"/>
      <c r="E465" s="16"/>
    </row>
    <row r="466" spans="1:5" ht="14.25" customHeight="1" x14ac:dyDescent="0.25">
      <c r="A466" s="15"/>
      <c r="B466" s="15"/>
      <c r="C466" s="15"/>
      <c r="D466" s="15"/>
      <c r="E466" s="16"/>
    </row>
    <row r="467" spans="1:5" ht="14.25" customHeight="1" x14ac:dyDescent="0.25">
      <c r="A467" s="15"/>
      <c r="B467" s="15"/>
      <c r="C467" s="15"/>
      <c r="D467" s="15"/>
      <c r="E467" s="16"/>
    </row>
    <row r="468" spans="1:5" ht="14.25" customHeight="1" x14ac:dyDescent="0.25">
      <c r="A468" s="15"/>
      <c r="B468" s="15"/>
      <c r="C468" s="15"/>
      <c r="D468" s="15"/>
      <c r="E468" s="16"/>
    </row>
    <row r="469" spans="1:5" ht="14.25" customHeight="1" x14ac:dyDescent="0.25">
      <c r="A469" s="15"/>
      <c r="B469" s="15"/>
      <c r="C469" s="15"/>
      <c r="D469" s="15"/>
      <c r="E469" s="16"/>
    </row>
    <row r="470" spans="1:5" ht="14.25" customHeight="1" x14ac:dyDescent="0.25">
      <c r="A470" s="15"/>
      <c r="B470" s="15"/>
      <c r="C470" s="15"/>
      <c r="D470" s="15"/>
      <c r="E470" s="16"/>
    </row>
    <row r="471" spans="1:5" ht="14.25" customHeight="1" x14ac:dyDescent="0.25">
      <c r="A471" s="15"/>
      <c r="B471" s="15"/>
      <c r="C471" s="15"/>
      <c r="D471" s="15"/>
      <c r="E471" s="16"/>
    </row>
    <row r="472" spans="1:5" ht="14.25" customHeight="1" x14ac:dyDescent="0.25">
      <c r="A472" s="15"/>
      <c r="B472" s="15"/>
      <c r="C472" s="15"/>
      <c r="D472" s="15"/>
      <c r="E472" s="16"/>
    </row>
    <row r="473" spans="1:5" ht="14.25" customHeight="1" x14ac:dyDescent="0.25">
      <c r="A473" s="15"/>
      <c r="B473" s="15"/>
      <c r="C473" s="15"/>
      <c r="D473" s="15"/>
      <c r="E473" s="16"/>
    </row>
    <row r="474" spans="1:5" ht="14.25" customHeight="1" x14ac:dyDescent="0.25">
      <c r="A474" s="15"/>
      <c r="B474" s="15"/>
      <c r="C474" s="15"/>
      <c r="D474" s="15"/>
      <c r="E474" s="16"/>
    </row>
    <row r="475" spans="1:5" ht="14.25" customHeight="1" x14ac:dyDescent="0.25">
      <c r="A475" s="15"/>
      <c r="B475" s="15"/>
      <c r="C475" s="15"/>
      <c r="D475" s="15"/>
      <c r="E475" s="16"/>
    </row>
    <row r="476" spans="1:5" ht="14.25" customHeight="1" x14ac:dyDescent="0.25">
      <c r="A476" s="15"/>
      <c r="B476" s="15"/>
      <c r="C476" s="15"/>
      <c r="D476" s="15"/>
      <c r="E476" s="16"/>
    </row>
    <row r="477" spans="1:5" ht="14.25" customHeight="1" x14ac:dyDescent="0.25">
      <c r="A477" s="15"/>
      <c r="B477" s="15"/>
      <c r="C477" s="15"/>
      <c r="D477" s="15"/>
      <c r="E477" s="16"/>
    </row>
    <row r="478" spans="1:5" ht="14.25" customHeight="1" x14ac:dyDescent="0.25">
      <c r="A478" s="15"/>
      <c r="B478" s="15"/>
      <c r="C478" s="15"/>
      <c r="D478" s="15"/>
      <c r="E478" s="16"/>
    </row>
    <row r="479" spans="1:5" ht="14.25" customHeight="1" x14ac:dyDescent="0.25">
      <c r="A479" s="15"/>
      <c r="B479" s="15"/>
      <c r="C479" s="15"/>
      <c r="D479" s="15"/>
      <c r="E479" s="16"/>
    </row>
    <row r="480" spans="1:5" ht="14.25" customHeight="1" x14ac:dyDescent="0.25">
      <c r="A480" s="15"/>
      <c r="B480" s="15"/>
      <c r="C480" s="15"/>
      <c r="D480" s="15"/>
      <c r="E480" s="16"/>
    </row>
    <row r="481" spans="1:5" ht="14.25" customHeight="1" x14ac:dyDescent="0.25">
      <c r="A481" s="15"/>
      <c r="B481" s="15"/>
      <c r="C481" s="15"/>
      <c r="D481" s="15"/>
      <c r="E481" s="16"/>
    </row>
    <row r="482" spans="1:5" ht="14.25" customHeight="1" x14ac:dyDescent="0.25">
      <c r="A482" s="15"/>
      <c r="B482" s="15"/>
      <c r="C482" s="15"/>
      <c r="D482" s="15"/>
      <c r="E482" s="16"/>
    </row>
    <row r="483" spans="1:5" ht="14.25" customHeight="1" x14ac:dyDescent="0.25">
      <c r="A483" s="15"/>
      <c r="B483" s="15"/>
      <c r="C483" s="15"/>
      <c r="D483" s="15"/>
      <c r="E483" s="16"/>
    </row>
    <row r="484" spans="1:5" ht="14.25" customHeight="1" x14ac:dyDescent="0.25">
      <c r="A484" s="15"/>
      <c r="B484" s="15"/>
      <c r="C484" s="15"/>
      <c r="D484" s="15"/>
      <c r="E484" s="16"/>
    </row>
    <row r="485" spans="1:5" ht="14.25" customHeight="1" x14ac:dyDescent="0.25">
      <c r="A485" s="15"/>
      <c r="B485" s="15"/>
      <c r="C485" s="15"/>
      <c r="D485" s="15"/>
      <c r="E485" s="16"/>
    </row>
    <row r="486" spans="1:5" ht="14.25" customHeight="1" x14ac:dyDescent="0.25">
      <c r="A486" s="15"/>
      <c r="B486" s="15"/>
      <c r="C486" s="15"/>
      <c r="D486" s="15"/>
      <c r="E486" s="16"/>
    </row>
    <row r="487" spans="1:5" ht="14.25" customHeight="1" x14ac:dyDescent="0.25">
      <c r="A487" s="15"/>
      <c r="B487" s="15"/>
      <c r="C487" s="15"/>
      <c r="D487" s="15"/>
      <c r="E487" s="16"/>
    </row>
    <row r="488" spans="1:5" ht="14.25" customHeight="1" x14ac:dyDescent="0.25">
      <c r="A488" s="15"/>
      <c r="B488" s="15"/>
      <c r="C488" s="15"/>
      <c r="D488" s="15"/>
      <c r="E488" s="16"/>
    </row>
    <row r="489" spans="1:5" ht="14.25" customHeight="1" x14ac:dyDescent="0.25">
      <c r="A489" s="15"/>
      <c r="B489" s="15"/>
      <c r="C489" s="15"/>
      <c r="D489" s="15"/>
      <c r="E489" s="16"/>
    </row>
    <row r="490" spans="1:5" ht="14.25" customHeight="1" x14ac:dyDescent="0.25">
      <c r="A490" s="15"/>
      <c r="B490" s="15"/>
      <c r="C490" s="15"/>
      <c r="D490" s="15"/>
      <c r="E490" s="16"/>
    </row>
    <row r="491" spans="1:5" ht="14.25" customHeight="1" x14ac:dyDescent="0.25">
      <c r="A491" s="15"/>
      <c r="B491" s="15"/>
      <c r="C491" s="15"/>
      <c r="D491" s="15"/>
      <c r="E491" s="16"/>
    </row>
    <row r="492" spans="1:5" ht="14.25" customHeight="1" x14ac:dyDescent="0.25">
      <c r="A492" s="15"/>
      <c r="B492" s="15"/>
      <c r="C492" s="15"/>
      <c r="D492" s="15"/>
      <c r="E492" s="16"/>
    </row>
    <row r="493" spans="1:5" ht="14.25" customHeight="1" x14ac:dyDescent="0.25">
      <c r="A493" s="15"/>
      <c r="B493" s="15"/>
      <c r="C493" s="15"/>
      <c r="D493" s="15"/>
      <c r="E493" s="16"/>
    </row>
    <row r="494" spans="1:5" ht="14.25" customHeight="1" x14ac:dyDescent="0.25">
      <c r="A494" s="15"/>
      <c r="B494" s="15"/>
      <c r="C494" s="15"/>
      <c r="D494" s="15"/>
      <c r="E494" s="16"/>
    </row>
    <row r="495" spans="1:5" ht="14.25" customHeight="1" x14ac:dyDescent="0.25">
      <c r="A495" s="15"/>
      <c r="B495" s="15"/>
      <c r="C495" s="15"/>
      <c r="D495" s="15"/>
      <c r="E495" s="16"/>
    </row>
    <row r="496" spans="1:5" ht="14.25" customHeight="1" x14ac:dyDescent="0.25">
      <c r="A496" s="15"/>
      <c r="B496" s="15"/>
      <c r="C496" s="15"/>
      <c r="D496" s="15"/>
      <c r="E496" s="16"/>
    </row>
    <row r="497" spans="1:5" ht="14.25" customHeight="1" x14ac:dyDescent="0.25">
      <c r="A497" s="15"/>
      <c r="B497" s="15"/>
      <c r="C497" s="15"/>
      <c r="D497" s="15"/>
      <c r="E497" s="16"/>
    </row>
    <row r="498" spans="1:5" ht="14.25" customHeight="1" x14ac:dyDescent="0.25">
      <c r="A498" s="15"/>
      <c r="B498" s="15"/>
      <c r="C498" s="15"/>
      <c r="D498" s="15"/>
      <c r="E498" s="16"/>
    </row>
    <row r="499" spans="1:5" ht="14.25" customHeight="1" x14ac:dyDescent="0.25">
      <c r="A499" s="15"/>
      <c r="B499" s="15"/>
      <c r="C499" s="15"/>
      <c r="D499" s="15"/>
      <c r="E499" s="16"/>
    </row>
    <row r="500" spans="1:5" ht="14.25" customHeight="1" x14ac:dyDescent="0.25">
      <c r="A500" s="15"/>
      <c r="B500" s="15"/>
      <c r="C500" s="15"/>
      <c r="D500" s="15"/>
      <c r="E500" s="16"/>
    </row>
    <row r="501" spans="1:5" ht="14.25" customHeight="1" x14ac:dyDescent="0.25">
      <c r="A501" s="15"/>
      <c r="B501" s="15"/>
      <c r="C501" s="15"/>
      <c r="D501" s="15"/>
      <c r="E501" s="16"/>
    </row>
    <row r="502" spans="1:5" ht="14.25" customHeight="1" x14ac:dyDescent="0.25">
      <c r="A502" s="15"/>
      <c r="B502" s="15"/>
      <c r="C502" s="15"/>
      <c r="D502" s="15"/>
      <c r="E502" s="16"/>
    </row>
    <row r="503" spans="1:5" ht="14.25" customHeight="1" x14ac:dyDescent="0.25">
      <c r="A503" s="15"/>
      <c r="B503" s="15"/>
      <c r="C503" s="15"/>
      <c r="D503" s="15"/>
      <c r="E503" s="16"/>
    </row>
    <row r="504" spans="1:5" ht="14.25" customHeight="1" x14ac:dyDescent="0.25">
      <c r="A504" s="15"/>
      <c r="B504" s="15"/>
      <c r="C504" s="15"/>
      <c r="D504" s="15"/>
      <c r="E504" s="16"/>
    </row>
    <row r="505" spans="1:5" ht="14.25" customHeight="1" x14ac:dyDescent="0.25">
      <c r="A505" s="15"/>
      <c r="B505" s="15"/>
      <c r="C505" s="15"/>
      <c r="D505" s="15"/>
      <c r="E505" s="16"/>
    </row>
    <row r="506" spans="1:5" ht="14.25" customHeight="1" x14ac:dyDescent="0.25">
      <c r="A506" s="15"/>
      <c r="B506" s="15"/>
      <c r="C506" s="15"/>
      <c r="D506" s="15"/>
      <c r="E506" s="16"/>
    </row>
    <row r="507" spans="1:5" ht="14.25" customHeight="1" x14ac:dyDescent="0.25">
      <c r="A507" s="15"/>
      <c r="B507" s="15"/>
      <c r="C507" s="15"/>
      <c r="D507" s="15"/>
      <c r="E507" s="16"/>
    </row>
    <row r="508" spans="1:5" ht="14.25" customHeight="1" x14ac:dyDescent="0.25">
      <c r="A508" s="15"/>
      <c r="B508" s="15"/>
      <c r="C508" s="15"/>
      <c r="D508" s="15"/>
      <c r="E508" s="16"/>
    </row>
    <row r="509" spans="1:5" ht="14.25" customHeight="1" x14ac:dyDescent="0.25">
      <c r="A509" s="15"/>
      <c r="B509" s="15"/>
      <c r="C509" s="15"/>
      <c r="D509" s="15"/>
      <c r="E509" s="16"/>
    </row>
    <row r="510" spans="1:5" ht="14.25" customHeight="1" x14ac:dyDescent="0.25">
      <c r="A510" s="15"/>
      <c r="B510" s="15"/>
      <c r="C510" s="15"/>
      <c r="D510" s="15"/>
      <c r="E510" s="16"/>
    </row>
    <row r="511" spans="1:5" ht="14.25" customHeight="1" x14ac:dyDescent="0.25">
      <c r="A511" s="15"/>
      <c r="B511" s="15"/>
      <c r="C511" s="15"/>
      <c r="D511" s="15"/>
      <c r="E511" s="16"/>
    </row>
    <row r="512" spans="1:5" ht="14.25" customHeight="1" x14ac:dyDescent="0.25">
      <c r="A512" s="15"/>
      <c r="B512" s="15"/>
      <c r="C512" s="15"/>
      <c r="D512" s="15"/>
      <c r="E512" s="16"/>
    </row>
    <row r="513" spans="1:5" ht="14.25" customHeight="1" x14ac:dyDescent="0.25">
      <c r="A513" s="15"/>
      <c r="B513" s="15"/>
      <c r="C513" s="15"/>
      <c r="D513" s="15"/>
      <c r="E513" s="16"/>
    </row>
    <row r="514" spans="1:5" ht="14.25" customHeight="1" x14ac:dyDescent="0.25">
      <c r="A514" s="15"/>
      <c r="B514" s="15"/>
      <c r="C514" s="15"/>
      <c r="D514" s="15"/>
      <c r="E514" s="16"/>
    </row>
    <row r="515" spans="1:5" ht="14.25" customHeight="1" x14ac:dyDescent="0.25">
      <c r="A515" s="15"/>
      <c r="B515" s="15"/>
      <c r="C515" s="15"/>
      <c r="D515" s="15"/>
      <c r="E515" s="16"/>
    </row>
    <row r="516" spans="1:5" ht="14.25" customHeight="1" x14ac:dyDescent="0.25">
      <c r="A516" s="15"/>
      <c r="B516" s="15"/>
      <c r="C516" s="15"/>
      <c r="D516" s="15"/>
      <c r="E516" s="16"/>
    </row>
    <row r="517" spans="1:5" ht="14.25" customHeight="1" x14ac:dyDescent="0.25">
      <c r="A517" s="15"/>
      <c r="B517" s="15"/>
      <c r="C517" s="15"/>
      <c r="D517" s="15"/>
      <c r="E517" s="16"/>
    </row>
    <row r="518" spans="1:5" ht="14.25" customHeight="1" x14ac:dyDescent="0.25">
      <c r="A518" s="15"/>
      <c r="B518" s="15"/>
      <c r="C518" s="15"/>
      <c r="D518" s="15"/>
      <c r="E518" s="16"/>
    </row>
    <row r="519" spans="1:5" ht="14.25" customHeight="1" x14ac:dyDescent="0.25">
      <c r="A519" s="15"/>
      <c r="B519" s="15"/>
      <c r="C519" s="15"/>
      <c r="D519" s="15"/>
      <c r="E519" s="16"/>
    </row>
    <row r="520" spans="1:5" ht="14.25" customHeight="1" x14ac:dyDescent="0.25">
      <c r="A520" s="15"/>
      <c r="B520" s="15"/>
      <c r="C520" s="15"/>
      <c r="D520" s="15"/>
      <c r="E520" s="16"/>
    </row>
    <row r="521" spans="1:5" ht="14.25" customHeight="1" x14ac:dyDescent="0.25">
      <c r="A521" s="15"/>
      <c r="B521" s="15"/>
      <c r="C521" s="15"/>
      <c r="D521" s="15"/>
      <c r="E521" s="16"/>
    </row>
    <row r="522" spans="1:5" ht="14.25" customHeight="1" x14ac:dyDescent="0.25">
      <c r="A522" s="15"/>
      <c r="B522" s="15"/>
      <c r="C522" s="15"/>
      <c r="D522" s="15"/>
      <c r="E522" s="16"/>
    </row>
    <row r="523" spans="1:5" ht="14.25" customHeight="1" x14ac:dyDescent="0.25">
      <c r="A523" s="15"/>
      <c r="B523" s="15"/>
      <c r="C523" s="15"/>
      <c r="D523" s="15"/>
      <c r="E523" s="16"/>
    </row>
    <row r="524" spans="1:5" ht="14.25" customHeight="1" x14ac:dyDescent="0.25">
      <c r="A524" s="15"/>
      <c r="B524" s="15"/>
      <c r="C524" s="15"/>
      <c r="D524" s="15"/>
      <c r="E524" s="16"/>
    </row>
    <row r="525" spans="1:5" ht="14.25" customHeight="1" x14ac:dyDescent="0.25">
      <c r="A525" s="15"/>
      <c r="B525" s="15"/>
      <c r="C525" s="15"/>
      <c r="D525" s="15"/>
      <c r="E525" s="16"/>
    </row>
    <row r="526" spans="1:5" ht="14.25" customHeight="1" x14ac:dyDescent="0.25">
      <c r="A526" s="15"/>
      <c r="B526" s="15"/>
      <c r="C526" s="15"/>
      <c r="D526" s="15"/>
      <c r="E526" s="16"/>
    </row>
    <row r="527" spans="1:5" ht="14.25" customHeight="1" x14ac:dyDescent="0.25">
      <c r="A527" s="15"/>
      <c r="B527" s="15"/>
      <c r="C527" s="15"/>
      <c r="D527" s="15"/>
      <c r="E527" s="16"/>
    </row>
    <row r="528" spans="1:5" ht="14.25" customHeight="1" x14ac:dyDescent="0.25">
      <c r="A528" s="15"/>
      <c r="B528" s="15"/>
      <c r="C528" s="15"/>
      <c r="D528" s="15"/>
      <c r="E528" s="16"/>
    </row>
    <row r="529" spans="1:5" ht="14.25" customHeight="1" x14ac:dyDescent="0.25">
      <c r="A529" s="15"/>
      <c r="B529" s="15"/>
      <c r="C529" s="15"/>
      <c r="D529" s="15"/>
      <c r="E529" s="16"/>
    </row>
    <row r="530" spans="1:5" ht="14.25" customHeight="1" x14ac:dyDescent="0.25">
      <c r="A530" s="15"/>
      <c r="B530" s="15"/>
      <c r="C530" s="15"/>
      <c r="D530" s="15"/>
      <c r="E530" s="16"/>
    </row>
    <row r="531" spans="1:5" ht="14.25" customHeight="1" x14ac:dyDescent="0.25">
      <c r="A531" s="15"/>
      <c r="B531" s="15"/>
      <c r="C531" s="15"/>
      <c r="D531" s="15"/>
      <c r="E531" s="16"/>
    </row>
    <row r="532" spans="1:5" ht="14.25" customHeight="1" x14ac:dyDescent="0.25">
      <c r="A532" s="15"/>
      <c r="B532" s="15"/>
      <c r="C532" s="15"/>
      <c r="D532" s="15"/>
      <c r="E532" s="16"/>
    </row>
    <row r="533" spans="1:5" ht="14.25" customHeight="1" x14ac:dyDescent="0.25">
      <c r="A533" s="15"/>
      <c r="B533" s="15"/>
      <c r="C533" s="15"/>
      <c r="D533" s="15"/>
      <c r="E533" s="16"/>
    </row>
    <row r="534" spans="1:5" ht="14.25" customHeight="1" x14ac:dyDescent="0.25">
      <c r="A534" s="15"/>
      <c r="B534" s="15"/>
      <c r="C534" s="15"/>
      <c r="D534" s="15"/>
      <c r="E534" s="16"/>
    </row>
    <row r="535" spans="1:5" ht="14.25" customHeight="1" x14ac:dyDescent="0.25">
      <c r="A535" s="15"/>
      <c r="B535" s="15"/>
      <c r="C535" s="15"/>
      <c r="D535" s="15"/>
      <c r="E535" s="16"/>
    </row>
    <row r="536" spans="1:5" ht="14.25" customHeight="1" x14ac:dyDescent="0.25">
      <c r="A536" s="15"/>
      <c r="B536" s="15"/>
      <c r="C536" s="15"/>
      <c r="D536" s="15"/>
      <c r="E536" s="16"/>
    </row>
    <row r="537" spans="1:5" ht="14.25" customHeight="1" x14ac:dyDescent="0.25">
      <c r="A537" s="15"/>
      <c r="B537" s="15"/>
      <c r="C537" s="15"/>
      <c r="D537" s="15"/>
      <c r="E537" s="16"/>
    </row>
    <row r="538" spans="1:5" ht="14.25" customHeight="1" x14ac:dyDescent="0.25">
      <c r="A538" s="15"/>
      <c r="B538" s="15"/>
      <c r="C538" s="15"/>
      <c r="D538" s="15"/>
      <c r="E538" s="16"/>
    </row>
    <row r="539" spans="1:5" ht="14.25" customHeight="1" x14ac:dyDescent="0.25">
      <c r="A539" s="15"/>
      <c r="B539" s="15"/>
      <c r="C539" s="15"/>
      <c r="D539" s="15"/>
      <c r="E539" s="16"/>
    </row>
    <row r="540" spans="1:5" ht="14.25" customHeight="1" x14ac:dyDescent="0.25">
      <c r="A540" s="15"/>
      <c r="B540" s="15"/>
      <c r="C540" s="15"/>
      <c r="D540" s="15"/>
      <c r="E540" s="16"/>
    </row>
    <row r="541" spans="1:5" ht="14.25" customHeight="1" x14ac:dyDescent="0.25">
      <c r="A541" s="15"/>
      <c r="B541" s="15"/>
      <c r="C541" s="15"/>
      <c r="D541" s="15"/>
      <c r="E541" s="16"/>
    </row>
    <row r="542" spans="1:5" ht="14.25" customHeight="1" x14ac:dyDescent="0.25">
      <c r="A542" s="15"/>
      <c r="B542" s="15"/>
      <c r="C542" s="15"/>
      <c r="D542" s="15"/>
      <c r="E542" s="16"/>
    </row>
    <row r="543" spans="1:5" ht="14.25" customHeight="1" x14ac:dyDescent="0.25">
      <c r="A543" s="15"/>
      <c r="B543" s="15"/>
      <c r="C543" s="15"/>
      <c r="D543" s="15"/>
      <c r="E543" s="16"/>
    </row>
    <row r="544" spans="1:5" ht="14.25" customHeight="1" x14ac:dyDescent="0.25">
      <c r="A544" s="15"/>
      <c r="B544" s="15"/>
      <c r="C544" s="15"/>
      <c r="D544" s="15"/>
      <c r="E544" s="16"/>
    </row>
    <row r="545" spans="1:5" ht="14.25" customHeight="1" x14ac:dyDescent="0.25">
      <c r="A545" s="15"/>
      <c r="B545" s="15"/>
      <c r="C545" s="15"/>
      <c r="D545" s="15"/>
      <c r="E545" s="16"/>
    </row>
    <row r="546" spans="1:5" ht="14.25" customHeight="1" x14ac:dyDescent="0.25">
      <c r="A546" s="15"/>
      <c r="B546" s="15"/>
      <c r="C546" s="15"/>
      <c r="D546" s="15"/>
      <c r="E546" s="16"/>
    </row>
    <row r="547" spans="1:5" ht="14.25" customHeight="1" x14ac:dyDescent="0.25">
      <c r="A547" s="15"/>
      <c r="B547" s="15"/>
      <c r="C547" s="15"/>
      <c r="D547" s="15"/>
      <c r="E547" s="16"/>
    </row>
    <row r="548" spans="1:5" ht="14.25" customHeight="1" x14ac:dyDescent="0.25">
      <c r="A548" s="15"/>
      <c r="B548" s="15"/>
      <c r="C548" s="15"/>
      <c r="D548" s="15"/>
      <c r="E548" s="16"/>
    </row>
    <row r="549" spans="1:5" ht="14.25" customHeight="1" x14ac:dyDescent="0.25">
      <c r="A549" s="15"/>
      <c r="B549" s="15"/>
      <c r="C549" s="15"/>
      <c r="D549" s="15"/>
      <c r="E549" s="16"/>
    </row>
    <row r="550" spans="1:5" ht="14.25" customHeight="1" x14ac:dyDescent="0.25">
      <c r="A550" s="15"/>
      <c r="B550" s="15"/>
      <c r="C550" s="15"/>
      <c r="D550" s="15"/>
      <c r="E550" s="16"/>
    </row>
    <row r="551" spans="1:5" ht="14.25" customHeight="1" x14ac:dyDescent="0.25">
      <c r="A551" s="15"/>
      <c r="B551" s="15"/>
      <c r="C551" s="15"/>
      <c r="D551" s="15"/>
      <c r="E551" s="16"/>
    </row>
    <row r="552" spans="1:5" ht="14.25" customHeight="1" x14ac:dyDescent="0.25">
      <c r="A552" s="15"/>
      <c r="B552" s="15"/>
      <c r="C552" s="15"/>
      <c r="D552" s="15"/>
      <c r="E552" s="16"/>
    </row>
    <row r="553" spans="1:5" ht="14.25" customHeight="1" x14ac:dyDescent="0.25">
      <c r="A553" s="15"/>
      <c r="B553" s="15"/>
      <c r="C553" s="15"/>
      <c r="D553" s="15"/>
      <c r="E553" s="16"/>
    </row>
    <row r="554" spans="1:5" ht="14.25" customHeight="1" x14ac:dyDescent="0.25">
      <c r="A554" s="15"/>
      <c r="B554" s="15"/>
      <c r="C554" s="15"/>
      <c r="D554" s="15"/>
      <c r="E554" s="16"/>
    </row>
    <row r="555" spans="1:5" ht="14.25" customHeight="1" x14ac:dyDescent="0.25">
      <c r="A555" s="15"/>
      <c r="B555" s="15"/>
      <c r="C555" s="15"/>
      <c r="D555" s="15"/>
      <c r="E555" s="16"/>
    </row>
    <row r="556" spans="1:5" ht="14.25" customHeight="1" x14ac:dyDescent="0.25">
      <c r="A556" s="15"/>
      <c r="B556" s="15"/>
      <c r="C556" s="15"/>
      <c r="D556" s="15"/>
      <c r="E556" s="16"/>
    </row>
    <row r="557" spans="1:5" ht="14.25" customHeight="1" x14ac:dyDescent="0.25">
      <c r="A557" s="15"/>
      <c r="B557" s="15"/>
      <c r="C557" s="15"/>
      <c r="D557" s="15"/>
      <c r="E557" s="16"/>
    </row>
    <row r="558" spans="1:5" ht="14.25" customHeight="1" x14ac:dyDescent="0.25">
      <c r="A558" s="15"/>
      <c r="B558" s="15"/>
      <c r="C558" s="15"/>
      <c r="D558" s="15"/>
      <c r="E558" s="16"/>
    </row>
    <row r="559" spans="1:5" ht="14.25" customHeight="1" x14ac:dyDescent="0.25">
      <c r="A559" s="15"/>
      <c r="B559" s="15"/>
      <c r="C559" s="15"/>
      <c r="D559" s="15"/>
      <c r="E559" s="16"/>
    </row>
    <row r="560" spans="1:5" ht="14.25" customHeight="1" x14ac:dyDescent="0.25">
      <c r="A560" s="15"/>
      <c r="B560" s="15"/>
      <c r="C560" s="15"/>
      <c r="D560" s="15"/>
      <c r="E560" s="16"/>
    </row>
    <row r="561" spans="1:5" ht="14.25" customHeight="1" x14ac:dyDescent="0.25">
      <c r="A561" s="15"/>
      <c r="B561" s="15"/>
      <c r="C561" s="15"/>
      <c r="D561" s="15"/>
      <c r="E561" s="16"/>
    </row>
    <row r="562" spans="1:5" ht="14.25" customHeight="1" x14ac:dyDescent="0.25">
      <c r="A562" s="15"/>
      <c r="B562" s="15"/>
      <c r="C562" s="15"/>
      <c r="D562" s="15"/>
      <c r="E562" s="16"/>
    </row>
    <row r="563" spans="1:5" ht="14.25" customHeight="1" x14ac:dyDescent="0.25">
      <c r="A563" s="15"/>
      <c r="B563" s="15"/>
      <c r="C563" s="15"/>
      <c r="D563" s="15"/>
      <c r="E563" s="16"/>
    </row>
    <row r="564" spans="1:5" ht="14.25" customHeight="1" x14ac:dyDescent="0.25">
      <c r="A564" s="15"/>
      <c r="B564" s="15"/>
      <c r="C564" s="15"/>
      <c r="D564" s="15"/>
      <c r="E564" s="16"/>
    </row>
    <row r="565" spans="1:5" ht="14.25" customHeight="1" x14ac:dyDescent="0.25">
      <c r="A565" s="15"/>
      <c r="B565" s="15"/>
      <c r="C565" s="15"/>
      <c r="D565" s="15"/>
      <c r="E565" s="16"/>
    </row>
    <row r="566" spans="1:5" ht="14.25" customHeight="1" x14ac:dyDescent="0.25">
      <c r="A566" s="15"/>
      <c r="B566" s="15"/>
      <c r="C566" s="15"/>
      <c r="D566" s="15"/>
      <c r="E566" s="16"/>
    </row>
    <row r="567" spans="1:5" ht="14.25" customHeight="1" x14ac:dyDescent="0.25">
      <c r="A567" s="15"/>
      <c r="B567" s="15"/>
      <c r="C567" s="15"/>
      <c r="D567" s="15"/>
      <c r="E567" s="16"/>
    </row>
    <row r="568" spans="1:5" ht="14.25" customHeight="1" x14ac:dyDescent="0.25">
      <c r="A568" s="15"/>
      <c r="B568" s="15"/>
      <c r="C568" s="15"/>
      <c r="D568" s="15"/>
      <c r="E568" s="16"/>
    </row>
    <row r="569" spans="1:5" ht="14.25" customHeight="1" x14ac:dyDescent="0.25">
      <c r="A569" s="15"/>
      <c r="B569" s="15"/>
      <c r="C569" s="15"/>
      <c r="D569" s="15"/>
      <c r="E569" s="16"/>
    </row>
    <row r="570" spans="1:5" ht="14.25" customHeight="1" x14ac:dyDescent="0.25">
      <c r="A570" s="15"/>
      <c r="B570" s="15"/>
      <c r="C570" s="15"/>
      <c r="D570" s="15"/>
      <c r="E570" s="16"/>
    </row>
    <row r="571" spans="1:5" ht="14.25" customHeight="1" x14ac:dyDescent="0.25">
      <c r="A571" s="15"/>
      <c r="B571" s="15"/>
      <c r="C571" s="15"/>
      <c r="D571" s="15"/>
      <c r="E571" s="16"/>
    </row>
    <row r="572" spans="1:5" ht="14.25" customHeight="1" x14ac:dyDescent="0.25">
      <c r="A572" s="15"/>
      <c r="B572" s="15"/>
      <c r="C572" s="15"/>
      <c r="D572" s="15"/>
      <c r="E572" s="16"/>
    </row>
    <row r="573" spans="1:5" ht="14.25" customHeight="1" x14ac:dyDescent="0.25">
      <c r="A573" s="15"/>
      <c r="B573" s="15"/>
      <c r="C573" s="15"/>
      <c r="D573" s="15"/>
      <c r="E573" s="16"/>
    </row>
    <row r="574" spans="1:5" ht="14.25" customHeight="1" x14ac:dyDescent="0.25">
      <c r="A574" s="15"/>
      <c r="B574" s="15"/>
      <c r="C574" s="15"/>
      <c r="D574" s="15"/>
      <c r="E574" s="16"/>
    </row>
    <row r="575" spans="1:5" ht="14.25" customHeight="1" x14ac:dyDescent="0.25">
      <c r="A575" s="15"/>
      <c r="B575" s="15"/>
      <c r="C575" s="15"/>
      <c r="D575" s="15"/>
      <c r="E575" s="16"/>
    </row>
    <row r="576" spans="1:5" ht="14.25" customHeight="1" x14ac:dyDescent="0.25">
      <c r="A576" s="15"/>
      <c r="B576" s="15"/>
      <c r="C576" s="15"/>
      <c r="D576" s="15"/>
      <c r="E576" s="16"/>
    </row>
    <row r="577" spans="1:5" ht="14.25" customHeight="1" x14ac:dyDescent="0.25">
      <c r="A577" s="15"/>
      <c r="B577" s="15"/>
      <c r="C577" s="15"/>
      <c r="D577" s="15"/>
      <c r="E577" s="16"/>
    </row>
    <row r="578" spans="1:5" ht="14.25" customHeight="1" x14ac:dyDescent="0.25">
      <c r="A578" s="15"/>
      <c r="B578" s="15"/>
      <c r="C578" s="15"/>
      <c r="D578" s="15"/>
      <c r="E578" s="16"/>
    </row>
    <row r="579" spans="1:5" ht="14.25" customHeight="1" x14ac:dyDescent="0.25">
      <c r="A579" s="15"/>
      <c r="B579" s="15"/>
      <c r="C579" s="15"/>
      <c r="D579" s="15"/>
      <c r="E579" s="16"/>
    </row>
    <row r="580" spans="1:5" ht="14.25" customHeight="1" x14ac:dyDescent="0.25">
      <c r="A580" s="15"/>
      <c r="B580" s="15"/>
      <c r="C580" s="15"/>
      <c r="D580" s="15"/>
      <c r="E580" s="16"/>
    </row>
    <row r="581" spans="1:5" ht="14.25" customHeight="1" x14ac:dyDescent="0.25">
      <c r="A581" s="15"/>
      <c r="B581" s="15"/>
      <c r="C581" s="15"/>
      <c r="D581" s="15"/>
      <c r="E581" s="16"/>
    </row>
    <row r="582" spans="1:5" ht="14.25" customHeight="1" x14ac:dyDescent="0.25">
      <c r="A582" s="15"/>
      <c r="B582" s="15"/>
      <c r="C582" s="15"/>
      <c r="D582" s="15"/>
      <c r="E582" s="16"/>
    </row>
    <row r="583" spans="1:5" ht="14.25" customHeight="1" x14ac:dyDescent="0.25">
      <c r="A583" s="15"/>
      <c r="B583" s="15"/>
      <c r="C583" s="15"/>
      <c r="D583" s="15"/>
      <c r="E583" s="16"/>
    </row>
    <row r="584" spans="1:5" ht="14.25" customHeight="1" x14ac:dyDescent="0.25">
      <c r="A584" s="15"/>
      <c r="B584" s="15"/>
      <c r="C584" s="15"/>
      <c r="D584" s="15"/>
      <c r="E584" s="16"/>
    </row>
    <row r="585" spans="1:5" ht="14.25" customHeight="1" x14ac:dyDescent="0.25">
      <c r="A585" s="15"/>
      <c r="B585" s="15"/>
      <c r="C585" s="15"/>
      <c r="D585" s="15"/>
      <c r="E585" s="16"/>
    </row>
    <row r="586" spans="1:5" ht="14.25" customHeight="1" x14ac:dyDescent="0.25">
      <c r="A586" s="15"/>
      <c r="B586" s="15"/>
      <c r="C586" s="15"/>
      <c r="D586" s="15"/>
      <c r="E586" s="16"/>
    </row>
    <row r="587" spans="1:5" ht="14.25" customHeight="1" x14ac:dyDescent="0.25">
      <c r="A587" s="15"/>
      <c r="B587" s="15"/>
      <c r="C587" s="15"/>
      <c r="D587" s="15"/>
      <c r="E587" s="16"/>
    </row>
    <row r="588" spans="1:5" ht="14.25" customHeight="1" x14ac:dyDescent="0.25">
      <c r="A588" s="15"/>
      <c r="B588" s="15"/>
      <c r="C588" s="15"/>
      <c r="D588" s="15"/>
      <c r="E588" s="16"/>
    </row>
    <row r="589" spans="1:5" ht="14.25" customHeight="1" x14ac:dyDescent="0.25">
      <c r="A589" s="15"/>
      <c r="B589" s="15"/>
      <c r="C589" s="15"/>
      <c r="D589" s="15"/>
      <c r="E589" s="16"/>
    </row>
    <row r="590" spans="1:5" ht="14.25" customHeight="1" x14ac:dyDescent="0.25">
      <c r="A590" s="15"/>
      <c r="B590" s="15"/>
      <c r="C590" s="15"/>
      <c r="D590" s="15"/>
      <c r="E590" s="16"/>
    </row>
    <row r="591" spans="1:5" ht="14.25" customHeight="1" x14ac:dyDescent="0.25">
      <c r="A591" s="15"/>
      <c r="B591" s="15"/>
      <c r="C591" s="15"/>
      <c r="D591" s="15"/>
      <c r="E591" s="16"/>
    </row>
    <row r="592" spans="1:5" ht="14.25" customHeight="1" x14ac:dyDescent="0.25">
      <c r="A592" s="15"/>
      <c r="B592" s="15"/>
      <c r="C592" s="15"/>
      <c r="D592" s="15"/>
      <c r="E592" s="16"/>
    </row>
    <row r="593" spans="1:5" ht="14.25" customHeight="1" x14ac:dyDescent="0.25">
      <c r="A593" s="15"/>
      <c r="B593" s="15"/>
      <c r="C593" s="15"/>
      <c r="D593" s="15"/>
      <c r="E593" s="16"/>
    </row>
    <row r="594" spans="1:5" ht="14.25" customHeight="1" x14ac:dyDescent="0.25">
      <c r="A594" s="15"/>
      <c r="B594" s="15"/>
      <c r="C594" s="15"/>
      <c r="D594" s="15"/>
      <c r="E594" s="16"/>
    </row>
    <row r="595" spans="1:5" ht="14.25" customHeight="1" x14ac:dyDescent="0.25">
      <c r="A595" s="15"/>
      <c r="B595" s="15"/>
      <c r="C595" s="15"/>
      <c r="D595" s="15"/>
      <c r="E595" s="16"/>
    </row>
    <row r="596" spans="1:5" ht="14.25" customHeight="1" x14ac:dyDescent="0.25">
      <c r="A596" s="15"/>
      <c r="B596" s="15"/>
      <c r="C596" s="15"/>
      <c r="D596" s="15"/>
      <c r="E596" s="16"/>
    </row>
    <row r="597" spans="1:5" ht="14.25" customHeight="1" x14ac:dyDescent="0.25">
      <c r="A597" s="15"/>
      <c r="B597" s="15"/>
      <c r="C597" s="15"/>
      <c r="D597" s="15"/>
      <c r="E597" s="16"/>
    </row>
    <row r="598" spans="1:5" ht="14.25" customHeight="1" x14ac:dyDescent="0.25">
      <c r="A598" s="15"/>
      <c r="B598" s="15"/>
      <c r="C598" s="15"/>
      <c r="D598" s="15"/>
      <c r="E598" s="16"/>
    </row>
    <row r="599" spans="1:5" ht="14.25" customHeight="1" x14ac:dyDescent="0.25">
      <c r="A599" s="15"/>
      <c r="B599" s="15"/>
      <c r="C599" s="15"/>
      <c r="D599" s="15"/>
      <c r="E599" s="16"/>
    </row>
    <row r="600" spans="1:5" ht="14.25" customHeight="1" x14ac:dyDescent="0.25">
      <c r="A600" s="15"/>
      <c r="B600" s="15"/>
      <c r="C600" s="15"/>
      <c r="D600" s="15"/>
      <c r="E600" s="16"/>
    </row>
    <row r="601" spans="1:5" ht="14.25" customHeight="1" x14ac:dyDescent="0.25">
      <c r="A601" s="15"/>
      <c r="B601" s="15"/>
      <c r="C601" s="15"/>
      <c r="D601" s="15"/>
      <c r="E601" s="16"/>
    </row>
    <row r="602" spans="1:5" ht="14.25" customHeight="1" x14ac:dyDescent="0.25">
      <c r="A602" s="15"/>
      <c r="B602" s="15"/>
      <c r="C602" s="15"/>
      <c r="D602" s="15"/>
      <c r="E602" s="16"/>
    </row>
    <row r="603" spans="1:5" ht="14.25" customHeight="1" x14ac:dyDescent="0.25">
      <c r="A603" s="15"/>
      <c r="B603" s="15"/>
      <c r="C603" s="15"/>
      <c r="D603" s="15"/>
      <c r="E603" s="16"/>
    </row>
    <row r="604" spans="1:5" ht="14.25" customHeight="1" x14ac:dyDescent="0.25">
      <c r="A604" s="15"/>
      <c r="B604" s="15"/>
      <c r="C604" s="15"/>
      <c r="D604" s="15"/>
      <c r="E604" s="16"/>
    </row>
    <row r="605" spans="1:5" ht="14.25" customHeight="1" x14ac:dyDescent="0.25">
      <c r="A605" s="15"/>
      <c r="B605" s="15"/>
      <c r="C605" s="15"/>
      <c r="D605" s="15"/>
      <c r="E605" s="16"/>
    </row>
    <row r="606" spans="1:5" ht="14.25" customHeight="1" x14ac:dyDescent="0.25">
      <c r="A606" s="15"/>
      <c r="B606" s="15"/>
      <c r="C606" s="15"/>
      <c r="D606" s="15"/>
      <c r="E606" s="16"/>
    </row>
    <row r="607" spans="1:5" ht="14.25" customHeight="1" x14ac:dyDescent="0.25">
      <c r="A607" s="15"/>
      <c r="B607" s="15"/>
      <c r="C607" s="15"/>
      <c r="D607" s="15"/>
      <c r="E607" s="16"/>
    </row>
    <row r="608" spans="1:5" ht="14.25" customHeight="1" x14ac:dyDescent="0.25">
      <c r="A608" s="15"/>
      <c r="B608" s="15"/>
      <c r="C608" s="15"/>
      <c r="D608" s="15"/>
      <c r="E608" s="16"/>
    </row>
    <row r="609" spans="1:5" ht="14.25" customHeight="1" x14ac:dyDescent="0.25">
      <c r="A609" s="15"/>
      <c r="B609" s="15"/>
      <c r="C609" s="15"/>
      <c r="D609" s="15"/>
      <c r="E609" s="16"/>
    </row>
    <row r="610" spans="1:5" ht="14.25" customHeight="1" x14ac:dyDescent="0.25">
      <c r="A610" s="15"/>
      <c r="B610" s="15"/>
      <c r="C610" s="15"/>
      <c r="D610" s="15"/>
      <c r="E610" s="16"/>
    </row>
    <row r="611" spans="1:5" ht="14.25" customHeight="1" x14ac:dyDescent="0.25">
      <c r="A611" s="15"/>
      <c r="B611" s="15"/>
      <c r="C611" s="15"/>
      <c r="D611" s="15"/>
      <c r="E611" s="16"/>
    </row>
    <row r="612" spans="1:5" ht="14.25" customHeight="1" x14ac:dyDescent="0.25">
      <c r="A612" s="15"/>
      <c r="B612" s="15"/>
      <c r="C612" s="15"/>
      <c r="D612" s="15"/>
      <c r="E612" s="16"/>
    </row>
    <row r="613" spans="1:5" ht="14.25" customHeight="1" x14ac:dyDescent="0.25">
      <c r="A613" s="15"/>
      <c r="B613" s="15"/>
      <c r="C613" s="15"/>
      <c r="D613" s="15"/>
      <c r="E613" s="16"/>
    </row>
    <row r="614" spans="1:5" ht="14.25" customHeight="1" x14ac:dyDescent="0.25">
      <c r="A614" s="15"/>
      <c r="B614" s="15"/>
      <c r="C614" s="15"/>
      <c r="D614" s="15"/>
      <c r="E614" s="16"/>
    </row>
    <row r="615" spans="1:5" ht="14.25" customHeight="1" x14ac:dyDescent="0.25">
      <c r="A615" s="15"/>
      <c r="B615" s="15"/>
      <c r="C615" s="15"/>
      <c r="D615" s="15"/>
      <c r="E615" s="16"/>
    </row>
    <row r="616" spans="1:5" ht="14.25" customHeight="1" x14ac:dyDescent="0.25">
      <c r="A616" s="15"/>
      <c r="B616" s="15"/>
      <c r="C616" s="15"/>
      <c r="D616" s="15"/>
      <c r="E616" s="16"/>
    </row>
    <row r="617" spans="1:5" ht="14.25" customHeight="1" x14ac:dyDescent="0.25">
      <c r="A617" s="15"/>
      <c r="B617" s="15"/>
      <c r="C617" s="15"/>
      <c r="D617" s="15"/>
      <c r="E617" s="16"/>
    </row>
    <row r="618" spans="1:5" ht="14.25" customHeight="1" x14ac:dyDescent="0.25">
      <c r="A618" s="15"/>
      <c r="B618" s="15"/>
      <c r="C618" s="15"/>
      <c r="D618" s="15"/>
      <c r="E618" s="16"/>
    </row>
    <row r="619" spans="1:5" ht="14.25" customHeight="1" x14ac:dyDescent="0.25">
      <c r="A619" s="15"/>
      <c r="B619" s="15"/>
      <c r="C619" s="15"/>
      <c r="D619" s="15"/>
      <c r="E619" s="16"/>
    </row>
    <row r="620" spans="1:5" ht="14.25" customHeight="1" x14ac:dyDescent="0.25">
      <c r="A620" s="15"/>
      <c r="B620" s="15"/>
      <c r="C620" s="15"/>
      <c r="D620" s="15"/>
      <c r="E620" s="16"/>
    </row>
    <row r="621" spans="1:5" ht="14.25" customHeight="1" x14ac:dyDescent="0.25">
      <c r="A621" s="15"/>
      <c r="B621" s="15"/>
      <c r="C621" s="15"/>
      <c r="D621" s="15"/>
      <c r="E621" s="16"/>
    </row>
    <row r="622" spans="1:5" ht="14.25" customHeight="1" x14ac:dyDescent="0.25">
      <c r="A622" s="15"/>
      <c r="B622" s="15"/>
      <c r="C622" s="15"/>
      <c r="D622" s="15"/>
      <c r="E622" s="16"/>
    </row>
    <row r="623" spans="1:5" ht="14.25" customHeight="1" x14ac:dyDescent="0.25">
      <c r="A623" s="15"/>
      <c r="B623" s="15"/>
      <c r="C623" s="15"/>
      <c r="D623" s="15"/>
      <c r="E623" s="16"/>
    </row>
    <row r="624" spans="1:5" ht="14.25" customHeight="1" x14ac:dyDescent="0.25">
      <c r="A624" s="15"/>
      <c r="B624" s="15"/>
      <c r="C624" s="15"/>
      <c r="D624" s="15"/>
      <c r="E624" s="16"/>
    </row>
    <row r="625" spans="1:5" ht="14.25" customHeight="1" x14ac:dyDescent="0.25">
      <c r="A625" s="15"/>
      <c r="B625" s="15"/>
      <c r="C625" s="15"/>
      <c r="D625" s="15"/>
      <c r="E625" s="16"/>
    </row>
    <row r="626" spans="1:5" ht="14.25" customHeight="1" x14ac:dyDescent="0.25">
      <c r="A626" s="15"/>
      <c r="B626" s="15"/>
      <c r="C626" s="15"/>
      <c r="D626" s="15"/>
      <c r="E626" s="16"/>
    </row>
    <row r="627" spans="1:5" ht="14.25" customHeight="1" x14ac:dyDescent="0.25">
      <c r="A627" s="15"/>
      <c r="B627" s="15"/>
      <c r="C627" s="15"/>
      <c r="D627" s="15"/>
      <c r="E627" s="16"/>
    </row>
    <row r="628" spans="1:5" ht="14.25" customHeight="1" x14ac:dyDescent="0.25">
      <c r="A628" s="15"/>
      <c r="B628" s="15"/>
      <c r="C628" s="15"/>
      <c r="D628" s="15"/>
      <c r="E628" s="16"/>
    </row>
    <row r="629" spans="1:5" ht="14.25" customHeight="1" x14ac:dyDescent="0.25">
      <c r="A629" s="15"/>
      <c r="B629" s="15"/>
      <c r="C629" s="15"/>
      <c r="D629" s="15"/>
      <c r="E629" s="16"/>
    </row>
    <row r="630" spans="1:5" ht="14.25" customHeight="1" x14ac:dyDescent="0.25">
      <c r="A630" s="15"/>
      <c r="B630" s="15"/>
      <c r="C630" s="15"/>
      <c r="D630" s="15"/>
      <c r="E630" s="16"/>
    </row>
    <row r="631" spans="1:5" ht="14.25" customHeight="1" x14ac:dyDescent="0.25">
      <c r="A631" s="15"/>
      <c r="B631" s="15"/>
      <c r="C631" s="15"/>
      <c r="D631" s="15"/>
      <c r="E631" s="16"/>
    </row>
    <row r="632" spans="1:5" ht="14.25" customHeight="1" x14ac:dyDescent="0.25">
      <c r="A632" s="15"/>
      <c r="B632" s="15"/>
      <c r="C632" s="15"/>
      <c r="D632" s="15"/>
      <c r="E632" s="16"/>
    </row>
    <row r="633" spans="1:5" ht="14.25" customHeight="1" x14ac:dyDescent="0.25">
      <c r="A633" s="15"/>
      <c r="B633" s="15"/>
      <c r="C633" s="15"/>
      <c r="D633" s="15"/>
      <c r="E633" s="16"/>
    </row>
    <row r="634" spans="1:5" ht="14.25" customHeight="1" x14ac:dyDescent="0.25">
      <c r="A634" s="15"/>
      <c r="B634" s="15"/>
      <c r="C634" s="15"/>
      <c r="D634" s="15"/>
      <c r="E634" s="16"/>
    </row>
    <row r="635" spans="1:5" ht="14.25" customHeight="1" x14ac:dyDescent="0.25">
      <c r="A635" s="15"/>
      <c r="B635" s="15"/>
      <c r="C635" s="15"/>
      <c r="D635" s="15"/>
      <c r="E635" s="16"/>
    </row>
    <row r="636" spans="1:5" ht="14.25" customHeight="1" x14ac:dyDescent="0.25">
      <c r="A636" s="15"/>
      <c r="B636" s="15"/>
      <c r="C636" s="15"/>
      <c r="D636" s="15"/>
      <c r="E636" s="16"/>
    </row>
    <row r="637" spans="1:5" ht="14.25" customHeight="1" x14ac:dyDescent="0.25">
      <c r="A637" s="15"/>
      <c r="B637" s="15"/>
      <c r="C637" s="15"/>
      <c r="D637" s="15"/>
      <c r="E637" s="16"/>
    </row>
    <row r="638" spans="1:5" ht="14.25" customHeight="1" x14ac:dyDescent="0.25">
      <c r="A638" s="15"/>
      <c r="B638" s="15"/>
      <c r="C638" s="15"/>
      <c r="D638" s="15"/>
      <c r="E638" s="16"/>
    </row>
    <row r="639" spans="1:5" ht="14.25" customHeight="1" x14ac:dyDescent="0.25">
      <c r="A639" s="15"/>
      <c r="B639" s="15"/>
      <c r="C639" s="15"/>
      <c r="D639" s="15"/>
      <c r="E639" s="16"/>
    </row>
    <row r="640" spans="1:5" ht="14.25" customHeight="1" x14ac:dyDescent="0.25">
      <c r="A640" s="15"/>
      <c r="B640" s="15"/>
      <c r="C640" s="15"/>
      <c r="D640" s="15"/>
      <c r="E640" s="16"/>
    </row>
    <row r="641" spans="1:5" ht="14.25" customHeight="1" x14ac:dyDescent="0.25">
      <c r="A641" s="15"/>
      <c r="B641" s="15"/>
      <c r="C641" s="15"/>
      <c r="D641" s="15"/>
      <c r="E641" s="16"/>
    </row>
    <row r="642" spans="1:5" ht="14.25" customHeight="1" x14ac:dyDescent="0.25">
      <c r="A642" s="15"/>
      <c r="B642" s="15"/>
      <c r="C642" s="15"/>
      <c r="D642" s="15"/>
      <c r="E642" s="16"/>
    </row>
    <row r="643" spans="1:5" ht="14.25" customHeight="1" x14ac:dyDescent="0.25">
      <c r="A643" s="15"/>
      <c r="B643" s="15"/>
      <c r="C643" s="15"/>
      <c r="D643" s="15"/>
      <c r="E643" s="16"/>
    </row>
    <row r="644" spans="1:5" ht="14.25" customHeight="1" x14ac:dyDescent="0.25">
      <c r="A644" s="15"/>
      <c r="B644" s="15"/>
      <c r="C644" s="15"/>
      <c r="D644" s="15"/>
      <c r="E644" s="16"/>
    </row>
    <row r="645" spans="1:5" ht="14.25" customHeight="1" x14ac:dyDescent="0.25">
      <c r="A645" s="15"/>
      <c r="B645" s="15"/>
      <c r="C645" s="15"/>
      <c r="D645" s="15"/>
      <c r="E645" s="16"/>
    </row>
    <row r="646" spans="1:5" ht="14.25" customHeight="1" x14ac:dyDescent="0.25">
      <c r="A646" s="15"/>
      <c r="B646" s="15"/>
      <c r="C646" s="15"/>
      <c r="D646" s="15"/>
      <c r="E646" s="16"/>
    </row>
    <row r="647" spans="1:5" ht="14.25" customHeight="1" x14ac:dyDescent="0.25">
      <c r="A647" s="15"/>
      <c r="B647" s="15"/>
      <c r="C647" s="15"/>
      <c r="D647" s="15"/>
      <c r="E647" s="16"/>
    </row>
    <row r="648" spans="1:5" ht="14.25" customHeight="1" x14ac:dyDescent="0.25">
      <c r="A648" s="15"/>
      <c r="B648" s="15"/>
      <c r="C648" s="15"/>
      <c r="D648" s="15"/>
      <c r="E648" s="16"/>
    </row>
    <row r="649" spans="1:5" ht="14.25" customHeight="1" x14ac:dyDescent="0.25">
      <c r="A649" s="15"/>
      <c r="B649" s="15"/>
      <c r="C649" s="15"/>
      <c r="D649" s="15"/>
      <c r="E649" s="16"/>
    </row>
    <row r="650" spans="1:5" ht="14.25" customHeight="1" x14ac:dyDescent="0.25">
      <c r="A650" s="15"/>
      <c r="B650" s="15"/>
      <c r="C650" s="15"/>
      <c r="D650" s="15"/>
      <c r="E650" s="16"/>
    </row>
    <row r="651" spans="1:5" ht="14.25" customHeight="1" x14ac:dyDescent="0.25">
      <c r="A651" s="15"/>
      <c r="B651" s="15"/>
      <c r="C651" s="15"/>
      <c r="D651" s="15"/>
      <c r="E651" s="16"/>
    </row>
    <row r="652" spans="1:5" ht="14.25" customHeight="1" x14ac:dyDescent="0.25">
      <c r="A652" s="15"/>
      <c r="B652" s="15"/>
      <c r="C652" s="15"/>
      <c r="D652" s="15"/>
      <c r="E652" s="16"/>
    </row>
    <row r="653" spans="1:5" ht="14.25" customHeight="1" x14ac:dyDescent="0.25">
      <c r="A653" s="15"/>
      <c r="B653" s="15"/>
      <c r="C653" s="15"/>
      <c r="D653" s="15"/>
      <c r="E653" s="16"/>
    </row>
    <row r="654" spans="1:5" ht="14.25" customHeight="1" x14ac:dyDescent="0.25">
      <c r="A654" s="15"/>
      <c r="B654" s="15"/>
      <c r="C654" s="15"/>
      <c r="D654" s="15"/>
      <c r="E654" s="16"/>
    </row>
    <row r="655" spans="1:5" ht="14.25" customHeight="1" x14ac:dyDescent="0.25">
      <c r="A655" s="15"/>
      <c r="B655" s="15"/>
      <c r="C655" s="15"/>
      <c r="D655" s="15"/>
      <c r="E655" s="16"/>
    </row>
    <row r="656" spans="1:5" ht="14.25" customHeight="1" x14ac:dyDescent="0.25">
      <c r="A656" s="15"/>
      <c r="B656" s="15"/>
      <c r="C656" s="15"/>
      <c r="D656" s="15"/>
      <c r="E656" s="16"/>
    </row>
    <row r="657" spans="1:5" ht="14.25" customHeight="1" x14ac:dyDescent="0.25">
      <c r="A657" s="15"/>
      <c r="B657" s="15"/>
      <c r="C657" s="15"/>
      <c r="D657" s="15"/>
      <c r="E657" s="16"/>
    </row>
    <row r="658" spans="1:5" ht="14.25" customHeight="1" x14ac:dyDescent="0.25">
      <c r="A658" s="15"/>
      <c r="B658" s="15"/>
      <c r="C658" s="15"/>
      <c r="D658" s="15"/>
      <c r="E658" s="16"/>
    </row>
    <row r="659" spans="1:5" ht="14.25" customHeight="1" x14ac:dyDescent="0.25">
      <c r="A659" s="15"/>
      <c r="B659" s="15"/>
      <c r="C659" s="15"/>
      <c r="D659" s="15"/>
      <c r="E659" s="16"/>
    </row>
    <row r="660" spans="1:5" ht="14.25" customHeight="1" x14ac:dyDescent="0.25">
      <c r="A660" s="15"/>
      <c r="B660" s="15"/>
      <c r="C660" s="15"/>
      <c r="D660" s="15"/>
      <c r="E660" s="16"/>
    </row>
    <row r="661" spans="1:5" ht="14.25" customHeight="1" x14ac:dyDescent="0.25">
      <c r="A661" s="15"/>
      <c r="B661" s="15"/>
      <c r="C661" s="15"/>
      <c r="D661" s="15"/>
      <c r="E661" s="16"/>
    </row>
    <row r="662" spans="1:5" ht="14.25" customHeight="1" x14ac:dyDescent="0.25">
      <c r="A662" s="15"/>
      <c r="B662" s="15"/>
      <c r="C662" s="15"/>
      <c r="D662" s="15"/>
      <c r="E662" s="16"/>
    </row>
    <row r="663" spans="1:5" ht="14.25" customHeight="1" x14ac:dyDescent="0.25">
      <c r="A663" s="15"/>
      <c r="B663" s="15"/>
      <c r="C663" s="15"/>
      <c r="D663" s="15"/>
      <c r="E663" s="16"/>
    </row>
    <row r="664" spans="1:5" ht="14.25" customHeight="1" x14ac:dyDescent="0.25">
      <c r="A664" s="15"/>
      <c r="B664" s="15"/>
      <c r="C664" s="15"/>
      <c r="D664" s="15"/>
      <c r="E664" s="16"/>
    </row>
    <row r="665" spans="1:5" ht="14.25" customHeight="1" x14ac:dyDescent="0.25">
      <c r="A665" s="15"/>
      <c r="B665" s="15"/>
      <c r="C665" s="15"/>
      <c r="D665" s="15"/>
      <c r="E665" s="16"/>
    </row>
    <row r="666" spans="1:5" ht="14.25" customHeight="1" x14ac:dyDescent="0.25">
      <c r="A666" s="15"/>
      <c r="B666" s="15"/>
      <c r="C666" s="15"/>
      <c r="D666" s="15"/>
      <c r="E666" s="16"/>
    </row>
    <row r="667" spans="1:5" ht="14.25" customHeight="1" x14ac:dyDescent="0.25">
      <c r="A667" s="15"/>
      <c r="B667" s="15"/>
      <c r="C667" s="15"/>
      <c r="D667" s="15"/>
      <c r="E667" s="16"/>
    </row>
    <row r="668" spans="1:5" ht="14.25" customHeight="1" x14ac:dyDescent="0.25">
      <c r="A668" s="15"/>
      <c r="B668" s="15"/>
      <c r="C668" s="15"/>
      <c r="D668" s="15"/>
      <c r="E668" s="16"/>
    </row>
    <row r="669" spans="1:5" ht="14.25" customHeight="1" x14ac:dyDescent="0.25">
      <c r="A669" s="15"/>
      <c r="B669" s="15"/>
      <c r="C669" s="15"/>
      <c r="D669" s="15"/>
      <c r="E669" s="16"/>
    </row>
    <row r="670" spans="1:5" ht="14.25" customHeight="1" x14ac:dyDescent="0.25">
      <c r="A670" s="15"/>
      <c r="B670" s="15"/>
      <c r="C670" s="15"/>
      <c r="D670" s="15"/>
      <c r="E670" s="16"/>
    </row>
    <row r="671" spans="1:5" ht="14.25" customHeight="1" x14ac:dyDescent="0.25">
      <c r="A671" s="15"/>
      <c r="B671" s="15"/>
      <c r="C671" s="15"/>
      <c r="D671" s="15"/>
      <c r="E671" s="16"/>
    </row>
    <row r="672" spans="1:5" ht="14.25" customHeight="1" x14ac:dyDescent="0.25">
      <c r="A672" s="15"/>
      <c r="B672" s="15"/>
      <c r="C672" s="15"/>
      <c r="D672" s="15"/>
      <c r="E672" s="16"/>
    </row>
    <row r="673" spans="1:5" ht="14.25" customHeight="1" x14ac:dyDescent="0.25">
      <c r="A673" s="15"/>
      <c r="B673" s="15"/>
      <c r="C673" s="15"/>
      <c r="D673" s="15"/>
      <c r="E673" s="16"/>
    </row>
    <row r="674" spans="1:5" ht="14.25" customHeight="1" x14ac:dyDescent="0.25">
      <c r="A674" s="15"/>
      <c r="B674" s="15"/>
      <c r="C674" s="15"/>
      <c r="D674" s="15"/>
      <c r="E674" s="16"/>
    </row>
    <row r="675" spans="1:5" ht="14.25" customHeight="1" x14ac:dyDescent="0.25">
      <c r="A675" s="15"/>
      <c r="B675" s="15"/>
      <c r="C675" s="15"/>
      <c r="D675" s="15"/>
      <c r="E675" s="16"/>
    </row>
    <row r="676" spans="1:5" ht="14.25" customHeight="1" x14ac:dyDescent="0.25">
      <c r="A676" s="15"/>
      <c r="B676" s="15"/>
      <c r="C676" s="15"/>
      <c r="D676" s="15"/>
      <c r="E676" s="16"/>
    </row>
    <row r="677" spans="1:5" ht="14.25" customHeight="1" x14ac:dyDescent="0.25">
      <c r="A677" s="15"/>
      <c r="B677" s="15"/>
      <c r="C677" s="15"/>
      <c r="D677" s="15"/>
      <c r="E677" s="16"/>
    </row>
    <row r="678" spans="1:5" ht="14.25" customHeight="1" x14ac:dyDescent="0.25">
      <c r="A678" s="15"/>
      <c r="B678" s="15"/>
      <c r="C678" s="15"/>
      <c r="D678" s="15"/>
      <c r="E678" s="16"/>
    </row>
    <row r="679" spans="1:5" ht="14.25" customHeight="1" x14ac:dyDescent="0.25">
      <c r="A679" s="15"/>
      <c r="B679" s="15"/>
      <c r="C679" s="15"/>
      <c r="D679" s="15"/>
      <c r="E679" s="16"/>
    </row>
    <row r="680" spans="1:5" ht="14.25" customHeight="1" x14ac:dyDescent="0.25">
      <c r="A680" s="15"/>
      <c r="B680" s="15"/>
      <c r="C680" s="15"/>
      <c r="D680" s="15"/>
      <c r="E680" s="16"/>
    </row>
    <row r="681" spans="1:5" ht="14.25" customHeight="1" x14ac:dyDescent="0.25">
      <c r="A681" s="15"/>
      <c r="B681" s="15"/>
      <c r="C681" s="15"/>
      <c r="D681" s="15"/>
      <c r="E681" s="16"/>
    </row>
    <row r="682" spans="1:5" ht="14.25" customHeight="1" x14ac:dyDescent="0.25">
      <c r="A682" s="15"/>
      <c r="B682" s="15"/>
      <c r="C682" s="15"/>
      <c r="D682" s="15"/>
      <c r="E682" s="16"/>
    </row>
    <row r="683" spans="1:5" ht="14.25" customHeight="1" x14ac:dyDescent="0.25">
      <c r="A683" s="15"/>
      <c r="B683" s="15"/>
      <c r="C683" s="15"/>
      <c r="D683" s="15"/>
      <c r="E683" s="16"/>
    </row>
    <row r="684" spans="1:5" ht="14.25" customHeight="1" x14ac:dyDescent="0.25">
      <c r="A684" s="15"/>
      <c r="B684" s="15"/>
      <c r="C684" s="15"/>
      <c r="D684" s="15"/>
      <c r="E684" s="16"/>
    </row>
    <row r="685" spans="1:5" ht="14.25" customHeight="1" x14ac:dyDescent="0.25">
      <c r="A685" s="15"/>
      <c r="B685" s="15"/>
      <c r="C685" s="15"/>
      <c r="D685" s="15"/>
      <c r="E685" s="16"/>
    </row>
    <row r="686" spans="1:5" ht="14.25" customHeight="1" x14ac:dyDescent="0.25">
      <c r="A686" s="15"/>
      <c r="B686" s="15"/>
      <c r="C686" s="15"/>
      <c r="D686" s="15"/>
      <c r="E686" s="16"/>
    </row>
    <row r="687" spans="1:5" ht="14.25" customHeight="1" x14ac:dyDescent="0.25">
      <c r="A687" s="15"/>
      <c r="B687" s="15"/>
      <c r="C687" s="15"/>
      <c r="D687" s="15"/>
      <c r="E687" s="16"/>
    </row>
    <row r="688" spans="1:5" ht="14.25" customHeight="1" x14ac:dyDescent="0.25">
      <c r="A688" s="15"/>
      <c r="B688" s="15"/>
      <c r="C688" s="15"/>
      <c r="D688" s="15"/>
      <c r="E688" s="16"/>
    </row>
    <row r="689" spans="1:5" ht="14.25" customHeight="1" x14ac:dyDescent="0.25">
      <c r="A689" s="15"/>
      <c r="B689" s="15"/>
      <c r="C689" s="15"/>
      <c r="D689" s="15"/>
      <c r="E689" s="16"/>
    </row>
    <row r="690" spans="1:5" ht="14.25" customHeight="1" x14ac:dyDescent="0.25">
      <c r="A690" s="15"/>
      <c r="B690" s="15"/>
      <c r="C690" s="15"/>
      <c r="D690" s="15"/>
      <c r="E690" s="16"/>
    </row>
    <row r="691" spans="1:5" ht="14.25" customHeight="1" x14ac:dyDescent="0.25">
      <c r="A691" s="15"/>
      <c r="B691" s="15"/>
      <c r="C691" s="15"/>
      <c r="D691" s="15"/>
      <c r="E691" s="16"/>
    </row>
    <row r="692" spans="1:5" ht="14.25" customHeight="1" x14ac:dyDescent="0.25">
      <c r="A692" s="15"/>
      <c r="B692" s="15"/>
      <c r="C692" s="15"/>
      <c r="D692" s="15"/>
      <c r="E692" s="16"/>
    </row>
    <row r="693" spans="1:5" ht="14.25" customHeight="1" x14ac:dyDescent="0.25">
      <c r="A693" s="15"/>
      <c r="B693" s="15"/>
      <c r="C693" s="15"/>
      <c r="D693" s="15"/>
      <c r="E693" s="16"/>
    </row>
    <row r="694" spans="1:5" ht="14.25" customHeight="1" x14ac:dyDescent="0.25">
      <c r="A694" s="15"/>
      <c r="B694" s="15"/>
      <c r="C694" s="15"/>
      <c r="D694" s="15"/>
      <c r="E694" s="16"/>
    </row>
    <row r="695" spans="1:5" ht="14.25" customHeight="1" x14ac:dyDescent="0.25">
      <c r="A695" s="15"/>
      <c r="B695" s="15"/>
      <c r="C695" s="15"/>
      <c r="D695" s="15"/>
      <c r="E695" s="16"/>
    </row>
    <row r="696" spans="1:5" ht="14.25" customHeight="1" x14ac:dyDescent="0.25">
      <c r="A696" s="15"/>
      <c r="B696" s="15"/>
      <c r="C696" s="15"/>
      <c r="D696" s="15"/>
      <c r="E696" s="16"/>
    </row>
    <row r="697" spans="1:5" ht="14.25" customHeight="1" x14ac:dyDescent="0.25">
      <c r="A697" s="15"/>
      <c r="B697" s="15"/>
      <c r="C697" s="15"/>
      <c r="D697" s="15"/>
      <c r="E697" s="16"/>
    </row>
    <row r="698" spans="1:5" ht="14.25" customHeight="1" x14ac:dyDescent="0.25">
      <c r="A698" s="15"/>
      <c r="B698" s="15"/>
      <c r="C698" s="15"/>
      <c r="D698" s="15"/>
      <c r="E698" s="16"/>
    </row>
    <row r="699" spans="1:5" ht="14.25" customHeight="1" x14ac:dyDescent="0.25">
      <c r="A699" s="15"/>
      <c r="B699" s="15"/>
      <c r="C699" s="15"/>
      <c r="D699" s="15"/>
      <c r="E699" s="16"/>
    </row>
    <row r="700" spans="1:5" ht="14.25" customHeight="1" x14ac:dyDescent="0.25">
      <c r="A700" s="15"/>
      <c r="B700" s="15"/>
      <c r="C700" s="15"/>
      <c r="D700" s="15"/>
      <c r="E700" s="16"/>
    </row>
    <row r="701" spans="1:5" ht="14.25" customHeight="1" x14ac:dyDescent="0.25">
      <c r="A701" s="15"/>
      <c r="B701" s="15"/>
      <c r="C701" s="15"/>
      <c r="D701" s="15"/>
      <c r="E701" s="16"/>
    </row>
    <row r="702" spans="1:5" ht="14.25" customHeight="1" x14ac:dyDescent="0.25">
      <c r="A702" s="15"/>
      <c r="B702" s="15"/>
      <c r="C702" s="15"/>
      <c r="D702" s="15"/>
      <c r="E702" s="16"/>
    </row>
    <row r="703" spans="1:5" ht="14.25" customHeight="1" x14ac:dyDescent="0.25">
      <c r="A703" s="15"/>
      <c r="B703" s="15"/>
      <c r="C703" s="15"/>
      <c r="D703" s="15"/>
      <c r="E703" s="16"/>
    </row>
    <row r="704" spans="1:5" ht="14.25" customHeight="1" x14ac:dyDescent="0.25">
      <c r="A704" s="15"/>
      <c r="B704" s="15"/>
      <c r="C704" s="15"/>
      <c r="D704" s="15"/>
      <c r="E704" s="16"/>
    </row>
    <row r="705" spans="1:5" ht="14.25" customHeight="1" x14ac:dyDescent="0.25">
      <c r="A705" s="15"/>
      <c r="B705" s="15"/>
      <c r="C705" s="15"/>
      <c r="D705" s="15"/>
      <c r="E705" s="16"/>
    </row>
    <row r="706" spans="1:5" ht="14.25" customHeight="1" x14ac:dyDescent="0.25">
      <c r="A706" s="15"/>
      <c r="B706" s="15"/>
      <c r="C706" s="15"/>
      <c r="D706" s="15"/>
      <c r="E706" s="16"/>
    </row>
    <row r="707" spans="1:5" ht="14.25" customHeight="1" x14ac:dyDescent="0.25">
      <c r="A707" s="15"/>
      <c r="B707" s="15"/>
      <c r="C707" s="15"/>
      <c r="D707" s="15"/>
      <c r="E707" s="16"/>
    </row>
    <row r="708" spans="1:5" ht="14.25" customHeight="1" x14ac:dyDescent="0.25">
      <c r="A708" s="15"/>
      <c r="B708" s="15"/>
      <c r="C708" s="15"/>
      <c r="D708" s="15"/>
      <c r="E708" s="16"/>
    </row>
    <row r="709" spans="1:5" ht="14.25" customHeight="1" x14ac:dyDescent="0.25">
      <c r="A709" s="15"/>
      <c r="B709" s="15"/>
      <c r="C709" s="15"/>
      <c r="D709" s="15"/>
      <c r="E709" s="16"/>
    </row>
    <row r="710" spans="1:5" ht="14.25" customHeight="1" x14ac:dyDescent="0.25">
      <c r="A710" s="15"/>
      <c r="B710" s="15"/>
      <c r="C710" s="15"/>
      <c r="D710" s="15"/>
      <c r="E710" s="16"/>
    </row>
    <row r="711" spans="1:5" ht="14.25" customHeight="1" x14ac:dyDescent="0.25">
      <c r="A711" s="15"/>
      <c r="B711" s="15"/>
      <c r="C711" s="15"/>
      <c r="D711" s="15"/>
      <c r="E711" s="16"/>
    </row>
    <row r="712" spans="1:5" ht="14.25" customHeight="1" x14ac:dyDescent="0.25">
      <c r="A712" s="15"/>
      <c r="B712" s="15"/>
      <c r="C712" s="15"/>
      <c r="D712" s="15"/>
      <c r="E712" s="16"/>
    </row>
    <row r="713" spans="1:5" ht="14.25" customHeight="1" x14ac:dyDescent="0.25">
      <c r="A713" s="15"/>
      <c r="B713" s="15"/>
      <c r="C713" s="15"/>
      <c r="D713" s="15"/>
      <c r="E713" s="16"/>
    </row>
    <row r="714" spans="1:5" ht="14.25" customHeight="1" x14ac:dyDescent="0.25">
      <c r="A714" s="15"/>
      <c r="B714" s="15"/>
      <c r="C714" s="15"/>
      <c r="D714" s="15"/>
      <c r="E714" s="16"/>
    </row>
    <row r="715" spans="1:5" ht="14.25" customHeight="1" x14ac:dyDescent="0.25">
      <c r="A715" s="15"/>
      <c r="B715" s="15"/>
      <c r="C715" s="15"/>
      <c r="D715" s="15"/>
      <c r="E715" s="16"/>
    </row>
    <row r="716" spans="1:5" ht="14.25" customHeight="1" x14ac:dyDescent="0.25">
      <c r="A716" s="15"/>
      <c r="B716" s="15"/>
      <c r="C716" s="15"/>
      <c r="D716" s="15"/>
      <c r="E716" s="16"/>
    </row>
    <row r="717" spans="1:5" ht="14.25" customHeight="1" x14ac:dyDescent="0.25">
      <c r="A717" s="15"/>
      <c r="B717" s="15"/>
      <c r="C717" s="15"/>
      <c r="D717" s="15"/>
      <c r="E717" s="16"/>
    </row>
    <row r="718" spans="1:5" ht="14.25" customHeight="1" x14ac:dyDescent="0.25">
      <c r="A718" s="15"/>
      <c r="B718" s="15"/>
      <c r="C718" s="15"/>
      <c r="D718" s="15"/>
      <c r="E718" s="16"/>
    </row>
    <row r="719" spans="1:5" ht="14.25" customHeight="1" x14ac:dyDescent="0.25">
      <c r="A719" s="15"/>
      <c r="B719" s="15"/>
      <c r="C719" s="15"/>
      <c r="D719" s="15"/>
      <c r="E719" s="16"/>
    </row>
    <row r="720" spans="1:5" ht="14.25" customHeight="1" x14ac:dyDescent="0.25">
      <c r="A720" s="15"/>
      <c r="B720" s="15"/>
      <c r="C720" s="15"/>
      <c r="D720" s="15"/>
      <c r="E720" s="16"/>
    </row>
    <row r="721" spans="1:5" ht="14.25" customHeight="1" x14ac:dyDescent="0.25">
      <c r="A721" s="15"/>
      <c r="B721" s="15"/>
      <c r="C721" s="15"/>
      <c r="D721" s="15"/>
      <c r="E721" s="16"/>
    </row>
    <row r="722" spans="1:5" ht="14.25" customHeight="1" x14ac:dyDescent="0.25">
      <c r="A722" s="15"/>
      <c r="B722" s="15"/>
      <c r="C722" s="15"/>
      <c r="D722" s="15"/>
      <c r="E722" s="16"/>
    </row>
    <row r="723" spans="1:5" ht="14.25" customHeight="1" x14ac:dyDescent="0.25">
      <c r="A723" s="15"/>
      <c r="B723" s="15"/>
      <c r="C723" s="15"/>
      <c r="D723" s="15"/>
      <c r="E723" s="16"/>
    </row>
    <row r="724" spans="1:5" ht="14.25" customHeight="1" x14ac:dyDescent="0.25">
      <c r="A724" s="15"/>
      <c r="B724" s="15"/>
      <c r="C724" s="15"/>
      <c r="D724" s="15"/>
      <c r="E724" s="16"/>
    </row>
    <row r="725" spans="1:5" ht="14.25" customHeight="1" x14ac:dyDescent="0.25">
      <c r="A725" s="15"/>
      <c r="B725" s="15"/>
      <c r="C725" s="15"/>
      <c r="D725" s="15"/>
      <c r="E725" s="16"/>
    </row>
    <row r="726" spans="1:5" ht="14.25" customHeight="1" x14ac:dyDescent="0.25">
      <c r="A726" s="15"/>
      <c r="B726" s="15"/>
      <c r="C726" s="15"/>
      <c r="D726" s="15"/>
      <c r="E726" s="16"/>
    </row>
    <row r="727" spans="1:5" ht="14.25" customHeight="1" x14ac:dyDescent="0.25">
      <c r="A727" s="15"/>
      <c r="B727" s="15"/>
      <c r="C727" s="15"/>
      <c r="D727" s="15"/>
      <c r="E727" s="16"/>
    </row>
    <row r="728" spans="1:5" ht="14.25" customHeight="1" x14ac:dyDescent="0.25">
      <c r="A728" s="15"/>
      <c r="B728" s="15"/>
      <c r="C728" s="15"/>
      <c r="D728" s="15"/>
      <c r="E728" s="16"/>
    </row>
    <row r="729" spans="1:5" ht="14.25" customHeight="1" x14ac:dyDescent="0.25">
      <c r="A729" s="15"/>
      <c r="B729" s="15"/>
      <c r="C729" s="15"/>
      <c r="D729" s="15"/>
      <c r="E729" s="16"/>
    </row>
    <row r="730" spans="1:5" ht="14.25" customHeight="1" x14ac:dyDescent="0.25">
      <c r="A730" s="15"/>
      <c r="B730" s="15"/>
      <c r="C730" s="15"/>
      <c r="D730" s="15"/>
      <c r="E730" s="16"/>
    </row>
    <row r="731" spans="1:5" ht="14.25" customHeight="1" x14ac:dyDescent="0.25">
      <c r="A731" s="15"/>
      <c r="B731" s="15"/>
      <c r="C731" s="15"/>
      <c r="D731" s="15"/>
      <c r="E731" s="16"/>
    </row>
    <row r="732" spans="1:5" ht="14.25" customHeight="1" x14ac:dyDescent="0.25">
      <c r="A732" s="15"/>
      <c r="B732" s="15"/>
      <c r="C732" s="15"/>
      <c r="D732" s="15"/>
      <c r="E732" s="16"/>
    </row>
    <row r="733" spans="1:5" ht="14.25" customHeight="1" x14ac:dyDescent="0.25">
      <c r="A733" s="15"/>
      <c r="B733" s="15"/>
      <c r="C733" s="15"/>
      <c r="D733" s="15"/>
      <c r="E733" s="16"/>
    </row>
    <row r="734" spans="1:5" ht="14.25" customHeight="1" x14ac:dyDescent="0.25">
      <c r="A734" s="15"/>
      <c r="B734" s="15"/>
      <c r="C734" s="15"/>
      <c r="D734" s="15"/>
      <c r="E734" s="16"/>
    </row>
    <row r="735" spans="1:5" ht="14.25" customHeight="1" x14ac:dyDescent="0.25">
      <c r="A735" s="15"/>
      <c r="B735" s="15"/>
      <c r="C735" s="15"/>
      <c r="D735" s="15"/>
      <c r="E735" s="16"/>
    </row>
    <row r="736" spans="1:5" ht="14.25" customHeight="1" x14ac:dyDescent="0.25">
      <c r="A736" s="15"/>
      <c r="B736" s="15"/>
      <c r="C736" s="15"/>
      <c r="D736" s="15"/>
      <c r="E736" s="16"/>
    </row>
    <row r="737" spans="1:5" ht="14.25" customHeight="1" x14ac:dyDescent="0.25">
      <c r="A737" s="15"/>
      <c r="B737" s="15"/>
      <c r="C737" s="15"/>
      <c r="D737" s="15"/>
      <c r="E737" s="16"/>
    </row>
    <row r="738" spans="1:5" ht="14.25" customHeight="1" x14ac:dyDescent="0.25">
      <c r="A738" s="15"/>
      <c r="B738" s="15"/>
      <c r="C738" s="15"/>
      <c r="D738" s="15"/>
      <c r="E738" s="16"/>
    </row>
    <row r="739" spans="1:5" ht="14.25" customHeight="1" x14ac:dyDescent="0.25">
      <c r="A739" s="15"/>
      <c r="B739" s="15"/>
      <c r="C739" s="15"/>
      <c r="D739" s="15"/>
      <c r="E739" s="16"/>
    </row>
    <row r="740" spans="1:5" ht="14.25" customHeight="1" x14ac:dyDescent="0.25">
      <c r="A740" s="15"/>
      <c r="B740" s="15"/>
      <c r="C740" s="15"/>
      <c r="D740" s="15"/>
      <c r="E740" s="16"/>
    </row>
    <row r="741" spans="1:5" ht="14.25" customHeight="1" x14ac:dyDescent="0.25">
      <c r="A741" s="15"/>
      <c r="B741" s="15"/>
      <c r="C741" s="15"/>
      <c r="D741" s="15"/>
      <c r="E741" s="16"/>
    </row>
    <row r="742" spans="1:5" ht="14.25" customHeight="1" x14ac:dyDescent="0.25">
      <c r="A742" s="15"/>
      <c r="B742" s="15"/>
      <c r="C742" s="15"/>
      <c r="D742" s="15"/>
      <c r="E742" s="16"/>
    </row>
    <row r="743" spans="1:5" ht="14.25" customHeight="1" x14ac:dyDescent="0.25">
      <c r="A743" s="15"/>
      <c r="B743" s="15"/>
      <c r="C743" s="15"/>
      <c r="D743" s="15"/>
      <c r="E743" s="16"/>
    </row>
    <row r="744" spans="1:5" ht="14.25" customHeight="1" x14ac:dyDescent="0.25">
      <c r="A744" s="15"/>
      <c r="B744" s="15"/>
      <c r="C744" s="15"/>
      <c r="D744" s="15"/>
      <c r="E744" s="16"/>
    </row>
    <row r="745" spans="1:5" ht="14.25" customHeight="1" x14ac:dyDescent="0.25">
      <c r="A745" s="15"/>
      <c r="B745" s="15"/>
      <c r="C745" s="15"/>
      <c r="D745" s="15"/>
      <c r="E745" s="16"/>
    </row>
    <row r="746" spans="1:5" ht="14.25" customHeight="1" x14ac:dyDescent="0.25">
      <c r="A746" s="15"/>
      <c r="B746" s="15"/>
      <c r="C746" s="15"/>
      <c r="D746" s="15"/>
      <c r="E746" s="16"/>
    </row>
    <row r="747" spans="1:5" ht="14.25" customHeight="1" x14ac:dyDescent="0.25">
      <c r="A747" s="15"/>
      <c r="B747" s="15"/>
      <c r="C747" s="15"/>
      <c r="D747" s="15"/>
      <c r="E747" s="16"/>
    </row>
    <row r="748" spans="1:5" ht="14.25" customHeight="1" x14ac:dyDescent="0.25">
      <c r="A748" s="15"/>
      <c r="B748" s="15"/>
      <c r="C748" s="15"/>
      <c r="D748" s="15"/>
      <c r="E748" s="16"/>
    </row>
    <row r="749" spans="1:5" ht="14.25" customHeight="1" x14ac:dyDescent="0.25">
      <c r="A749" s="15"/>
      <c r="B749" s="15"/>
      <c r="C749" s="15"/>
      <c r="D749" s="15"/>
      <c r="E749" s="16"/>
    </row>
    <row r="750" spans="1:5" ht="14.25" customHeight="1" x14ac:dyDescent="0.25">
      <c r="A750" s="15"/>
      <c r="B750" s="15"/>
      <c r="C750" s="15"/>
      <c r="D750" s="15"/>
      <c r="E750" s="16"/>
    </row>
    <row r="751" spans="1:5" ht="14.25" customHeight="1" x14ac:dyDescent="0.25">
      <c r="A751" s="15"/>
      <c r="B751" s="15"/>
      <c r="C751" s="15"/>
      <c r="D751" s="15"/>
      <c r="E751" s="16"/>
    </row>
    <row r="752" spans="1:5" ht="14.25" customHeight="1" x14ac:dyDescent="0.25">
      <c r="A752" s="15"/>
      <c r="B752" s="15"/>
      <c r="C752" s="15"/>
      <c r="D752" s="15"/>
      <c r="E752" s="16"/>
    </row>
    <row r="753" spans="1:5" ht="14.25" customHeight="1" x14ac:dyDescent="0.25">
      <c r="A753" s="15"/>
      <c r="B753" s="15"/>
      <c r="C753" s="15"/>
      <c r="D753" s="15"/>
      <c r="E753" s="16"/>
    </row>
    <row r="754" spans="1:5" ht="14.25" customHeight="1" x14ac:dyDescent="0.25">
      <c r="A754" s="15"/>
      <c r="B754" s="15"/>
      <c r="C754" s="15"/>
      <c r="D754" s="15"/>
      <c r="E754" s="16"/>
    </row>
    <row r="755" spans="1:5" ht="14.25" customHeight="1" x14ac:dyDescent="0.25">
      <c r="A755" s="15"/>
      <c r="B755" s="15"/>
      <c r="C755" s="15"/>
      <c r="D755" s="15"/>
      <c r="E755" s="16"/>
    </row>
    <row r="756" spans="1:5" ht="14.25" customHeight="1" x14ac:dyDescent="0.25">
      <c r="A756" s="15"/>
      <c r="B756" s="15"/>
      <c r="C756" s="15"/>
      <c r="D756" s="15"/>
      <c r="E756" s="16"/>
    </row>
    <row r="757" spans="1:5" ht="14.25" customHeight="1" x14ac:dyDescent="0.25">
      <c r="A757" s="15"/>
      <c r="B757" s="15"/>
      <c r="C757" s="15"/>
      <c r="D757" s="15"/>
      <c r="E757" s="16"/>
    </row>
    <row r="758" spans="1:5" ht="14.25" customHeight="1" x14ac:dyDescent="0.25">
      <c r="A758" s="15"/>
      <c r="B758" s="15"/>
      <c r="C758" s="15"/>
      <c r="D758" s="15"/>
      <c r="E758" s="16"/>
    </row>
    <row r="759" spans="1:5" ht="14.25" customHeight="1" x14ac:dyDescent="0.25">
      <c r="A759" s="15"/>
      <c r="B759" s="15"/>
      <c r="C759" s="15"/>
      <c r="D759" s="15"/>
      <c r="E759" s="16"/>
    </row>
    <row r="760" spans="1:5" ht="14.25" customHeight="1" x14ac:dyDescent="0.25">
      <c r="A760" s="15"/>
      <c r="B760" s="15"/>
      <c r="C760" s="15"/>
      <c r="D760" s="15"/>
      <c r="E760" s="16"/>
    </row>
    <row r="761" spans="1:5" ht="14.25" customHeight="1" x14ac:dyDescent="0.25">
      <c r="A761" s="15"/>
      <c r="B761" s="15"/>
      <c r="C761" s="15"/>
      <c r="D761" s="15"/>
      <c r="E761" s="16"/>
    </row>
    <row r="762" spans="1:5" ht="14.25" customHeight="1" x14ac:dyDescent="0.25">
      <c r="A762" s="15"/>
      <c r="B762" s="15"/>
      <c r="C762" s="15"/>
      <c r="D762" s="15"/>
      <c r="E762" s="16"/>
    </row>
    <row r="763" spans="1:5" ht="14.25" customHeight="1" x14ac:dyDescent="0.25">
      <c r="A763" s="15"/>
      <c r="B763" s="15"/>
      <c r="C763" s="15"/>
      <c r="D763" s="15"/>
      <c r="E763" s="16"/>
    </row>
    <row r="764" spans="1:5" ht="14.25" customHeight="1" x14ac:dyDescent="0.25">
      <c r="A764" s="15"/>
      <c r="B764" s="15"/>
      <c r="C764" s="15"/>
      <c r="D764" s="15"/>
      <c r="E764" s="16"/>
    </row>
    <row r="765" spans="1:5" ht="14.25" customHeight="1" x14ac:dyDescent="0.25">
      <c r="A765" s="15"/>
      <c r="B765" s="15"/>
      <c r="C765" s="15"/>
      <c r="D765" s="15"/>
      <c r="E765" s="16"/>
    </row>
    <row r="766" spans="1:5" ht="14.25" customHeight="1" x14ac:dyDescent="0.25">
      <c r="A766" s="15"/>
      <c r="B766" s="15"/>
      <c r="C766" s="15"/>
      <c r="D766" s="15"/>
      <c r="E766" s="16"/>
    </row>
    <row r="767" spans="1:5" ht="14.25" customHeight="1" x14ac:dyDescent="0.25">
      <c r="A767" s="15"/>
      <c r="B767" s="15"/>
      <c r="C767" s="15"/>
      <c r="D767" s="15"/>
      <c r="E767" s="16"/>
    </row>
    <row r="768" spans="1:5" ht="14.25" customHeight="1" x14ac:dyDescent="0.25">
      <c r="A768" s="15"/>
      <c r="B768" s="15"/>
      <c r="C768" s="15"/>
      <c r="D768" s="15"/>
      <c r="E768" s="16"/>
    </row>
    <row r="769" spans="1:5" ht="14.25" customHeight="1" x14ac:dyDescent="0.25">
      <c r="A769" s="15"/>
      <c r="B769" s="15"/>
      <c r="C769" s="15"/>
      <c r="D769" s="15"/>
      <c r="E769" s="16"/>
    </row>
    <row r="770" spans="1:5" ht="14.25" customHeight="1" x14ac:dyDescent="0.25">
      <c r="A770" s="15"/>
      <c r="B770" s="15"/>
      <c r="C770" s="15"/>
      <c r="D770" s="15"/>
      <c r="E770" s="16"/>
    </row>
    <row r="771" spans="1:5" ht="14.25" customHeight="1" x14ac:dyDescent="0.25">
      <c r="A771" s="15"/>
      <c r="B771" s="15"/>
      <c r="C771" s="15"/>
      <c r="D771" s="15"/>
      <c r="E771" s="16"/>
    </row>
    <row r="772" spans="1:5" ht="14.25" customHeight="1" x14ac:dyDescent="0.25">
      <c r="A772" s="15"/>
      <c r="B772" s="15"/>
      <c r="C772" s="15"/>
      <c r="D772" s="15"/>
      <c r="E772" s="16"/>
    </row>
    <row r="773" spans="1:5" ht="14.25" customHeight="1" x14ac:dyDescent="0.25">
      <c r="A773" s="15"/>
      <c r="B773" s="15"/>
      <c r="C773" s="15"/>
      <c r="D773" s="15"/>
      <c r="E773" s="16"/>
    </row>
    <row r="774" spans="1:5" ht="14.25" customHeight="1" x14ac:dyDescent="0.25">
      <c r="A774" s="15"/>
      <c r="B774" s="15"/>
      <c r="C774" s="15"/>
      <c r="D774" s="15"/>
      <c r="E774" s="16"/>
    </row>
    <row r="775" spans="1:5" ht="14.25" customHeight="1" x14ac:dyDescent="0.25">
      <c r="A775" s="15"/>
      <c r="B775" s="15"/>
      <c r="C775" s="15"/>
      <c r="D775" s="15"/>
      <c r="E775" s="16"/>
    </row>
    <row r="776" spans="1:5" ht="14.25" customHeight="1" x14ac:dyDescent="0.25">
      <c r="A776" s="15"/>
      <c r="B776" s="15"/>
      <c r="C776" s="15"/>
      <c r="D776" s="15"/>
      <c r="E776" s="16"/>
    </row>
    <row r="777" spans="1:5" ht="14.25" customHeight="1" x14ac:dyDescent="0.25">
      <c r="A777" s="15"/>
      <c r="B777" s="15"/>
      <c r="C777" s="15"/>
      <c r="D777" s="15"/>
      <c r="E777" s="16"/>
    </row>
    <row r="778" spans="1:5" ht="14.25" customHeight="1" x14ac:dyDescent="0.25">
      <c r="A778" s="15"/>
      <c r="B778" s="15"/>
      <c r="C778" s="15"/>
      <c r="D778" s="15"/>
      <c r="E778" s="16"/>
    </row>
    <row r="779" spans="1:5" ht="14.25" customHeight="1" x14ac:dyDescent="0.25">
      <c r="A779" s="15"/>
      <c r="B779" s="15"/>
      <c r="C779" s="15"/>
      <c r="D779" s="15"/>
      <c r="E779" s="16"/>
    </row>
    <row r="780" spans="1:5" ht="14.25" customHeight="1" x14ac:dyDescent="0.25">
      <c r="A780" s="15"/>
      <c r="B780" s="15"/>
      <c r="C780" s="15"/>
      <c r="D780" s="15"/>
      <c r="E780" s="16"/>
    </row>
    <row r="781" spans="1:5" ht="14.25" customHeight="1" x14ac:dyDescent="0.25">
      <c r="A781" s="15"/>
      <c r="B781" s="15"/>
      <c r="C781" s="15"/>
      <c r="D781" s="15"/>
      <c r="E781" s="16"/>
    </row>
    <row r="782" spans="1:5" ht="14.25" customHeight="1" x14ac:dyDescent="0.25">
      <c r="A782" s="15"/>
      <c r="B782" s="15"/>
      <c r="C782" s="15"/>
      <c r="D782" s="15"/>
      <c r="E782" s="16"/>
    </row>
    <row r="783" spans="1:5" ht="14.25" customHeight="1" x14ac:dyDescent="0.25">
      <c r="A783" s="15"/>
      <c r="B783" s="15"/>
      <c r="C783" s="15"/>
      <c r="D783" s="15"/>
      <c r="E783" s="16"/>
    </row>
    <row r="784" spans="1:5" ht="14.25" customHeight="1" x14ac:dyDescent="0.25">
      <c r="A784" s="15"/>
      <c r="B784" s="15"/>
      <c r="C784" s="15"/>
      <c r="D784" s="15"/>
      <c r="E784" s="16"/>
    </row>
    <row r="785" spans="1:5" ht="14.25" customHeight="1" x14ac:dyDescent="0.25">
      <c r="A785" s="15"/>
      <c r="B785" s="15"/>
      <c r="C785" s="15"/>
      <c r="D785" s="15"/>
      <c r="E785" s="16"/>
    </row>
    <row r="786" spans="1:5" ht="14.25" customHeight="1" x14ac:dyDescent="0.25">
      <c r="A786" s="15"/>
      <c r="B786" s="15"/>
      <c r="C786" s="15"/>
      <c r="D786" s="15"/>
      <c r="E786" s="16"/>
    </row>
    <row r="787" spans="1:5" ht="14.25" customHeight="1" x14ac:dyDescent="0.25">
      <c r="A787" s="15"/>
      <c r="B787" s="15"/>
      <c r="C787" s="15"/>
      <c r="D787" s="15"/>
      <c r="E787" s="16"/>
    </row>
    <row r="788" spans="1:5" ht="14.25" customHeight="1" x14ac:dyDescent="0.25">
      <c r="A788" s="15"/>
      <c r="B788" s="15"/>
      <c r="C788" s="15"/>
      <c r="D788" s="15"/>
      <c r="E788" s="16"/>
    </row>
    <row r="789" spans="1:5" ht="14.25" customHeight="1" x14ac:dyDescent="0.25">
      <c r="A789" s="15"/>
      <c r="B789" s="15"/>
      <c r="C789" s="15"/>
      <c r="D789" s="15"/>
      <c r="E789" s="16"/>
    </row>
    <row r="790" spans="1:5" ht="14.25" customHeight="1" x14ac:dyDescent="0.25">
      <c r="A790" s="15"/>
      <c r="B790" s="15"/>
      <c r="C790" s="15"/>
      <c r="D790" s="15"/>
      <c r="E790" s="16"/>
    </row>
    <row r="791" spans="1:5" ht="14.25" customHeight="1" x14ac:dyDescent="0.25">
      <c r="A791" s="15"/>
      <c r="B791" s="15"/>
      <c r="C791" s="15"/>
      <c r="D791" s="15"/>
      <c r="E791" s="16"/>
    </row>
    <row r="792" spans="1:5" ht="14.25" customHeight="1" x14ac:dyDescent="0.25">
      <c r="A792" s="15"/>
      <c r="B792" s="15"/>
      <c r="C792" s="15"/>
      <c r="D792" s="15"/>
      <c r="E792" s="16"/>
    </row>
    <row r="793" spans="1:5" ht="14.25" customHeight="1" x14ac:dyDescent="0.25">
      <c r="A793" s="15"/>
      <c r="B793" s="15"/>
      <c r="C793" s="15"/>
      <c r="D793" s="15"/>
      <c r="E793" s="16"/>
    </row>
    <row r="794" spans="1:5" ht="14.25" customHeight="1" x14ac:dyDescent="0.25">
      <c r="A794" s="15"/>
      <c r="B794" s="15"/>
      <c r="C794" s="15"/>
      <c r="D794" s="15"/>
      <c r="E794" s="16"/>
    </row>
    <row r="795" spans="1:5" ht="14.25" customHeight="1" x14ac:dyDescent="0.25">
      <c r="A795" s="15"/>
      <c r="B795" s="15"/>
      <c r="C795" s="15"/>
      <c r="D795" s="15"/>
      <c r="E795" s="16"/>
    </row>
    <row r="796" spans="1:5" ht="14.25" customHeight="1" x14ac:dyDescent="0.25">
      <c r="A796" s="15"/>
      <c r="B796" s="15"/>
      <c r="C796" s="15"/>
      <c r="D796" s="15"/>
      <c r="E796" s="16"/>
    </row>
    <row r="797" spans="1:5" ht="14.25" customHeight="1" x14ac:dyDescent="0.25">
      <c r="A797" s="15"/>
      <c r="B797" s="15"/>
      <c r="C797" s="15"/>
      <c r="D797" s="15"/>
      <c r="E797" s="16"/>
    </row>
    <row r="798" spans="1:5" ht="14.25" customHeight="1" x14ac:dyDescent="0.25">
      <c r="A798" s="15"/>
      <c r="B798" s="15"/>
      <c r="C798" s="15"/>
      <c r="D798" s="15"/>
      <c r="E798" s="16"/>
    </row>
    <row r="799" spans="1:5" ht="14.25" customHeight="1" x14ac:dyDescent="0.25">
      <c r="A799" s="15"/>
      <c r="B799" s="15"/>
      <c r="C799" s="15"/>
      <c r="D799" s="15"/>
      <c r="E799" s="16"/>
    </row>
    <row r="800" spans="1:5" ht="14.25" customHeight="1" x14ac:dyDescent="0.25">
      <c r="A800" s="15"/>
      <c r="B800" s="15"/>
      <c r="C800" s="15"/>
      <c r="D800" s="15"/>
      <c r="E800" s="16"/>
    </row>
    <row r="801" spans="1:5" ht="14.25" customHeight="1" x14ac:dyDescent="0.25">
      <c r="A801" s="15"/>
      <c r="B801" s="15"/>
      <c r="C801" s="15"/>
      <c r="D801" s="15"/>
      <c r="E801" s="16"/>
    </row>
    <row r="802" spans="1:5" ht="14.25" customHeight="1" x14ac:dyDescent="0.25">
      <c r="A802" s="15"/>
      <c r="B802" s="15"/>
      <c r="C802" s="15"/>
      <c r="D802" s="15"/>
      <c r="E802" s="16"/>
    </row>
    <row r="803" spans="1:5" ht="14.25" customHeight="1" x14ac:dyDescent="0.25">
      <c r="A803" s="15"/>
      <c r="B803" s="15"/>
      <c r="C803" s="15"/>
      <c r="D803" s="15"/>
      <c r="E803" s="16"/>
    </row>
    <row r="804" spans="1:5" ht="14.25" customHeight="1" x14ac:dyDescent="0.25">
      <c r="A804" s="15"/>
      <c r="B804" s="15"/>
      <c r="C804" s="15"/>
      <c r="D804" s="15"/>
      <c r="E804" s="16"/>
    </row>
    <row r="805" spans="1:5" ht="14.25" customHeight="1" x14ac:dyDescent="0.25">
      <c r="A805" s="15"/>
      <c r="B805" s="15"/>
      <c r="C805" s="15"/>
      <c r="D805" s="15"/>
      <c r="E805" s="16"/>
    </row>
    <row r="806" spans="1:5" ht="14.25" customHeight="1" x14ac:dyDescent="0.25">
      <c r="A806" s="15"/>
      <c r="B806" s="15"/>
      <c r="C806" s="15"/>
      <c r="D806" s="15"/>
      <c r="E806" s="16"/>
    </row>
    <row r="807" spans="1:5" ht="14.25" customHeight="1" x14ac:dyDescent="0.25">
      <c r="A807" s="15"/>
      <c r="B807" s="15"/>
      <c r="C807" s="15"/>
      <c r="D807" s="15"/>
      <c r="E807" s="16"/>
    </row>
    <row r="808" spans="1:5" ht="14.25" customHeight="1" x14ac:dyDescent="0.25">
      <c r="A808" s="15"/>
      <c r="B808" s="15"/>
      <c r="C808" s="15"/>
      <c r="D808" s="15"/>
      <c r="E808" s="16"/>
    </row>
    <row r="809" spans="1:5" ht="14.25" customHeight="1" x14ac:dyDescent="0.25">
      <c r="A809" s="15"/>
      <c r="B809" s="15"/>
      <c r="C809" s="15"/>
      <c r="D809" s="15"/>
      <c r="E809" s="16"/>
    </row>
    <row r="810" spans="1:5" ht="14.25" customHeight="1" x14ac:dyDescent="0.25">
      <c r="A810" s="15"/>
      <c r="B810" s="15"/>
      <c r="C810" s="15"/>
      <c r="D810" s="15"/>
      <c r="E810" s="16"/>
    </row>
    <row r="811" spans="1:5" ht="14.25" customHeight="1" x14ac:dyDescent="0.25">
      <c r="A811" s="15"/>
      <c r="B811" s="15"/>
      <c r="C811" s="15"/>
      <c r="D811" s="15"/>
      <c r="E811" s="16"/>
    </row>
    <row r="812" spans="1:5" ht="14.25" customHeight="1" x14ac:dyDescent="0.25">
      <c r="A812" s="15"/>
      <c r="B812" s="15"/>
      <c r="C812" s="15"/>
      <c r="D812" s="15"/>
      <c r="E812" s="16"/>
    </row>
    <row r="813" spans="1:5" ht="14.25" customHeight="1" x14ac:dyDescent="0.25">
      <c r="A813" s="15"/>
      <c r="B813" s="15"/>
      <c r="C813" s="15"/>
      <c r="D813" s="15"/>
      <c r="E813" s="16"/>
    </row>
    <row r="814" spans="1:5" ht="14.25" customHeight="1" x14ac:dyDescent="0.25">
      <c r="A814" s="15"/>
      <c r="B814" s="15"/>
      <c r="C814" s="15"/>
      <c r="D814" s="15"/>
      <c r="E814" s="16"/>
    </row>
    <row r="815" spans="1:5" ht="14.25" customHeight="1" x14ac:dyDescent="0.25">
      <c r="A815" s="15"/>
      <c r="B815" s="15"/>
      <c r="C815" s="15"/>
      <c r="D815" s="15"/>
      <c r="E815" s="16"/>
    </row>
    <row r="816" spans="1:5" ht="14.25" customHeight="1" x14ac:dyDescent="0.25">
      <c r="A816" s="15"/>
      <c r="B816" s="15"/>
      <c r="C816" s="15"/>
      <c r="D816" s="15"/>
      <c r="E816" s="16"/>
    </row>
    <row r="817" spans="1:5" ht="14.25" customHeight="1" x14ac:dyDescent="0.25">
      <c r="A817" s="15"/>
      <c r="B817" s="15"/>
      <c r="C817" s="15"/>
      <c r="D817" s="15"/>
      <c r="E817" s="16"/>
    </row>
    <row r="818" spans="1:5" ht="14.25" customHeight="1" x14ac:dyDescent="0.25">
      <c r="A818" s="15"/>
      <c r="B818" s="15"/>
      <c r="C818" s="15"/>
      <c r="D818" s="15"/>
      <c r="E818" s="16"/>
    </row>
    <row r="819" spans="1:5" ht="14.25" customHeight="1" x14ac:dyDescent="0.25">
      <c r="A819" s="15"/>
      <c r="B819" s="15"/>
      <c r="C819" s="15"/>
      <c r="D819" s="15"/>
      <c r="E819" s="16"/>
    </row>
    <row r="820" spans="1:5" ht="14.25" customHeight="1" x14ac:dyDescent="0.25">
      <c r="A820" s="15"/>
      <c r="B820" s="15"/>
      <c r="C820" s="15"/>
      <c r="D820" s="15"/>
      <c r="E820" s="16"/>
    </row>
    <row r="821" spans="1:5" ht="14.25" customHeight="1" x14ac:dyDescent="0.25">
      <c r="A821" s="15"/>
      <c r="B821" s="15"/>
      <c r="C821" s="15"/>
      <c r="D821" s="15"/>
      <c r="E821" s="16"/>
    </row>
    <row r="822" spans="1:5" ht="14.25" customHeight="1" x14ac:dyDescent="0.25">
      <c r="A822" s="15"/>
      <c r="B822" s="15"/>
      <c r="C822" s="15"/>
      <c r="D822" s="15"/>
      <c r="E822" s="16"/>
    </row>
    <row r="823" spans="1:5" ht="14.25" customHeight="1" x14ac:dyDescent="0.25">
      <c r="A823" s="15"/>
      <c r="B823" s="15"/>
      <c r="C823" s="15"/>
      <c r="D823" s="15"/>
      <c r="E823" s="16"/>
    </row>
    <row r="824" spans="1:5" ht="14.25" customHeight="1" x14ac:dyDescent="0.25">
      <c r="A824" s="15"/>
      <c r="B824" s="15"/>
      <c r="C824" s="15"/>
      <c r="D824" s="15"/>
      <c r="E824" s="16"/>
    </row>
    <row r="825" spans="1:5" ht="14.25" customHeight="1" x14ac:dyDescent="0.25">
      <c r="A825" s="15"/>
      <c r="B825" s="15"/>
      <c r="C825" s="15"/>
      <c r="D825" s="15"/>
      <c r="E825" s="16"/>
    </row>
    <row r="826" spans="1:5" ht="14.25" customHeight="1" x14ac:dyDescent="0.25">
      <c r="A826" s="15"/>
      <c r="B826" s="15"/>
      <c r="C826" s="15"/>
      <c r="D826" s="15"/>
      <c r="E826" s="16"/>
    </row>
    <row r="827" spans="1:5" ht="14.25" customHeight="1" x14ac:dyDescent="0.25">
      <c r="A827" s="15"/>
      <c r="B827" s="15"/>
      <c r="C827" s="15"/>
      <c r="D827" s="15"/>
      <c r="E827" s="16"/>
    </row>
    <row r="828" spans="1:5" ht="14.25" customHeight="1" x14ac:dyDescent="0.25">
      <c r="A828" s="15"/>
      <c r="B828" s="15"/>
      <c r="C828" s="15"/>
      <c r="D828" s="15"/>
      <c r="E828" s="16"/>
    </row>
    <row r="829" spans="1:5" ht="14.25" customHeight="1" x14ac:dyDescent="0.25">
      <c r="A829" s="15"/>
      <c r="B829" s="15"/>
      <c r="C829" s="15"/>
      <c r="D829" s="15"/>
      <c r="E829" s="16"/>
    </row>
    <row r="830" spans="1:5" ht="14.25" customHeight="1" x14ac:dyDescent="0.25">
      <c r="A830" s="15"/>
      <c r="B830" s="15"/>
      <c r="C830" s="15"/>
      <c r="D830" s="15"/>
      <c r="E830" s="16"/>
    </row>
    <row r="831" spans="1:5" ht="14.25" customHeight="1" x14ac:dyDescent="0.25">
      <c r="A831" s="15"/>
      <c r="B831" s="15"/>
      <c r="C831" s="15"/>
      <c r="D831" s="15"/>
      <c r="E831" s="16"/>
    </row>
    <row r="832" spans="1:5" ht="14.25" customHeight="1" x14ac:dyDescent="0.25">
      <c r="A832" s="15"/>
      <c r="B832" s="15"/>
      <c r="C832" s="15"/>
      <c r="D832" s="15"/>
      <c r="E832" s="16"/>
    </row>
    <row r="833" spans="1:5" ht="14.25" customHeight="1" x14ac:dyDescent="0.25">
      <c r="A833" s="15"/>
      <c r="B833" s="15"/>
      <c r="C833" s="15"/>
      <c r="D833" s="15"/>
      <c r="E833" s="16"/>
    </row>
    <row r="834" spans="1:5" ht="14.25" customHeight="1" x14ac:dyDescent="0.25">
      <c r="A834" s="15"/>
      <c r="B834" s="15"/>
      <c r="C834" s="15"/>
      <c r="D834" s="15"/>
      <c r="E834" s="16"/>
    </row>
    <row r="835" spans="1:5" ht="14.25" customHeight="1" x14ac:dyDescent="0.25">
      <c r="A835" s="15"/>
      <c r="B835" s="15"/>
      <c r="C835" s="15"/>
      <c r="D835" s="15"/>
      <c r="E835" s="16"/>
    </row>
    <row r="836" spans="1:5" ht="14.25" customHeight="1" x14ac:dyDescent="0.25">
      <c r="A836" s="15"/>
      <c r="B836" s="15"/>
      <c r="C836" s="15"/>
      <c r="D836" s="15"/>
      <c r="E836" s="16"/>
    </row>
    <row r="837" spans="1:5" ht="14.25" customHeight="1" x14ac:dyDescent="0.25">
      <c r="A837" s="15"/>
      <c r="B837" s="15"/>
      <c r="C837" s="15"/>
      <c r="D837" s="15"/>
      <c r="E837" s="16"/>
    </row>
    <row r="838" spans="1:5" ht="14.25" customHeight="1" x14ac:dyDescent="0.25">
      <c r="A838" s="15"/>
      <c r="B838" s="15"/>
      <c r="C838" s="15"/>
      <c r="D838" s="15"/>
      <c r="E838" s="16"/>
    </row>
    <row r="839" spans="1:5" ht="14.25" customHeight="1" x14ac:dyDescent="0.25">
      <c r="A839" s="15"/>
      <c r="B839" s="15"/>
      <c r="C839" s="15"/>
      <c r="D839" s="15"/>
      <c r="E839" s="16"/>
    </row>
    <row r="840" spans="1:5" ht="14.25" customHeight="1" x14ac:dyDescent="0.25">
      <c r="A840" s="15"/>
      <c r="B840" s="15"/>
      <c r="C840" s="15"/>
      <c r="D840" s="15"/>
      <c r="E840" s="16"/>
    </row>
    <row r="841" spans="1:5" ht="14.25" customHeight="1" x14ac:dyDescent="0.25">
      <c r="A841" s="15"/>
      <c r="B841" s="15"/>
      <c r="C841" s="15"/>
      <c r="D841" s="15"/>
      <c r="E841" s="16"/>
    </row>
    <row r="842" spans="1:5" ht="14.25" customHeight="1" x14ac:dyDescent="0.25">
      <c r="A842" s="15"/>
      <c r="B842" s="15"/>
      <c r="C842" s="15"/>
      <c r="D842" s="15"/>
      <c r="E842" s="16"/>
    </row>
    <row r="843" spans="1:5" ht="14.25" customHeight="1" x14ac:dyDescent="0.25">
      <c r="A843" s="15"/>
      <c r="B843" s="15"/>
      <c r="C843" s="15"/>
      <c r="D843" s="15"/>
      <c r="E843" s="16"/>
    </row>
    <row r="844" spans="1:5" ht="14.25" customHeight="1" x14ac:dyDescent="0.25">
      <c r="A844" s="15"/>
      <c r="B844" s="15"/>
      <c r="C844" s="15"/>
      <c r="D844" s="15"/>
      <c r="E844" s="16"/>
    </row>
    <row r="845" spans="1:5" ht="14.25" customHeight="1" x14ac:dyDescent="0.25">
      <c r="A845" s="15"/>
      <c r="B845" s="15"/>
      <c r="C845" s="15"/>
      <c r="D845" s="15"/>
      <c r="E845" s="16"/>
    </row>
    <row r="846" spans="1:5" ht="14.25" customHeight="1" x14ac:dyDescent="0.25">
      <c r="A846" s="15"/>
      <c r="B846" s="15"/>
      <c r="C846" s="15"/>
      <c r="D846" s="15"/>
      <c r="E846" s="16"/>
    </row>
    <row r="847" spans="1:5" ht="14.25" customHeight="1" x14ac:dyDescent="0.25">
      <c r="A847" s="15"/>
      <c r="B847" s="15"/>
      <c r="C847" s="15"/>
      <c r="D847" s="15"/>
      <c r="E847" s="16"/>
    </row>
    <row r="848" spans="1:5" ht="14.25" customHeight="1" x14ac:dyDescent="0.25">
      <c r="A848" s="15"/>
      <c r="B848" s="15"/>
      <c r="C848" s="15"/>
      <c r="D848" s="15"/>
      <c r="E848" s="16"/>
    </row>
    <row r="849" spans="1:5" ht="14.25" customHeight="1" x14ac:dyDescent="0.25">
      <c r="A849" s="15"/>
      <c r="B849" s="15"/>
      <c r="C849" s="15"/>
      <c r="D849" s="15"/>
      <c r="E849" s="16"/>
    </row>
    <row r="850" spans="1:5" ht="14.25" customHeight="1" x14ac:dyDescent="0.25">
      <c r="A850" s="15"/>
      <c r="B850" s="15"/>
      <c r="C850" s="15"/>
      <c r="D850" s="15"/>
      <c r="E850" s="16"/>
    </row>
    <row r="851" spans="1:5" ht="14.25" customHeight="1" x14ac:dyDescent="0.25">
      <c r="A851" s="15"/>
      <c r="B851" s="15"/>
      <c r="C851" s="15"/>
      <c r="D851" s="15"/>
      <c r="E851" s="16"/>
    </row>
    <row r="852" spans="1:5" ht="14.25" customHeight="1" x14ac:dyDescent="0.25">
      <c r="A852" s="15"/>
      <c r="B852" s="15"/>
      <c r="C852" s="15"/>
      <c r="D852" s="15"/>
      <c r="E852" s="16"/>
    </row>
    <row r="853" spans="1:5" ht="14.25" customHeight="1" x14ac:dyDescent="0.25">
      <c r="A853" s="15"/>
      <c r="B853" s="15"/>
      <c r="C853" s="15"/>
      <c r="D853" s="15"/>
      <c r="E853" s="16"/>
    </row>
    <row r="854" spans="1:5" ht="14.25" customHeight="1" x14ac:dyDescent="0.25">
      <c r="A854" s="15"/>
      <c r="B854" s="15"/>
      <c r="C854" s="15"/>
      <c r="D854" s="15"/>
      <c r="E854" s="16"/>
    </row>
    <row r="855" spans="1:5" ht="14.25" customHeight="1" x14ac:dyDescent="0.25">
      <c r="A855" s="15"/>
      <c r="B855" s="15"/>
      <c r="C855" s="15"/>
      <c r="D855" s="15"/>
      <c r="E855" s="16"/>
    </row>
    <row r="856" spans="1:5" ht="14.25" customHeight="1" x14ac:dyDescent="0.25">
      <c r="A856" s="15"/>
      <c r="B856" s="15"/>
      <c r="C856" s="15"/>
      <c r="D856" s="15"/>
      <c r="E856" s="16"/>
    </row>
    <row r="857" spans="1:5" ht="14.25" customHeight="1" x14ac:dyDescent="0.25">
      <c r="A857" s="15"/>
      <c r="B857" s="15"/>
      <c r="C857" s="15"/>
      <c r="D857" s="15"/>
      <c r="E857" s="16"/>
    </row>
    <row r="858" spans="1:5" ht="14.25" customHeight="1" x14ac:dyDescent="0.25">
      <c r="A858" s="15"/>
      <c r="B858" s="15"/>
      <c r="C858" s="15"/>
      <c r="D858" s="15"/>
      <c r="E858" s="16"/>
    </row>
    <row r="859" spans="1:5" ht="14.25" customHeight="1" x14ac:dyDescent="0.25">
      <c r="A859" s="15"/>
      <c r="B859" s="15"/>
      <c r="C859" s="15"/>
      <c r="D859" s="15"/>
      <c r="E859" s="16"/>
    </row>
    <row r="860" spans="1:5" ht="14.25" customHeight="1" x14ac:dyDescent="0.25">
      <c r="A860" s="15"/>
      <c r="B860" s="15"/>
      <c r="C860" s="15"/>
      <c r="D860" s="15"/>
      <c r="E860" s="16"/>
    </row>
    <row r="861" spans="1:5" ht="14.25" customHeight="1" x14ac:dyDescent="0.25">
      <c r="A861" s="15"/>
      <c r="B861" s="15"/>
      <c r="C861" s="15"/>
      <c r="D861" s="15"/>
      <c r="E861" s="16"/>
    </row>
    <row r="862" spans="1:5" ht="14.25" customHeight="1" x14ac:dyDescent="0.25">
      <c r="A862" s="15"/>
      <c r="B862" s="15"/>
      <c r="C862" s="15"/>
      <c r="D862" s="15"/>
      <c r="E862" s="16"/>
    </row>
    <row r="863" spans="1:5" ht="14.25" customHeight="1" x14ac:dyDescent="0.25">
      <c r="A863" s="15"/>
      <c r="B863" s="15"/>
      <c r="C863" s="15"/>
      <c r="D863" s="15"/>
      <c r="E863" s="16"/>
    </row>
    <row r="864" spans="1:5" ht="14.25" customHeight="1" x14ac:dyDescent="0.25">
      <c r="A864" s="15"/>
      <c r="B864" s="15"/>
      <c r="C864" s="15"/>
      <c r="D864" s="15"/>
      <c r="E864" s="16"/>
    </row>
    <row r="865" spans="1:5" ht="14.25" customHeight="1" x14ac:dyDescent="0.25">
      <c r="A865" s="15"/>
      <c r="B865" s="15"/>
      <c r="C865" s="15"/>
      <c r="D865" s="15"/>
      <c r="E865" s="16"/>
    </row>
    <row r="866" spans="1:5" ht="14.25" customHeight="1" x14ac:dyDescent="0.25">
      <c r="A866" s="15"/>
      <c r="B866" s="15"/>
      <c r="C866" s="15"/>
      <c r="D866" s="15"/>
      <c r="E866" s="16"/>
    </row>
    <row r="867" spans="1:5" ht="14.25" customHeight="1" x14ac:dyDescent="0.25">
      <c r="A867" s="15"/>
      <c r="B867" s="15"/>
      <c r="C867" s="15"/>
      <c r="D867" s="15"/>
      <c r="E867" s="16"/>
    </row>
    <row r="868" spans="1:5" ht="14.25" customHeight="1" x14ac:dyDescent="0.25">
      <c r="A868" s="15"/>
      <c r="B868" s="15"/>
      <c r="C868" s="15"/>
      <c r="D868" s="15"/>
      <c r="E868" s="16"/>
    </row>
    <row r="869" spans="1:5" ht="14.25" customHeight="1" x14ac:dyDescent="0.25">
      <c r="A869" s="15"/>
      <c r="B869" s="15"/>
      <c r="C869" s="15"/>
      <c r="D869" s="15"/>
      <c r="E869" s="16"/>
    </row>
    <row r="870" spans="1:5" ht="14.25" customHeight="1" x14ac:dyDescent="0.25">
      <c r="A870" s="15"/>
      <c r="B870" s="15"/>
      <c r="C870" s="15"/>
      <c r="D870" s="15"/>
      <c r="E870" s="16"/>
    </row>
    <row r="871" spans="1:5" ht="14.25" customHeight="1" x14ac:dyDescent="0.25">
      <c r="A871" s="15"/>
      <c r="B871" s="15"/>
      <c r="C871" s="15"/>
      <c r="D871" s="15"/>
      <c r="E871" s="16"/>
    </row>
    <row r="872" spans="1:5" ht="14.25" customHeight="1" x14ac:dyDescent="0.25">
      <c r="A872" s="15"/>
      <c r="B872" s="15"/>
      <c r="C872" s="15"/>
      <c r="D872" s="15"/>
      <c r="E872" s="16"/>
    </row>
    <row r="873" spans="1:5" ht="14.25" customHeight="1" x14ac:dyDescent="0.25">
      <c r="A873" s="15"/>
      <c r="B873" s="15"/>
      <c r="C873" s="15"/>
      <c r="D873" s="15"/>
      <c r="E873" s="16"/>
    </row>
    <row r="874" spans="1:5" ht="14.25" customHeight="1" x14ac:dyDescent="0.25">
      <c r="A874" s="15"/>
      <c r="B874" s="15"/>
      <c r="C874" s="15"/>
      <c r="D874" s="15"/>
      <c r="E874" s="16"/>
    </row>
    <row r="875" spans="1:5" ht="14.25" customHeight="1" x14ac:dyDescent="0.25">
      <c r="A875" s="15"/>
      <c r="B875" s="15"/>
      <c r="C875" s="15"/>
      <c r="D875" s="15"/>
      <c r="E875" s="16"/>
    </row>
    <row r="876" spans="1:5" ht="14.25" customHeight="1" x14ac:dyDescent="0.25">
      <c r="A876" s="15"/>
      <c r="B876" s="15"/>
      <c r="C876" s="15"/>
      <c r="D876" s="15"/>
      <c r="E876" s="16"/>
    </row>
    <row r="877" spans="1:5" ht="14.25" customHeight="1" x14ac:dyDescent="0.25">
      <c r="A877" s="15"/>
      <c r="B877" s="15"/>
      <c r="C877" s="15"/>
      <c r="D877" s="15"/>
      <c r="E877" s="16"/>
    </row>
    <row r="878" spans="1:5" ht="14.25" customHeight="1" x14ac:dyDescent="0.25">
      <c r="A878" s="15"/>
      <c r="B878" s="15"/>
      <c r="C878" s="15"/>
      <c r="D878" s="15"/>
      <c r="E878" s="16"/>
    </row>
    <row r="879" spans="1:5" ht="14.25" customHeight="1" x14ac:dyDescent="0.25">
      <c r="A879" s="15"/>
      <c r="B879" s="15"/>
      <c r="C879" s="15"/>
      <c r="D879" s="15"/>
      <c r="E879" s="16"/>
    </row>
    <row r="880" spans="1:5" ht="14.25" customHeight="1" x14ac:dyDescent="0.25">
      <c r="A880" s="15"/>
      <c r="B880" s="15"/>
      <c r="C880" s="15"/>
      <c r="D880" s="15"/>
      <c r="E880" s="16"/>
    </row>
    <row r="881" spans="1:5" ht="14.25" customHeight="1" x14ac:dyDescent="0.25">
      <c r="A881" s="15"/>
      <c r="B881" s="15"/>
      <c r="C881" s="15"/>
      <c r="D881" s="15"/>
      <c r="E881" s="16"/>
    </row>
    <row r="882" spans="1:5" ht="14.25" customHeight="1" x14ac:dyDescent="0.25">
      <c r="A882" s="15"/>
      <c r="B882" s="15"/>
      <c r="C882" s="15"/>
      <c r="D882" s="15"/>
      <c r="E882" s="16"/>
    </row>
    <row r="883" spans="1:5" ht="14.25" customHeight="1" x14ac:dyDescent="0.25">
      <c r="A883" s="15"/>
      <c r="B883" s="15"/>
      <c r="C883" s="15"/>
      <c r="D883" s="15"/>
      <c r="E883" s="16"/>
    </row>
    <row r="884" spans="1:5" ht="14.25" customHeight="1" x14ac:dyDescent="0.25">
      <c r="A884" s="15"/>
      <c r="B884" s="15"/>
      <c r="C884" s="15"/>
      <c r="D884" s="15"/>
      <c r="E884" s="16"/>
    </row>
    <row r="885" spans="1:5" ht="14.25" customHeight="1" x14ac:dyDescent="0.25">
      <c r="A885" s="15"/>
      <c r="B885" s="15"/>
      <c r="C885" s="15"/>
      <c r="D885" s="15"/>
      <c r="E885" s="16"/>
    </row>
    <row r="886" spans="1:5" ht="14.25" customHeight="1" x14ac:dyDescent="0.25">
      <c r="A886" s="15"/>
      <c r="B886" s="15"/>
      <c r="C886" s="15"/>
      <c r="D886" s="15"/>
      <c r="E886" s="16"/>
    </row>
    <row r="887" spans="1:5" ht="14.25" customHeight="1" x14ac:dyDescent="0.25">
      <c r="A887" s="15"/>
      <c r="B887" s="15"/>
      <c r="C887" s="15"/>
      <c r="D887" s="15"/>
      <c r="E887" s="16"/>
    </row>
    <row r="888" spans="1:5" ht="14.25" customHeight="1" x14ac:dyDescent="0.25">
      <c r="A888" s="15"/>
      <c r="B888" s="15"/>
      <c r="C888" s="15"/>
      <c r="D888" s="15"/>
      <c r="E888" s="16"/>
    </row>
    <row r="889" spans="1:5" ht="14.25" customHeight="1" x14ac:dyDescent="0.25">
      <c r="A889" s="15"/>
      <c r="B889" s="15"/>
      <c r="C889" s="15"/>
      <c r="D889" s="15"/>
      <c r="E889" s="16"/>
    </row>
    <row r="890" spans="1:5" ht="14.25" customHeight="1" x14ac:dyDescent="0.25">
      <c r="A890" s="15"/>
      <c r="B890" s="15"/>
      <c r="C890" s="15"/>
      <c r="D890" s="15"/>
      <c r="E890" s="16"/>
    </row>
    <row r="891" spans="1:5" ht="14.25" customHeight="1" x14ac:dyDescent="0.25">
      <c r="A891" s="15"/>
      <c r="B891" s="15"/>
      <c r="C891" s="15"/>
      <c r="D891" s="15"/>
      <c r="E891" s="16"/>
    </row>
    <row r="892" spans="1:5" ht="14.25" customHeight="1" x14ac:dyDescent="0.25">
      <c r="A892" s="15"/>
      <c r="B892" s="15"/>
      <c r="C892" s="15"/>
      <c r="D892" s="15"/>
      <c r="E892" s="16"/>
    </row>
    <row r="893" spans="1:5" ht="14.25" customHeight="1" x14ac:dyDescent="0.25">
      <c r="A893" s="15"/>
      <c r="B893" s="15"/>
      <c r="C893" s="15"/>
      <c r="D893" s="15"/>
      <c r="E893" s="16"/>
    </row>
    <row r="894" spans="1:5" ht="14.25" customHeight="1" x14ac:dyDescent="0.25">
      <c r="A894" s="15"/>
      <c r="B894" s="15"/>
      <c r="C894" s="15"/>
      <c r="D894" s="15"/>
      <c r="E894" s="16"/>
    </row>
    <row r="895" spans="1:5" ht="14.25" customHeight="1" x14ac:dyDescent="0.25">
      <c r="A895" s="15"/>
      <c r="B895" s="15"/>
      <c r="C895" s="15"/>
      <c r="D895" s="15"/>
      <c r="E895" s="16"/>
    </row>
    <row r="896" spans="1:5" ht="14.25" customHeight="1" x14ac:dyDescent="0.25">
      <c r="A896" s="15"/>
      <c r="B896" s="15"/>
      <c r="C896" s="15"/>
      <c r="D896" s="15"/>
      <c r="E896" s="16"/>
    </row>
    <row r="897" spans="1:5" ht="14.25" customHeight="1" x14ac:dyDescent="0.25">
      <c r="A897" s="15"/>
      <c r="B897" s="15"/>
      <c r="C897" s="15"/>
      <c r="D897" s="15"/>
      <c r="E897" s="16"/>
    </row>
    <row r="898" spans="1:5" ht="14.25" customHeight="1" x14ac:dyDescent="0.25">
      <c r="A898" s="15"/>
      <c r="B898" s="15"/>
      <c r="C898" s="15"/>
      <c r="D898" s="15"/>
      <c r="E898" s="16"/>
    </row>
    <row r="899" spans="1:5" ht="14.25" customHeight="1" x14ac:dyDescent="0.25">
      <c r="A899" s="15"/>
      <c r="B899" s="15"/>
      <c r="C899" s="15"/>
      <c r="D899" s="15"/>
      <c r="E899" s="16"/>
    </row>
    <row r="900" spans="1:5" ht="14.25" customHeight="1" x14ac:dyDescent="0.25">
      <c r="A900" s="15"/>
      <c r="B900" s="15"/>
      <c r="C900" s="15"/>
      <c r="D900" s="15"/>
      <c r="E900" s="16"/>
    </row>
    <row r="901" spans="1:5" ht="14.25" customHeight="1" x14ac:dyDescent="0.25">
      <c r="A901" s="15"/>
      <c r="B901" s="15"/>
      <c r="C901" s="15"/>
      <c r="D901" s="15"/>
      <c r="E901" s="16"/>
    </row>
    <row r="902" spans="1:5" ht="14.25" customHeight="1" x14ac:dyDescent="0.25">
      <c r="A902" s="15"/>
      <c r="B902" s="15"/>
      <c r="C902" s="15"/>
      <c r="D902" s="15"/>
      <c r="E902" s="16"/>
    </row>
    <row r="903" spans="1:5" ht="14.25" customHeight="1" x14ac:dyDescent="0.25">
      <c r="A903" s="15"/>
      <c r="B903" s="15"/>
      <c r="C903" s="15"/>
      <c r="D903" s="15"/>
      <c r="E903" s="16"/>
    </row>
    <row r="904" spans="1:5" ht="14.25" customHeight="1" x14ac:dyDescent="0.25">
      <c r="A904" s="15"/>
      <c r="B904" s="15"/>
      <c r="C904" s="15"/>
      <c r="D904" s="15"/>
      <c r="E904" s="16"/>
    </row>
    <row r="905" spans="1:5" ht="14.25" customHeight="1" x14ac:dyDescent="0.25">
      <c r="A905" s="15"/>
      <c r="B905" s="15"/>
      <c r="C905" s="15"/>
      <c r="D905" s="15"/>
      <c r="E905" s="16"/>
    </row>
    <row r="906" spans="1:5" ht="14.25" customHeight="1" x14ac:dyDescent="0.25">
      <c r="A906" s="15"/>
      <c r="B906" s="15"/>
      <c r="C906" s="15"/>
      <c r="D906" s="15"/>
      <c r="E906" s="16"/>
    </row>
    <row r="907" spans="1:5" ht="14.25" customHeight="1" x14ac:dyDescent="0.25">
      <c r="A907" s="15"/>
      <c r="B907" s="15"/>
      <c r="C907" s="15"/>
      <c r="D907" s="15"/>
      <c r="E907" s="16"/>
    </row>
    <row r="908" spans="1:5" ht="14.25" customHeight="1" x14ac:dyDescent="0.25">
      <c r="A908" s="15"/>
      <c r="B908" s="15"/>
      <c r="C908" s="15"/>
      <c r="D908" s="15"/>
      <c r="E908" s="16"/>
    </row>
    <row r="909" spans="1:5" ht="14.25" customHeight="1" x14ac:dyDescent="0.25">
      <c r="A909" s="15"/>
      <c r="B909" s="15"/>
      <c r="C909" s="15"/>
      <c r="D909" s="15"/>
      <c r="E909" s="16"/>
    </row>
    <row r="910" spans="1:5" ht="14.25" customHeight="1" x14ac:dyDescent="0.25">
      <c r="A910" s="15"/>
      <c r="B910" s="15"/>
      <c r="C910" s="15"/>
      <c r="D910" s="15"/>
      <c r="E910" s="16"/>
    </row>
    <row r="911" spans="1:5" ht="14.25" customHeight="1" x14ac:dyDescent="0.25">
      <c r="A911" s="15"/>
      <c r="B911" s="15"/>
      <c r="C911" s="15"/>
      <c r="D911" s="15"/>
      <c r="E911" s="16"/>
    </row>
    <row r="912" spans="1:5" ht="14.25" customHeight="1" x14ac:dyDescent="0.25">
      <c r="A912" s="15"/>
      <c r="B912" s="15"/>
      <c r="C912" s="15"/>
      <c r="D912" s="15"/>
      <c r="E912" s="16"/>
    </row>
    <row r="913" spans="1:5" ht="14.25" customHeight="1" x14ac:dyDescent="0.25">
      <c r="A913" s="15"/>
      <c r="B913" s="15"/>
      <c r="C913" s="15"/>
      <c r="D913" s="15"/>
      <c r="E913" s="16"/>
    </row>
    <row r="914" spans="1:5" ht="14.25" customHeight="1" x14ac:dyDescent="0.25">
      <c r="A914" s="15"/>
      <c r="B914" s="15"/>
      <c r="C914" s="15"/>
      <c r="D914" s="15"/>
      <c r="E914" s="16"/>
    </row>
    <row r="915" spans="1:5" ht="14.25" customHeight="1" x14ac:dyDescent="0.25">
      <c r="A915" s="15"/>
      <c r="B915" s="15"/>
      <c r="C915" s="15"/>
      <c r="D915" s="15"/>
      <c r="E915" s="16"/>
    </row>
    <row r="916" spans="1:5" ht="14.25" customHeight="1" x14ac:dyDescent="0.25">
      <c r="A916" s="15"/>
      <c r="B916" s="15"/>
      <c r="C916" s="15"/>
      <c r="D916" s="15"/>
      <c r="E916" s="16"/>
    </row>
    <row r="917" spans="1:5" ht="14.25" customHeight="1" x14ac:dyDescent="0.25">
      <c r="A917" s="15"/>
      <c r="B917" s="15"/>
      <c r="C917" s="15"/>
      <c r="D917" s="15"/>
      <c r="E917" s="16"/>
    </row>
    <row r="918" spans="1:5" ht="14.25" customHeight="1" x14ac:dyDescent="0.25">
      <c r="A918" s="15"/>
      <c r="B918" s="15"/>
      <c r="C918" s="15"/>
      <c r="D918" s="15"/>
      <c r="E918" s="16"/>
    </row>
    <row r="919" spans="1:5" ht="14.25" customHeight="1" x14ac:dyDescent="0.25">
      <c r="A919" s="15"/>
      <c r="B919" s="15"/>
      <c r="C919" s="15"/>
      <c r="D919" s="15"/>
      <c r="E919" s="16"/>
    </row>
    <row r="920" spans="1:5" ht="14.25" customHeight="1" x14ac:dyDescent="0.25">
      <c r="A920" s="15"/>
      <c r="B920" s="15"/>
      <c r="C920" s="15"/>
      <c r="D920" s="15"/>
      <c r="E920" s="16"/>
    </row>
    <row r="921" spans="1:5" ht="14.25" customHeight="1" x14ac:dyDescent="0.25">
      <c r="A921" s="15"/>
      <c r="B921" s="15"/>
      <c r="C921" s="15"/>
      <c r="D921" s="15"/>
      <c r="E921" s="16"/>
    </row>
    <row r="922" spans="1:5" ht="14.25" customHeight="1" x14ac:dyDescent="0.25">
      <c r="A922" s="15"/>
      <c r="B922" s="15"/>
      <c r="C922" s="15"/>
      <c r="D922" s="15"/>
      <c r="E922" s="16"/>
    </row>
    <row r="923" spans="1:5" ht="14.25" customHeight="1" x14ac:dyDescent="0.25">
      <c r="A923" s="15"/>
      <c r="B923" s="15"/>
      <c r="C923" s="15"/>
      <c r="D923" s="15"/>
      <c r="E923" s="16"/>
    </row>
    <row r="924" spans="1:5" ht="14.25" customHeight="1" x14ac:dyDescent="0.25">
      <c r="A924" s="15"/>
      <c r="B924" s="15"/>
      <c r="C924" s="15"/>
      <c r="D924" s="15"/>
      <c r="E924" s="16"/>
    </row>
    <row r="925" spans="1:5" ht="14.25" customHeight="1" x14ac:dyDescent="0.25">
      <c r="A925" s="15"/>
      <c r="B925" s="15"/>
      <c r="C925" s="15"/>
      <c r="D925" s="15"/>
      <c r="E925" s="16"/>
    </row>
    <row r="926" spans="1:5" ht="14.25" customHeight="1" x14ac:dyDescent="0.25">
      <c r="A926" s="15"/>
      <c r="B926" s="15"/>
      <c r="C926" s="15"/>
      <c r="D926" s="15"/>
      <c r="E926" s="16"/>
    </row>
    <row r="927" spans="1:5" ht="14.25" customHeight="1" x14ac:dyDescent="0.25">
      <c r="A927" s="15"/>
      <c r="B927" s="15"/>
      <c r="C927" s="15"/>
      <c r="D927" s="15"/>
      <c r="E927" s="16"/>
    </row>
    <row r="928" spans="1:5" ht="14.25" customHeight="1" x14ac:dyDescent="0.25">
      <c r="A928" s="15"/>
      <c r="B928" s="15"/>
      <c r="C928" s="15"/>
      <c r="D928" s="15"/>
      <c r="E928" s="16"/>
    </row>
    <row r="929" spans="1:5" ht="14.25" customHeight="1" x14ac:dyDescent="0.25">
      <c r="A929" s="15"/>
      <c r="B929" s="15"/>
      <c r="C929" s="15"/>
      <c r="D929" s="15"/>
      <c r="E929" s="16"/>
    </row>
    <row r="930" spans="1:5" ht="14.25" customHeight="1" x14ac:dyDescent="0.25">
      <c r="A930" s="15"/>
      <c r="B930" s="15"/>
      <c r="C930" s="15"/>
      <c r="D930" s="15"/>
      <c r="E930" s="16"/>
    </row>
    <row r="931" spans="1:5" ht="14.25" customHeight="1" x14ac:dyDescent="0.25">
      <c r="A931" s="15"/>
      <c r="B931" s="15"/>
      <c r="C931" s="15"/>
      <c r="D931" s="15"/>
      <c r="E931" s="16"/>
    </row>
    <row r="932" spans="1:5" ht="14.25" customHeight="1" x14ac:dyDescent="0.25">
      <c r="A932" s="15"/>
      <c r="B932" s="15"/>
      <c r="C932" s="15"/>
      <c r="D932" s="15"/>
      <c r="E932" s="16"/>
    </row>
    <row r="933" spans="1:5" ht="14.25" customHeight="1" x14ac:dyDescent="0.25">
      <c r="A933" s="15"/>
      <c r="B933" s="15"/>
      <c r="C933" s="15"/>
      <c r="D933" s="15"/>
      <c r="E933" s="16"/>
    </row>
    <row r="934" spans="1:5" ht="14.25" customHeight="1" x14ac:dyDescent="0.25">
      <c r="A934" s="15"/>
      <c r="B934" s="15"/>
      <c r="C934" s="15"/>
      <c r="D934" s="15"/>
      <c r="E934" s="16"/>
    </row>
    <row r="935" spans="1:5" ht="14.25" customHeight="1" x14ac:dyDescent="0.25">
      <c r="A935" s="15"/>
      <c r="B935" s="15"/>
      <c r="C935" s="15"/>
      <c r="D935" s="15"/>
      <c r="E935" s="16"/>
    </row>
    <row r="936" spans="1:5" ht="14.25" customHeight="1" x14ac:dyDescent="0.25">
      <c r="A936" s="15"/>
      <c r="B936" s="15"/>
      <c r="C936" s="15"/>
      <c r="D936" s="15"/>
      <c r="E936" s="16"/>
    </row>
    <row r="937" spans="1:5" ht="14.25" customHeight="1" x14ac:dyDescent="0.25">
      <c r="A937" s="15"/>
      <c r="B937" s="15"/>
      <c r="C937" s="15"/>
      <c r="D937" s="15"/>
      <c r="E937" s="16"/>
    </row>
    <row r="938" spans="1:5" ht="14.25" customHeight="1" x14ac:dyDescent="0.25">
      <c r="A938" s="15"/>
      <c r="B938" s="15"/>
      <c r="C938" s="15"/>
      <c r="D938" s="15"/>
      <c r="E938" s="16"/>
    </row>
    <row r="939" spans="1:5" ht="14.25" customHeight="1" x14ac:dyDescent="0.25">
      <c r="A939" s="15"/>
      <c r="B939" s="15"/>
      <c r="C939" s="15"/>
      <c r="D939" s="15"/>
      <c r="E939" s="16"/>
    </row>
    <row r="940" spans="1:5" ht="14.25" customHeight="1" x14ac:dyDescent="0.25">
      <c r="A940" s="15"/>
      <c r="B940" s="15"/>
      <c r="C940" s="15"/>
      <c r="D940" s="15"/>
      <c r="E940" s="16"/>
    </row>
    <row r="941" spans="1:5" ht="14.25" customHeight="1" x14ac:dyDescent="0.25">
      <c r="A941" s="15"/>
      <c r="B941" s="15"/>
      <c r="C941" s="15"/>
      <c r="D941" s="15"/>
      <c r="E941" s="16"/>
    </row>
    <row r="942" spans="1:5" ht="14.25" customHeight="1" x14ac:dyDescent="0.25">
      <c r="A942" s="15"/>
      <c r="B942" s="15"/>
      <c r="C942" s="15"/>
      <c r="D942" s="15"/>
      <c r="E942" s="16"/>
    </row>
    <row r="943" spans="1:5" ht="14.25" customHeight="1" x14ac:dyDescent="0.25">
      <c r="A943" s="15"/>
      <c r="B943" s="15"/>
      <c r="C943" s="15"/>
      <c r="D943" s="15"/>
      <c r="E943" s="16"/>
    </row>
    <row r="944" spans="1:5" ht="14.25" customHeight="1" x14ac:dyDescent="0.25">
      <c r="A944" s="15"/>
      <c r="B944" s="15"/>
      <c r="C944" s="15"/>
      <c r="D944" s="15"/>
      <c r="E944" s="16"/>
    </row>
    <row r="945" spans="1:5" ht="14.25" customHeight="1" x14ac:dyDescent="0.25">
      <c r="A945" s="15"/>
      <c r="B945" s="15"/>
      <c r="C945" s="15"/>
      <c r="D945" s="15"/>
      <c r="E945" s="16"/>
    </row>
    <row r="946" spans="1:5" ht="14.25" customHeight="1" x14ac:dyDescent="0.25">
      <c r="A946" s="15"/>
      <c r="B946" s="15"/>
      <c r="C946" s="15"/>
      <c r="D946" s="15"/>
      <c r="E946" s="16"/>
    </row>
    <row r="947" spans="1:5" ht="14.25" customHeight="1" x14ac:dyDescent="0.25">
      <c r="A947" s="15"/>
      <c r="B947" s="15"/>
      <c r="C947" s="15"/>
      <c r="D947" s="15"/>
      <c r="E947" s="16"/>
    </row>
    <row r="948" spans="1:5" ht="14.25" customHeight="1" x14ac:dyDescent="0.25">
      <c r="A948" s="15"/>
      <c r="B948" s="15"/>
      <c r="C948" s="15"/>
      <c r="D948" s="15"/>
      <c r="E948" s="16"/>
    </row>
    <row r="949" spans="1:5" ht="14.25" customHeight="1" x14ac:dyDescent="0.25">
      <c r="A949" s="15"/>
      <c r="B949" s="15"/>
      <c r="C949" s="15"/>
      <c r="D949" s="15"/>
      <c r="E949" s="16"/>
    </row>
    <row r="950" spans="1:5" ht="14.25" customHeight="1" x14ac:dyDescent="0.25">
      <c r="A950" s="15"/>
      <c r="B950" s="15"/>
      <c r="C950" s="15"/>
      <c r="D950" s="15"/>
      <c r="E950" s="16"/>
    </row>
    <row r="951" spans="1:5" ht="14.25" customHeight="1" x14ac:dyDescent="0.25">
      <c r="A951" s="15"/>
      <c r="B951" s="15"/>
      <c r="C951" s="15"/>
      <c r="D951" s="15"/>
      <c r="E951" s="16"/>
    </row>
    <row r="952" spans="1:5" ht="14.25" customHeight="1" x14ac:dyDescent="0.25">
      <c r="A952" s="15"/>
      <c r="B952" s="15"/>
      <c r="C952" s="15"/>
      <c r="D952" s="15"/>
      <c r="E952" s="16"/>
    </row>
    <row r="953" spans="1:5" ht="14.25" customHeight="1" x14ac:dyDescent="0.25">
      <c r="A953" s="15"/>
      <c r="B953" s="15"/>
      <c r="C953" s="15"/>
      <c r="D953" s="15"/>
      <c r="E953" s="16"/>
    </row>
    <row r="954" spans="1:5" ht="14.25" customHeight="1" x14ac:dyDescent="0.25">
      <c r="A954" s="15"/>
      <c r="B954" s="15"/>
      <c r="C954" s="15"/>
      <c r="D954" s="15"/>
      <c r="E954" s="16"/>
    </row>
    <row r="955" spans="1:5" ht="14.25" customHeight="1" x14ac:dyDescent="0.25">
      <c r="A955" s="15"/>
      <c r="B955" s="15"/>
      <c r="C955" s="15"/>
      <c r="D955" s="15"/>
      <c r="E955" s="16"/>
    </row>
    <row r="956" spans="1:5" ht="14.25" customHeight="1" x14ac:dyDescent="0.25">
      <c r="A956" s="15"/>
      <c r="B956" s="15"/>
      <c r="C956" s="15"/>
      <c r="D956" s="15"/>
      <c r="E956" s="16"/>
    </row>
    <row r="957" spans="1:5" ht="14.25" customHeight="1" x14ac:dyDescent="0.25">
      <c r="A957" s="15"/>
      <c r="B957" s="15"/>
      <c r="C957" s="15"/>
      <c r="D957" s="15"/>
      <c r="E957" s="16"/>
    </row>
    <row r="958" spans="1:5" ht="14.25" customHeight="1" x14ac:dyDescent="0.25">
      <c r="A958" s="15"/>
      <c r="B958" s="15"/>
      <c r="C958" s="15"/>
      <c r="D958" s="15"/>
      <c r="E958" s="16"/>
    </row>
    <row r="959" spans="1:5" ht="14.25" customHeight="1" x14ac:dyDescent="0.25">
      <c r="A959" s="15"/>
      <c r="B959" s="15"/>
      <c r="C959" s="15"/>
      <c r="D959" s="15"/>
      <c r="E959" s="16"/>
    </row>
    <row r="960" spans="1:5" ht="14.25" customHeight="1" x14ac:dyDescent="0.25">
      <c r="A960" s="15"/>
      <c r="B960" s="15"/>
      <c r="C960" s="15"/>
      <c r="D960" s="15"/>
      <c r="E960" s="16"/>
    </row>
    <row r="961" spans="1:5" ht="14.25" customHeight="1" x14ac:dyDescent="0.25">
      <c r="A961" s="15"/>
      <c r="B961" s="15"/>
      <c r="C961" s="15"/>
      <c r="D961" s="15"/>
      <c r="E961" s="16"/>
    </row>
    <row r="962" spans="1:5" ht="14.25" customHeight="1" x14ac:dyDescent="0.25">
      <c r="A962" s="15"/>
      <c r="B962" s="15"/>
      <c r="C962" s="15"/>
      <c r="D962" s="15"/>
      <c r="E962" s="16"/>
    </row>
    <row r="963" spans="1:5" ht="14.25" customHeight="1" x14ac:dyDescent="0.25">
      <c r="A963" s="15"/>
      <c r="B963" s="15"/>
      <c r="C963" s="15"/>
      <c r="D963" s="15"/>
      <c r="E963" s="16"/>
    </row>
    <row r="964" spans="1:5" ht="14.25" customHeight="1" x14ac:dyDescent="0.25">
      <c r="A964" s="15"/>
      <c r="B964" s="15"/>
      <c r="C964" s="15"/>
      <c r="D964" s="15"/>
      <c r="E964" s="16"/>
    </row>
    <row r="965" spans="1:5" ht="14.25" customHeight="1" x14ac:dyDescent="0.25">
      <c r="A965" s="15"/>
      <c r="B965" s="15"/>
      <c r="C965" s="15"/>
      <c r="D965" s="15"/>
      <c r="E965" s="16"/>
    </row>
    <row r="966" spans="1:5" ht="14.25" customHeight="1" x14ac:dyDescent="0.25">
      <c r="A966" s="15"/>
      <c r="B966" s="15"/>
      <c r="C966" s="15"/>
      <c r="D966" s="15"/>
      <c r="E966" s="16"/>
    </row>
    <row r="967" spans="1:5" ht="14.25" customHeight="1" x14ac:dyDescent="0.25">
      <c r="A967" s="15"/>
      <c r="B967" s="15"/>
      <c r="C967" s="15"/>
      <c r="D967" s="15"/>
      <c r="E967" s="16"/>
    </row>
    <row r="968" spans="1:5" ht="14.25" customHeight="1" x14ac:dyDescent="0.25">
      <c r="A968" s="15"/>
      <c r="B968" s="15"/>
      <c r="C968" s="15"/>
      <c r="D968" s="15"/>
      <c r="E968" s="16"/>
    </row>
    <row r="969" spans="1:5" ht="14.25" customHeight="1" x14ac:dyDescent="0.25">
      <c r="A969" s="15"/>
      <c r="B969" s="15"/>
      <c r="C969" s="15"/>
      <c r="D969" s="15"/>
      <c r="E969" s="16"/>
    </row>
    <row r="970" spans="1:5" ht="14.25" customHeight="1" x14ac:dyDescent="0.25">
      <c r="A970" s="15"/>
      <c r="B970" s="15"/>
      <c r="C970" s="15"/>
      <c r="D970" s="15"/>
      <c r="E970" s="16"/>
    </row>
    <row r="971" spans="1:5" ht="14.25" customHeight="1" x14ac:dyDescent="0.25">
      <c r="A971" s="15"/>
      <c r="B971" s="15"/>
      <c r="C971" s="15"/>
      <c r="D971" s="15"/>
      <c r="E971" s="16"/>
    </row>
    <row r="972" spans="1:5" ht="14.25" customHeight="1" x14ac:dyDescent="0.25">
      <c r="A972" s="15"/>
      <c r="B972" s="15"/>
      <c r="C972" s="15"/>
      <c r="D972" s="15"/>
      <c r="E972" s="16"/>
    </row>
    <row r="973" spans="1:5" ht="14.25" customHeight="1" x14ac:dyDescent="0.25">
      <c r="A973" s="15"/>
      <c r="B973" s="15"/>
      <c r="C973" s="15"/>
      <c r="D973" s="15"/>
      <c r="E973" s="16"/>
    </row>
    <row r="974" spans="1:5" ht="14.25" customHeight="1" x14ac:dyDescent="0.25">
      <c r="A974" s="15"/>
      <c r="B974" s="15"/>
      <c r="C974" s="15"/>
      <c r="D974" s="15"/>
      <c r="E974" s="16"/>
    </row>
    <row r="975" spans="1:5" ht="14.25" customHeight="1" x14ac:dyDescent="0.25">
      <c r="A975" s="15"/>
      <c r="B975" s="15"/>
      <c r="C975" s="15"/>
      <c r="D975" s="15"/>
      <c r="E975" s="16"/>
    </row>
    <row r="976" spans="1:5" ht="14.25" customHeight="1" x14ac:dyDescent="0.25">
      <c r="A976" s="15"/>
      <c r="B976" s="15"/>
      <c r="C976" s="15"/>
      <c r="D976" s="15"/>
      <c r="E976" s="16"/>
    </row>
    <row r="977" spans="1:5" ht="14.25" customHeight="1" x14ac:dyDescent="0.25">
      <c r="A977" s="15"/>
      <c r="B977" s="15"/>
      <c r="C977" s="15"/>
      <c r="D977" s="15"/>
      <c r="E977" s="16"/>
    </row>
    <row r="978" spans="1:5" ht="14.25" customHeight="1" x14ac:dyDescent="0.25">
      <c r="A978" s="15"/>
      <c r="B978" s="15"/>
      <c r="C978" s="15"/>
      <c r="D978" s="15"/>
      <c r="E978" s="16"/>
    </row>
    <row r="979" spans="1:5" ht="14.25" customHeight="1" x14ac:dyDescent="0.25">
      <c r="A979" s="15"/>
      <c r="B979" s="15"/>
      <c r="C979" s="15"/>
      <c r="D979" s="15"/>
      <c r="E979" s="16"/>
    </row>
    <row r="980" spans="1:5" ht="14.25" customHeight="1" x14ac:dyDescent="0.25">
      <c r="A980" s="15"/>
      <c r="B980" s="15"/>
      <c r="C980" s="15"/>
      <c r="D980" s="15"/>
      <c r="E980" s="16"/>
    </row>
    <row r="981" spans="1:5" ht="14.25" customHeight="1" x14ac:dyDescent="0.25">
      <c r="A981" s="15"/>
      <c r="B981" s="15"/>
      <c r="C981" s="15"/>
      <c r="D981" s="15"/>
      <c r="E981" s="16"/>
    </row>
    <row r="982" spans="1:5" ht="14.25" customHeight="1" x14ac:dyDescent="0.25">
      <c r="A982" s="15"/>
      <c r="B982" s="15"/>
      <c r="C982" s="15"/>
      <c r="D982" s="15"/>
      <c r="E982" s="16"/>
    </row>
    <row r="983" spans="1:5" ht="14.25" customHeight="1" x14ac:dyDescent="0.25">
      <c r="A983" s="15"/>
      <c r="B983" s="15"/>
      <c r="C983" s="15"/>
      <c r="D983" s="15"/>
      <c r="E983" s="16"/>
    </row>
    <row r="984" spans="1:5" ht="14.25" customHeight="1" x14ac:dyDescent="0.25">
      <c r="A984" s="15"/>
      <c r="B984" s="15"/>
      <c r="C984" s="15"/>
      <c r="D984" s="15"/>
      <c r="E984" s="16"/>
    </row>
    <row r="985" spans="1:5" ht="14.25" customHeight="1" x14ac:dyDescent="0.25">
      <c r="A985" s="15"/>
      <c r="B985" s="15"/>
      <c r="C985" s="15"/>
      <c r="D985" s="15"/>
      <c r="E985" s="16"/>
    </row>
    <row r="986" spans="1:5" ht="14.25" customHeight="1" x14ac:dyDescent="0.25">
      <c r="A986" s="15"/>
      <c r="B986" s="15"/>
      <c r="C986" s="15"/>
      <c r="D986" s="15"/>
      <c r="E986" s="16"/>
    </row>
    <row r="987" spans="1:5" ht="14.25" customHeight="1" x14ac:dyDescent="0.25">
      <c r="A987" s="15"/>
      <c r="B987" s="15"/>
      <c r="C987" s="15"/>
      <c r="D987" s="15"/>
      <c r="E987" s="16"/>
    </row>
    <row r="988" spans="1:5" ht="14.25" customHeight="1" x14ac:dyDescent="0.25">
      <c r="A988" s="15"/>
      <c r="B988" s="15"/>
      <c r="C988" s="15"/>
      <c r="D988" s="15"/>
      <c r="E988" s="16"/>
    </row>
    <row r="989" spans="1:5" ht="14.25" customHeight="1" x14ac:dyDescent="0.25">
      <c r="A989" s="15"/>
      <c r="B989" s="15"/>
      <c r="C989" s="15"/>
      <c r="D989" s="15"/>
      <c r="E989" s="16"/>
    </row>
    <row r="990" spans="1:5" ht="14.25" customHeight="1" x14ac:dyDescent="0.25">
      <c r="A990" s="15"/>
      <c r="B990" s="15"/>
      <c r="C990" s="15"/>
      <c r="D990" s="15"/>
      <c r="E990" s="16"/>
    </row>
    <row r="991" spans="1:5" ht="14.25" customHeight="1" x14ac:dyDescent="0.25">
      <c r="A991" s="15"/>
      <c r="B991" s="15"/>
      <c r="C991" s="15"/>
      <c r="D991" s="15"/>
      <c r="E991" s="16"/>
    </row>
    <row r="992" spans="1:5" ht="14.25" customHeight="1" x14ac:dyDescent="0.25">
      <c r="A992" s="15"/>
      <c r="B992" s="15"/>
      <c r="C992" s="15"/>
      <c r="D992" s="15"/>
      <c r="E992" s="16"/>
    </row>
    <row r="993" spans="1:5" ht="14.25" customHeight="1" x14ac:dyDescent="0.25">
      <c r="A993" s="15"/>
      <c r="B993" s="15"/>
      <c r="C993" s="15"/>
      <c r="D993" s="15"/>
      <c r="E993" s="16"/>
    </row>
    <row r="994" spans="1:5" ht="14.25" customHeight="1" x14ac:dyDescent="0.25">
      <c r="A994" s="15"/>
      <c r="B994" s="15"/>
      <c r="C994" s="15"/>
      <c r="D994" s="15"/>
      <c r="E994" s="16"/>
    </row>
    <row r="995" spans="1:5" ht="14.25" customHeight="1" x14ac:dyDescent="0.25">
      <c r="A995" s="15"/>
      <c r="B995" s="15"/>
      <c r="C995" s="15"/>
      <c r="D995" s="15"/>
      <c r="E995" s="16"/>
    </row>
    <row r="996" spans="1:5" ht="14.25" customHeight="1" x14ac:dyDescent="0.25">
      <c r="A996" s="15"/>
      <c r="B996" s="15"/>
      <c r="C996" s="15"/>
      <c r="D996" s="15"/>
      <c r="E996" s="16"/>
    </row>
    <row r="997" spans="1:5" ht="14.25" customHeight="1" x14ac:dyDescent="0.25">
      <c r="A997" s="15"/>
      <c r="B997" s="15"/>
      <c r="C997" s="15"/>
      <c r="D997" s="15"/>
      <c r="E997" s="16"/>
    </row>
    <row r="998" spans="1:5" ht="14.25" customHeight="1" x14ac:dyDescent="0.25">
      <c r="A998" s="15"/>
      <c r="B998" s="15"/>
      <c r="C998" s="15"/>
      <c r="D998" s="15"/>
      <c r="E998" s="16"/>
    </row>
    <row r="999" spans="1:5" ht="14.25" customHeight="1" x14ac:dyDescent="0.25">
      <c r="A999" s="15"/>
      <c r="B999" s="15"/>
      <c r="C999" s="15"/>
      <c r="D999" s="15"/>
      <c r="E999" s="16"/>
    </row>
    <row r="1000" spans="1:5" ht="14.25" customHeight="1" x14ac:dyDescent="0.25">
      <c r="A1000" s="15"/>
      <c r="B1000" s="15"/>
      <c r="C1000" s="15"/>
      <c r="D1000" s="15"/>
      <c r="E1000" s="16"/>
    </row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80"/>
  <sheetViews>
    <sheetView topLeftCell="A389" zoomScaleNormal="100" workbookViewId="0">
      <selection activeCell="G399" sqref="G399"/>
    </sheetView>
  </sheetViews>
  <sheetFormatPr defaultColWidth="14.42578125" defaultRowHeight="15" x14ac:dyDescent="0.25"/>
  <cols>
    <col min="1" max="1" width="11.85546875" customWidth="1"/>
    <col min="2" max="2" width="14.85546875" customWidth="1"/>
    <col min="3" max="3" width="18.7109375" customWidth="1"/>
    <col min="4" max="4" width="14.140625" customWidth="1"/>
    <col min="5" max="5" width="13.28515625" customWidth="1"/>
    <col min="6" max="6" width="10.28515625" customWidth="1"/>
    <col min="7" max="7" width="16" customWidth="1"/>
    <col min="8" max="8" width="40.85546875" customWidth="1"/>
    <col min="9" max="9" width="15.7109375" customWidth="1"/>
    <col min="10" max="11" width="12.85546875" customWidth="1"/>
    <col min="12" max="12" width="14.5703125" customWidth="1"/>
    <col min="14" max="14" width="14" customWidth="1"/>
    <col min="15" max="15" width="13.85546875" customWidth="1"/>
    <col min="16" max="17" width="14.140625" customWidth="1"/>
    <col min="18" max="18" width="18.5703125" customWidth="1"/>
    <col min="19" max="19" width="27.42578125" customWidth="1"/>
    <col min="20" max="20" width="12.140625" customWidth="1"/>
    <col min="21" max="21" width="12.7109375" customWidth="1"/>
    <col min="22" max="22" width="14.7109375" customWidth="1"/>
    <col min="23" max="23" width="15.28515625" customWidth="1"/>
    <col min="24" max="24" width="14.7109375" customWidth="1"/>
  </cols>
  <sheetData>
    <row r="1" spans="1:24" ht="14.25" customHeight="1" x14ac:dyDescent="0.25">
      <c r="A1" s="17"/>
      <c r="B1" s="17"/>
      <c r="C1" s="17"/>
      <c r="D1" s="18"/>
      <c r="I1" s="17"/>
      <c r="P1" s="19"/>
      <c r="Q1" s="19"/>
      <c r="R1" s="19"/>
    </row>
    <row r="2" spans="1:24" ht="14.25" customHeight="1" x14ac:dyDescent="0.25">
      <c r="A2" s="17"/>
      <c r="B2" s="17"/>
      <c r="C2" s="17"/>
      <c r="D2" s="18"/>
      <c r="G2" s="20" t="s">
        <v>2</v>
      </c>
      <c r="I2" s="10" t="s">
        <v>3</v>
      </c>
      <c r="J2" s="10"/>
      <c r="K2" s="9">
        <v>0.1</v>
      </c>
      <c r="L2" s="9"/>
      <c r="P2" s="19"/>
      <c r="Q2" s="19"/>
      <c r="R2" s="19"/>
    </row>
    <row r="3" spans="1:24" ht="14.25" customHeight="1" x14ac:dyDescent="0.25">
      <c r="C3" s="17"/>
      <c r="G3" s="21" t="s">
        <v>4</v>
      </c>
      <c r="I3" s="8" t="s">
        <v>5</v>
      </c>
      <c r="J3" s="8"/>
      <c r="K3" s="8"/>
      <c r="L3" s="8"/>
      <c r="M3" s="8"/>
      <c r="N3" s="22" t="s">
        <v>6</v>
      </c>
      <c r="O3" s="23" t="s">
        <v>7</v>
      </c>
      <c r="P3" s="7" t="s">
        <v>8</v>
      </c>
      <c r="Q3" s="7" t="s">
        <v>9</v>
      </c>
      <c r="R3" s="6" t="s">
        <v>10</v>
      </c>
    </row>
    <row r="4" spans="1:24" ht="14.25" customHeight="1" x14ac:dyDescent="0.25">
      <c r="A4" s="25" t="s">
        <v>11</v>
      </c>
      <c r="B4" s="26" t="s">
        <v>12</v>
      </c>
      <c r="C4" s="24" t="s">
        <v>13</v>
      </c>
      <c r="D4" s="24" t="s">
        <v>14</v>
      </c>
      <c r="E4" s="24" t="s">
        <v>15</v>
      </c>
      <c r="F4" s="24" t="s">
        <v>16</v>
      </c>
      <c r="G4" s="27" t="s">
        <v>17</v>
      </c>
      <c r="H4" t="s">
        <v>18</v>
      </c>
      <c r="I4" s="28" t="s">
        <v>19</v>
      </c>
      <c r="J4" s="29" t="s">
        <v>20</v>
      </c>
      <c r="K4" s="30" t="s">
        <v>21</v>
      </c>
      <c r="L4" s="30" t="s">
        <v>22</v>
      </c>
      <c r="M4" s="30" t="s">
        <v>23</v>
      </c>
      <c r="N4" s="30" t="s">
        <v>24</v>
      </c>
      <c r="O4" s="30" t="s">
        <v>25</v>
      </c>
      <c r="P4" s="7"/>
      <c r="Q4" s="7"/>
      <c r="R4" s="6"/>
      <c r="S4" t="s">
        <v>26</v>
      </c>
      <c r="T4" s="31" t="s">
        <v>27</v>
      </c>
      <c r="U4" s="31" t="s">
        <v>28</v>
      </c>
      <c r="V4" s="31" t="s">
        <v>29</v>
      </c>
      <c r="W4" s="31" t="s">
        <v>30</v>
      </c>
      <c r="X4" s="31" t="s">
        <v>31</v>
      </c>
    </row>
    <row r="5" spans="1:24" ht="14.25" customHeight="1" x14ac:dyDescent="0.25">
      <c r="A5" s="5" t="s">
        <v>32</v>
      </c>
      <c r="B5" s="32">
        <v>1</v>
      </c>
      <c r="C5" s="32">
        <v>5.0999999999999996</v>
      </c>
      <c r="D5" s="32">
        <v>3.5</v>
      </c>
      <c r="E5" s="32">
        <v>1.4</v>
      </c>
      <c r="F5" s="32">
        <v>0.2</v>
      </c>
      <c r="G5" s="33">
        <v>0</v>
      </c>
      <c r="H5">
        <f t="shared" ref="H5:H68" si="0">IF(G5=P5, 1, 0)</f>
        <v>0</v>
      </c>
      <c r="I5" s="34">
        <v>0.5</v>
      </c>
      <c r="J5" s="34">
        <v>0.5</v>
      </c>
      <c r="K5" s="34">
        <v>0.5</v>
      </c>
      <c r="L5" s="34">
        <v>0.5</v>
      </c>
      <c r="M5" s="34">
        <v>0.5</v>
      </c>
      <c r="N5" s="35">
        <f t="shared" ref="N5:N68" si="1">I5+J5*C5+K5*D5+L5*E5+F5*M5</f>
        <v>5.6</v>
      </c>
      <c r="O5" s="35">
        <f t="shared" ref="O5:O68" si="2">1/(1+EXP(-N5))</f>
        <v>0.99631576010056411</v>
      </c>
      <c r="P5" s="36">
        <f t="shared" ref="P5:P68" si="3">IF(O5&gt;0.5,1,0)</f>
        <v>1</v>
      </c>
      <c r="Q5" s="36">
        <f t="shared" ref="Q5:Q68" si="4">O5-G5</f>
        <v>0.99631576010056411</v>
      </c>
      <c r="R5" s="37">
        <f t="shared" ref="R5:R68" si="5">Q5^2</f>
        <v>0.99264509382476485</v>
      </c>
      <c r="T5" s="31">
        <f t="shared" ref="T5:T68" si="6">2*(O5-G5)*(1-O5)*O5</f>
        <v>7.3142853212969676E-3</v>
      </c>
      <c r="U5" s="31">
        <f t="shared" ref="U5:U68" si="7">2*(O5-G5)*(1-O5)*O5*C5</f>
        <v>3.7302855138614532E-2</v>
      </c>
      <c r="V5" s="31">
        <f t="shared" ref="V5:V68" si="8">2*(O5-G5)*(1-O5)*O5*D5</f>
        <v>2.5599998624539388E-2</v>
      </c>
      <c r="W5" s="31">
        <f t="shared" ref="W5:W68" si="9">2*(O5-G5)*(1-O5)*O5*E5</f>
        <v>1.0239999449815754E-2</v>
      </c>
      <c r="X5" s="31">
        <f t="shared" ref="X5:X68" si="10">2*(O5-G5)*(1-O5)*O5*F5</f>
        <v>1.4628570642593935E-3</v>
      </c>
    </row>
    <row r="6" spans="1:24" ht="14.25" customHeight="1" x14ac:dyDescent="0.25">
      <c r="A6" s="5"/>
      <c r="B6" s="38">
        <v>2</v>
      </c>
      <c r="C6" s="32">
        <v>4.9000000000000004</v>
      </c>
      <c r="D6" s="32">
        <v>3</v>
      </c>
      <c r="E6" s="32">
        <v>1.4</v>
      </c>
      <c r="F6" s="32">
        <v>0.2</v>
      </c>
      <c r="G6" s="39">
        <v>0</v>
      </c>
      <c r="H6">
        <f t="shared" si="0"/>
        <v>0</v>
      </c>
      <c r="I6" s="38">
        <f t="shared" ref="I6:I69" si="11">I5-0.1*T5</f>
        <v>0.49926857146787029</v>
      </c>
      <c r="J6" s="40">
        <f t="shared" ref="J6:J69" si="12">J5-0.1*U5</f>
        <v>0.49626971448613855</v>
      </c>
      <c r="K6" s="40">
        <f t="shared" ref="K6:K69" si="13">K5-0.1*V5</f>
        <v>0.49744000013754608</v>
      </c>
      <c r="L6" s="40">
        <f t="shared" ref="L6:L69" si="14">L5-0.1*W5</f>
        <v>0.49897600005501841</v>
      </c>
      <c r="M6" s="40">
        <f t="shared" ref="M6:M69" si="15">M5-0.1*X5</f>
        <v>0.49985371429357406</v>
      </c>
      <c r="N6" s="35">
        <f t="shared" si="1"/>
        <v>5.2218473157983274</v>
      </c>
      <c r="O6" s="35">
        <f t="shared" si="2"/>
        <v>0.99463162568864605</v>
      </c>
      <c r="P6" s="36">
        <f t="shared" si="3"/>
        <v>1</v>
      </c>
      <c r="Q6" s="36">
        <f t="shared" si="4"/>
        <v>0.99463162568864605</v>
      </c>
      <c r="R6" s="37">
        <f t="shared" si="5"/>
        <v>0.98929207082003889</v>
      </c>
      <c r="T6" s="31">
        <f t="shared" si="6"/>
        <v>1.0621780278832902E-2</v>
      </c>
      <c r="U6" s="31">
        <f t="shared" si="7"/>
        <v>5.2046723366281224E-2</v>
      </c>
      <c r="V6" s="31">
        <f t="shared" si="8"/>
        <v>3.186534083649871E-2</v>
      </c>
      <c r="W6" s="31">
        <f t="shared" si="9"/>
        <v>1.4870492390366061E-2</v>
      </c>
      <c r="X6" s="31">
        <f t="shared" si="10"/>
        <v>2.1243560557665806E-3</v>
      </c>
    </row>
    <row r="7" spans="1:24" ht="14.25" customHeight="1" x14ac:dyDescent="0.25">
      <c r="A7" s="5"/>
      <c r="B7" s="32">
        <v>3</v>
      </c>
      <c r="C7" s="32">
        <v>4.7</v>
      </c>
      <c r="D7" s="32">
        <v>3.2</v>
      </c>
      <c r="E7" s="32">
        <v>1.3</v>
      </c>
      <c r="F7" s="32">
        <v>0.2</v>
      </c>
      <c r="G7" s="39">
        <v>0</v>
      </c>
      <c r="H7">
        <f t="shared" si="0"/>
        <v>0</v>
      </c>
      <c r="I7" s="38">
        <f t="shared" si="11"/>
        <v>0.49820639343998702</v>
      </c>
      <c r="J7" s="40">
        <f t="shared" si="12"/>
        <v>0.49106504214951041</v>
      </c>
      <c r="K7" s="40">
        <f t="shared" si="13"/>
        <v>0.4942534660538962</v>
      </c>
      <c r="L7" s="40">
        <f t="shared" si="14"/>
        <v>0.49748895081598182</v>
      </c>
      <c r="M7" s="40">
        <f t="shared" si="15"/>
        <v>0.4996412786879974</v>
      </c>
      <c r="N7" s="35">
        <f t="shared" si="1"/>
        <v>5.1344870747135296</v>
      </c>
      <c r="O7" s="35">
        <f t="shared" si="2"/>
        <v>0.99414441790221386</v>
      </c>
      <c r="P7" s="36">
        <f t="shared" si="3"/>
        <v>1</v>
      </c>
      <c r="Q7" s="36">
        <f t="shared" si="4"/>
        <v>0.99414441790221386</v>
      </c>
      <c r="R7" s="37">
        <f t="shared" si="5"/>
        <v>0.98832312364613162</v>
      </c>
      <c r="T7" s="31">
        <f t="shared" si="6"/>
        <v>1.157441437930073E-2</v>
      </c>
      <c r="U7" s="31">
        <f t="shared" si="7"/>
        <v>5.4399747582713431E-2</v>
      </c>
      <c r="V7" s="31">
        <f t="shared" si="8"/>
        <v>3.7038126013762336E-2</v>
      </c>
      <c r="W7" s="31">
        <f t="shared" si="9"/>
        <v>1.504673869309095E-2</v>
      </c>
      <c r="X7" s="31">
        <f t="shared" si="10"/>
        <v>2.314882875860146E-3</v>
      </c>
    </row>
    <row r="8" spans="1:24" ht="14.25" customHeight="1" x14ac:dyDescent="0.25">
      <c r="A8" s="5"/>
      <c r="B8" s="38">
        <v>4</v>
      </c>
      <c r="C8" s="32">
        <v>4.5999999999999996</v>
      </c>
      <c r="D8" s="32">
        <v>3.1</v>
      </c>
      <c r="E8" s="32">
        <v>1.5</v>
      </c>
      <c r="F8" s="32">
        <v>0.2</v>
      </c>
      <c r="G8" s="39">
        <v>0</v>
      </c>
      <c r="H8">
        <f t="shared" si="0"/>
        <v>0</v>
      </c>
      <c r="I8" s="38">
        <f t="shared" si="11"/>
        <v>0.49704895200205695</v>
      </c>
      <c r="J8" s="40">
        <f t="shared" si="12"/>
        <v>0.48562506739123906</v>
      </c>
      <c r="K8" s="40">
        <f t="shared" si="13"/>
        <v>0.49054965345251994</v>
      </c>
      <c r="L8" s="40">
        <f t="shared" si="14"/>
        <v>0.49598427694667274</v>
      </c>
      <c r="M8" s="40">
        <f t="shared" si="15"/>
        <v>0.49940979040041139</v>
      </c>
      <c r="N8" s="35">
        <f t="shared" si="1"/>
        <v>5.0954865612046607</v>
      </c>
      <c r="O8" s="35">
        <f t="shared" si="2"/>
        <v>0.99391295301012028</v>
      </c>
      <c r="P8" s="36">
        <f t="shared" si="3"/>
        <v>1</v>
      </c>
      <c r="Q8" s="36">
        <f t="shared" si="4"/>
        <v>0.99391295301012028</v>
      </c>
      <c r="R8" s="37">
        <f t="shared" si="5"/>
        <v>0.98786295816129754</v>
      </c>
      <c r="T8" s="31">
        <f t="shared" si="6"/>
        <v>1.2026336491778802E-2</v>
      </c>
      <c r="U8" s="31">
        <f t="shared" si="7"/>
        <v>5.5321147862182486E-2</v>
      </c>
      <c r="V8" s="31">
        <f t="shared" si="8"/>
        <v>3.7281643124514284E-2</v>
      </c>
      <c r="W8" s="31">
        <f t="shared" si="9"/>
        <v>1.8039504737668202E-2</v>
      </c>
      <c r="X8" s="31">
        <f t="shared" si="10"/>
        <v>2.4052672983557607E-3</v>
      </c>
    </row>
    <row r="9" spans="1:24" ht="14.25" customHeight="1" x14ac:dyDescent="0.25">
      <c r="A9" s="5"/>
      <c r="B9" s="32">
        <v>5</v>
      </c>
      <c r="C9" s="32">
        <v>5</v>
      </c>
      <c r="D9" s="32">
        <v>3.6</v>
      </c>
      <c r="E9" s="32">
        <v>1.4</v>
      </c>
      <c r="F9" s="32">
        <v>0.2</v>
      </c>
      <c r="G9" s="39">
        <v>0</v>
      </c>
      <c r="H9">
        <f t="shared" si="0"/>
        <v>0</v>
      </c>
      <c r="I9" s="38">
        <f t="shared" si="11"/>
        <v>0.49584631835287907</v>
      </c>
      <c r="J9" s="40">
        <f t="shared" si="12"/>
        <v>0.48009295260502083</v>
      </c>
      <c r="K9" s="40">
        <f t="shared" si="13"/>
        <v>0.48682148914006851</v>
      </c>
      <c r="L9" s="40">
        <f t="shared" si="14"/>
        <v>0.49418032647290594</v>
      </c>
      <c r="M9" s="40">
        <f t="shared" si="15"/>
        <v>0.49916926367057579</v>
      </c>
      <c r="N9" s="35">
        <f t="shared" si="1"/>
        <v>5.4405547520784125</v>
      </c>
      <c r="O9" s="35">
        <f t="shared" si="2"/>
        <v>0.99568165240332707</v>
      </c>
      <c r="P9" s="36">
        <f t="shared" si="3"/>
        <v>1</v>
      </c>
      <c r="Q9" s="36">
        <f t="shared" si="4"/>
        <v>0.99568165240332707</v>
      </c>
      <c r="R9" s="37">
        <f t="shared" si="5"/>
        <v>0.99138195293261977</v>
      </c>
      <c r="T9" s="31">
        <f t="shared" si="6"/>
        <v>8.5622637476629963E-3</v>
      </c>
      <c r="U9" s="31">
        <f t="shared" si="7"/>
        <v>4.281131873831498E-2</v>
      </c>
      <c r="V9" s="31">
        <f t="shared" si="8"/>
        <v>3.0824149491586787E-2</v>
      </c>
      <c r="W9" s="31">
        <f t="shared" si="9"/>
        <v>1.1987169246728194E-2</v>
      </c>
      <c r="X9" s="31">
        <f t="shared" si="10"/>
        <v>1.7124527495325993E-3</v>
      </c>
    </row>
    <row r="10" spans="1:24" ht="14.25" customHeight="1" x14ac:dyDescent="0.25">
      <c r="A10" s="5"/>
      <c r="B10" s="38">
        <v>6</v>
      </c>
      <c r="C10" s="32">
        <v>5.4</v>
      </c>
      <c r="D10" s="32">
        <v>3.9</v>
      </c>
      <c r="E10" s="32">
        <v>1.7</v>
      </c>
      <c r="F10" s="32">
        <v>0.4</v>
      </c>
      <c r="G10" s="39">
        <v>0</v>
      </c>
      <c r="H10">
        <f t="shared" si="0"/>
        <v>0</v>
      </c>
      <c r="I10" s="38">
        <f t="shared" si="11"/>
        <v>0.49499009197811278</v>
      </c>
      <c r="J10" s="40">
        <f t="shared" si="12"/>
        <v>0.47581182073118933</v>
      </c>
      <c r="K10" s="40">
        <f t="shared" si="13"/>
        <v>0.48373907419090983</v>
      </c>
      <c r="L10" s="40">
        <f t="shared" si="14"/>
        <v>0.49298160954823311</v>
      </c>
      <c r="M10" s="40">
        <f t="shared" si="15"/>
        <v>0.49899801839562252</v>
      </c>
      <c r="N10" s="35">
        <f t="shared" si="1"/>
        <v>5.9886242568613284</v>
      </c>
      <c r="O10" s="35">
        <f t="shared" si="2"/>
        <v>0.99749915906613107</v>
      </c>
      <c r="P10" s="36">
        <f t="shared" si="3"/>
        <v>1</v>
      </c>
      <c r="Q10" s="36">
        <f t="shared" si="4"/>
        <v>0.99749915906613107</v>
      </c>
      <c r="R10" s="37">
        <f t="shared" si="5"/>
        <v>0.99500457233763862</v>
      </c>
      <c r="T10" s="31">
        <f t="shared" si="6"/>
        <v>4.9766963277774329E-3</v>
      </c>
      <c r="U10" s="31">
        <f t="shared" si="7"/>
        <v>2.6874160169998138E-2</v>
      </c>
      <c r="V10" s="31">
        <f t="shared" si="8"/>
        <v>1.9409115678331989E-2</v>
      </c>
      <c r="W10" s="31">
        <f t="shared" si="9"/>
        <v>8.4603837572216362E-3</v>
      </c>
      <c r="X10" s="31">
        <f t="shared" si="10"/>
        <v>1.9906785311109734E-3</v>
      </c>
    </row>
    <row r="11" spans="1:24" ht="14.25" customHeight="1" x14ac:dyDescent="0.25">
      <c r="A11" s="5"/>
      <c r="B11" s="32">
        <v>7</v>
      </c>
      <c r="C11" s="32">
        <v>4.5999999999999996</v>
      </c>
      <c r="D11" s="32">
        <v>3.4</v>
      </c>
      <c r="E11" s="32">
        <v>1.4</v>
      </c>
      <c r="F11" s="32">
        <v>0.3</v>
      </c>
      <c r="G11" s="39">
        <v>0</v>
      </c>
      <c r="H11">
        <f t="shared" si="0"/>
        <v>0</v>
      </c>
      <c r="I11" s="38">
        <f t="shared" si="11"/>
        <v>0.49449242234533503</v>
      </c>
      <c r="J11" s="40">
        <f t="shared" si="12"/>
        <v>0.47312440471418954</v>
      </c>
      <c r="K11" s="40">
        <f t="shared" si="13"/>
        <v>0.48179816262307662</v>
      </c>
      <c r="L11" s="40">
        <f t="shared" si="14"/>
        <v>0.49213557117251094</v>
      </c>
      <c r="M11" s="40">
        <f t="shared" si="15"/>
        <v>0.49879895054251144</v>
      </c>
      <c r="N11" s="35">
        <f t="shared" si="1"/>
        <v>5.1476079217533357</v>
      </c>
      <c r="O11" s="35">
        <f t="shared" si="2"/>
        <v>0.99422030510326753</v>
      </c>
      <c r="P11" s="36">
        <f t="shared" si="3"/>
        <v>1</v>
      </c>
      <c r="Q11" s="36">
        <f t="shared" si="4"/>
        <v>0.99422030510326753</v>
      </c>
      <c r="R11" s="37">
        <f t="shared" si="5"/>
        <v>0.98847401507963439</v>
      </c>
      <c r="T11" s="31">
        <f t="shared" si="6"/>
        <v>1.1426156441016832E-2</v>
      </c>
      <c r="U11" s="31">
        <f t="shared" si="7"/>
        <v>5.2560319628677424E-2</v>
      </c>
      <c r="V11" s="31">
        <f t="shared" si="8"/>
        <v>3.8848931899457227E-2</v>
      </c>
      <c r="W11" s="31">
        <f t="shared" si="9"/>
        <v>1.5996619017423563E-2</v>
      </c>
      <c r="X11" s="31">
        <f t="shared" si="10"/>
        <v>3.4278469323050496E-3</v>
      </c>
    </row>
    <row r="12" spans="1:24" ht="14.25" customHeight="1" x14ac:dyDescent="0.25">
      <c r="A12" s="5"/>
      <c r="B12" s="38">
        <v>8</v>
      </c>
      <c r="C12" s="32">
        <v>5</v>
      </c>
      <c r="D12" s="32">
        <v>3.4</v>
      </c>
      <c r="E12" s="32">
        <v>1.5</v>
      </c>
      <c r="F12" s="32">
        <v>0.2</v>
      </c>
      <c r="G12" s="39">
        <v>0</v>
      </c>
      <c r="H12">
        <f t="shared" si="0"/>
        <v>0</v>
      </c>
      <c r="I12" s="38">
        <f t="shared" si="11"/>
        <v>0.49334980670123335</v>
      </c>
      <c r="J12" s="40">
        <f t="shared" si="12"/>
        <v>0.46786837275132181</v>
      </c>
      <c r="K12" s="40">
        <f t="shared" si="13"/>
        <v>0.47791326943313089</v>
      </c>
      <c r="L12" s="40">
        <f t="shared" si="14"/>
        <v>0.49053590927076857</v>
      </c>
      <c r="M12" s="40">
        <f t="shared" si="15"/>
        <v>0.49845616584928093</v>
      </c>
      <c r="N12" s="35">
        <f t="shared" si="1"/>
        <v>5.293091883606496</v>
      </c>
      <c r="O12" s="35">
        <f t="shared" si="2"/>
        <v>0.99499894050626514</v>
      </c>
      <c r="P12" s="36">
        <f t="shared" si="3"/>
        <v>1</v>
      </c>
      <c r="Q12" s="36">
        <f t="shared" si="4"/>
        <v>0.99499894050626514</v>
      </c>
      <c r="R12" s="37">
        <f t="shared" si="5"/>
        <v>0.99002289160859014</v>
      </c>
      <c r="T12" s="31">
        <f t="shared" si="6"/>
        <v>9.9023267621879563E-3</v>
      </c>
      <c r="U12" s="31">
        <f t="shared" si="7"/>
        <v>4.951163381093978E-2</v>
      </c>
      <c r="V12" s="31">
        <f t="shared" si="8"/>
        <v>3.3667910991439051E-2</v>
      </c>
      <c r="W12" s="31">
        <f t="shared" si="9"/>
        <v>1.4853490143281935E-2</v>
      </c>
      <c r="X12" s="31">
        <f t="shared" si="10"/>
        <v>1.9804653524375915E-3</v>
      </c>
    </row>
    <row r="13" spans="1:24" ht="14.25" customHeight="1" x14ac:dyDescent="0.25">
      <c r="A13" s="5"/>
      <c r="B13" s="32">
        <v>9</v>
      </c>
      <c r="C13" s="32">
        <v>4.4000000000000004</v>
      </c>
      <c r="D13" s="32">
        <v>2.9</v>
      </c>
      <c r="E13" s="32">
        <v>1.4</v>
      </c>
      <c r="F13" s="32">
        <v>0.2</v>
      </c>
      <c r="G13" s="39">
        <v>0</v>
      </c>
      <c r="H13">
        <f t="shared" si="0"/>
        <v>0</v>
      </c>
      <c r="I13" s="38">
        <f t="shared" si="11"/>
        <v>0.49235957402501457</v>
      </c>
      <c r="J13" s="40">
        <f t="shared" si="12"/>
        <v>0.46291720937022784</v>
      </c>
      <c r="K13" s="40">
        <f t="shared" si="13"/>
        <v>0.474546478333987</v>
      </c>
      <c r="L13" s="40">
        <f t="shared" si="14"/>
        <v>0.48905056025644039</v>
      </c>
      <c r="M13" s="40">
        <f t="shared" si="15"/>
        <v>0.49825811931403718</v>
      </c>
      <c r="N13" s="35">
        <f t="shared" si="1"/>
        <v>4.6897024906444029</v>
      </c>
      <c r="O13" s="35">
        <f t="shared" si="2"/>
        <v>0.99089425680783483</v>
      </c>
      <c r="P13" s="36">
        <f t="shared" si="3"/>
        <v>1</v>
      </c>
      <c r="Q13" s="36">
        <f t="shared" si="4"/>
        <v>0.99089425680783483</v>
      </c>
      <c r="R13" s="37">
        <f t="shared" si="5"/>
        <v>0.98187142817475137</v>
      </c>
      <c r="T13" s="31">
        <f t="shared" si="6"/>
        <v>1.7881338145367472E-2</v>
      </c>
      <c r="U13" s="31">
        <f t="shared" si="7"/>
        <v>7.8677887839616878E-2</v>
      </c>
      <c r="V13" s="31">
        <f t="shared" si="8"/>
        <v>5.1855880621565667E-2</v>
      </c>
      <c r="W13" s="31">
        <f t="shared" si="9"/>
        <v>2.503387340351446E-2</v>
      </c>
      <c r="X13" s="31">
        <f t="shared" si="10"/>
        <v>3.5762676290734944E-3</v>
      </c>
    </row>
    <row r="14" spans="1:24" ht="14.25" customHeight="1" x14ac:dyDescent="0.25">
      <c r="A14" s="5"/>
      <c r="B14" s="38">
        <v>10</v>
      </c>
      <c r="C14" s="32">
        <v>4.9000000000000004</v>
      </c>
      <c r="D14" s="32">
        <v>3.1</v>
      </c>
      <c r="E14" s="32">
        <v>1.5</v>
      </c>
      <c r="F14" s="32">
        <v>0.1</v>
      </c>
      <c r="G14" s="39">
        <v>0</v>
      </c>
      <c r="H14">
        <f t="shared" si="0"/>
        <v>0</v>
      </c>
      <c r="I14" s="38">
        <f t="shared" si="11"/>
        <v>0.49057144021047783</v>
      </c>
      <c r="J14" s="40">
        <f t="shared" si="12"/>
        <v>0.45504942058626618</v>
      </c>
      <c r="K14" s="40">
        <f t="shared" si="13"/>
        <v>0.46936089027183042</v>
      </c>
      <c r="L14" s="40">
        <f t="shared" si="14"/>
        <v>0.48654717291608895</v>
      </c>
      <c r="M14" s="40">
        <f t="shared" si="15"/>
        <v>0.49790049255112984</v>
      </c>
      <c r="N14" s="35">
        <f t="shared" si="1"/>
        <v>4.9549431695551025</v>
      </c>
      <c r="O14" s="35">
        <f t="shared" si="2"/>
        <v>0.99300085252033121</v>
      </c>
      <c r="P14" s="36">
        <f t="shared" si="3"/>
        <v>1</v>
      </c>
      <c r="Q14" s="36">
        <f t="shared" si="4"/>
        <v>0.99300085252033121</v>
      </c>
      <c r="R14" s="37">
        <f t="shared" si="5"/>
        <v>0.9860506931061046</v>
      </c>
      <c r="T14" s="31">
        <f t="shared" si="6"/>
        <v>1.3803028446958507E-2</v>
      </c>
      <c r="U14" s="31">
        <f t="shared" si="7"/>
        <v>6.7634839390096693E-2</v>
      </c>
      <c r="V14" s="31">
        <f t="shared" si="8"/>
        <v>4.2789388185571375E-2</v>
      </c>
      <c r="W14" s="31">
        <f t="shared" si="9"/>
        <v>2.070454267043776E-2</v>
      </c>
      <c r="X14" s="31">
        <f t="shared" si="10"/>
        <v>1.3803028446958507E-3</v>
      </c>
    </row>
    <row r="15" spans="1:24" ht="14.25" customHeight="1" x14ac:dyDescent="0.25">
      <c r="A15" s="5"/>
      <c r="B15" s="32">
        <v>11</v>
      </c>
      <c r="C15" s="32">
        <v>5.4</v>
      </c>
      <c r="D15" s="32">
        <v>3.7</v>
      </c>
      <c r="E15" s="32">
        <v>1.5</v>
      </c>
      <c r="F15" s="32">
        <v>0.2</v>
      </c>
      <c r="G15" s="39">
        <v>0</v>
      </c>
      <c r="H15">
        <f t="shared" si="0"/>
        <v>0</v>
      </c>
      <c r="I15" s="38">
        <f t="shared" si="11"/>
        <v>0.48919113736578196</v>
      </c>
      <c r="J15" s="40">
        <f t="shared" si="12"/>
        <v>0.44828593664725652</v>
      </c>
      <c r="K15" s="40">
        <f t="shared" si="13"/>
        <v>0.4650819514532733</v>
      </c>
      <c r="L15" s="40">
        <f t="shared" si="14"/>
        <v>0.48447671864904518</v>
      </c>
      <c r="M15" s="40">
        <f t="shared" si="15"/>
        <v>0.49776246226666027</v>
      </c>
      <c r="N15" s="35">
        <f t="shared" si="1"/>
        <v>5.4570059860649787</v>
      </c>
      <c r="O15" s="35">
        <f t="shared" si="2"/>
        <v>0.99575181404464608</v>
      </c>
      <c r="P15" s="36">
        <f t="shared" si="3"/>
        <v>1</v>
      </c>
      <c r="Q15" s="36">
        <f t="shared" si="4"/>
        <v>0.99575181404464608</v>
      </c>
      <c r="R15" s="37">
        <f t="shared" si="5"/>
        <v>0.99152167517320344</v>
      </c>
      <c r="T15" s="31">
        <f t="shared" si="6"/>
        <v>8.4243369097995943E-3</v>
      </c>
      <c r="U15" s="31">
        <f t="shared" si="7"/>
        <v>4.5491419312917815E-2</v>
      </c>
      <c r="V15" s="31">
        <f t="shared" si="8"/>
        <v>3.1170046566258502E-2</v>
      </c>
      <c r="W15" s="31">
        <f t="shared" si="9"/>
        <v>1.2636505364699391E-2</v>
      </c>
      <c r="X15" s="31">
        <f t="shared" si="10"/>
        <v>1.684867381959919E-3</v>
      </c>
    </row>
    <row r="16" spans="1:24" ht="14.25" customHeight="1" x14ac:dyDescent="0.25">
      <c r="A16" s="5"/>
      <c r="B16" s="38">
        <v>12</v>
      </c>
      <c r="C16" s="32">
        <v>4.8</v>
      </c>
      <c r="D16" s="32">
        <v>3.4</v>
      </c>
      <c r="E16" s="32">
        <v>1.6</v>
      </c>
      <c r="F16" s="32">
        <v>0.2</v>
      </c>
      <c r="G16" s="39">
        <v>0</v>
      </c>
      <c r="H16">
        <f t="shared" si="0"/>
        <v>0</v>
      </c>
      <c r="I16" s="38">
        <f t="shared" si="11"/>
        <v>0.48834870367480199</v>
      </c>
      <c r="J16" s="40">
        <f t="shared" si="12"/>
        <v>0.44373679471596472</v>
      </c>
      <c r="K16" s="40">
        <f t="shared" si="13"/>
        <v>0.46196494679664746</v>
      </c>
      <c r="L16" s="40">
        <f t="shared" si="14"/>
        <v>0.48321306811257525</v>
      </c>
      <c r="M16" s="40">
        <f t="shared" si="15"/>
        <v>0.49759397552846429</v>
      </c>
      <c r="N16" s="35">
        <f t="shared" si="1"/>
        <v>5.0616258415058466</v>
      </c>
      <c r="O16" s="35">
        <f t="shared" si="2"/>
        <v>0.99370463171720924</v>
      </c>
      <c r="P16" s="36">
        <f t="shared" si="3"/>
        <v>1</v>
      </c>
      <c r="Q16" s="36">
        <f t="shared" si="4"/>
        <v>0.99370463171720924</v>
      </c>
      <c r="R16" s="37">
        <f t="shared" si="5"/>
        <v>0.98744889509623446</v>
      </c>
      <c r="T16" s="31">
        <f t="shared" si="6"/>
        <v>1.2432708910131228E-2</v>
      </c>
      <c r="U16" s="31">
        <f t="shared" si="7"/>
        <v>5.9677002768629889E-2</v>
      </c>
      <c r="V16" s="31">
        <f t="shared" si="8"/>
        <v>4.2271210294446172E-2</v>
      </c>
      <c r="W16" s="31">
        <f t="shared" si="9"/>
        <v>1.9892334256209968E-2</v>
      </c>
      <c r="X16" s="31">
        <f t="shared" si="10"/>
        <v>2.4865417820262459E-3</v>
      </c>
    </row>
    <row r="17" spans="1:24" ht="14.25" customHeight="1" x14ac:dyDescent="0.25">
      <c r="A17" s="5"/>
      <c r="B17" s="32">
        <v>13</v>
      </c>
      <c r="C17" s="32">
        <v>4.8</v>
      </c>
      <c r="D17" s="32">
        <v>3</v>
      </c>
      <c r="E17" s="32">
        <v>1.4</v>
      </c>
      <c r="F17" s="32">
        <v>0.1</v>
      </c>
      <c r="G17" s="39">
        <v>0</v>
      </c>
      <c r="H17">
        <f t="shared" si="0"/>
        <v>0</v>
      </c>
      <c r="I17" s="38">
        <f t="shared" si="11"/>
        <v>0.48710543278378887</v>
      </c>
      <c r="J17" s="40">
        <f t="shared" si="12"/>
        <v>0.43776909443910172</v>
      </c>
      <c r="K17" s="40">
        <f t="shared" si="13"/>
        <v>0.45773782576720284</v>
      </c>
      <c r="L17" s="40">
        <f t="shared" si="14"/>
        <v>0.48122383468695423</v>
      </c>
      <c r="M17" s="40">
        <f t="shared" si="15"/>
        <v>0.49734532135026166</v>
      </c>
      <c r="N17" s="35">
        <f t="shared" si="1"/>
        <v>4.6850584640898472</v>
      </c>
      <c r="O17" s="35">
        <f t="shared" si="2"/>
        <v>0.99085225888378836</v>
      </c>
      <c r="P17" s="36">
        <f t="shared" si="3"/>
        <v>1</v>
      </c>
      <c r="Q17" s="36">
        <f t="shared" si="4"/>
        <v>0.99085225888378836</v>
      </c>
      <c r="R17" s="37">
        <f t="shared" si="5"/>
        <v>0.98178819893510594</v>
      </c>
      <c r="T17" s="31">
        <f t="shared" si="6"/>
        <v>1.7962288549620082E-2</v>
      </c>
      <c r="U17" s="31">
        <f t="shared" si="7"/>
        <v>8.6218985038176391E-2</v>
      </c>
      <c r="V17" s="31">
        <f t="shared" si="8"/>
        <v>5.3886865648860249E-2</v>
      </c>
      <c r="W17" s="31">
        <f t="shared" si="9"/>
        <v>2.5147203969468113E-2</v>
      </c>
      <c r="X17" s="31">
        <f t="shared" si="10"/>
        <v>1.7962288549620083E-3</v>
      </c>
    </row>
    <row r="18" spans="1:24" ht="14.25" customHeight="1" x14ac:dyDescent="0.25">
      <c r="A18" s="5"/>
      <c r="B18" s="38">
        <v>14</v>
      </c>
      <c r="C18" s="32">
        <v>4.3</v>
      </c>
      <c r="D18" s="32">
        <v>3</v>
      </c>
      <c r="E18" s="32">
        <v>1.1000000000000001</v>
      </c>
      <c r="F18" s="32">
        <v>0.1</v>
      </c>
      <c r="G18" s="39">
        <v>0</v>
      </c>
      <c r="H18">
        <f t="shared" si="0"/>
        <v>0</v>
      </c>
      <c r="I18" s="38">
        <f t="shared" si="11"/>
        <v>0.48530920392882687</v>
      </c>
      <c r="J18" s="40">
        <f t="shared" si="12"/>
        <v>0.42914719593528411</v>
      </c>
      <c r="K18" s="40">
        <f t="shared" si="13"/>
        <v>0.45234913920231684</v>
      </c>
      <c r="L18" s="40">
        <f t="shared" si="14"/>
        <v>0.4787091142900074</v>
      </c>
      <c r="M18" s="40">
        <f t="shared" si="15"/>
        <v>0.49716569846476544</v>
      </c>
      <c r="N18" s="35">
        <f t="shared" si="1"/>
        <v>4.2639861596229833</v>
      </c>
      <c r="O18" s="35">
        <f t="shared" si="2"/>
        <v>0.9861289905852415</v>
      </c>
      <c r="P18" s="36">
        <f t="shared" si="3"/>
        <v>1</v>
      </c>
      <c r="Q18" s="36">
        <f t="shared" si="4"/>
        <v>0.9861289905852415</v>
      </c>
      <c r="R18" s="37">
        <f t="shared" si="5"/>
        <v>0.97245038607266732</v>
      </c>
      <c r="T18" s="31">
        <f t="shared" si="6"/>
        <v>2.6977736921199005E-2</v>
      </c>
      <c r="U18" s="31">
        <f t="shared" si="7"/>
        <v>0.11600426876115572</v>
      </c>
      <c r="V18" s="31">
        <f t="shared" si="8"/>
        <v>8.093321076359701E-2</v>
      </c>
      <c r="W18" s="31">
        <f t="shared" si="9"/>
        <v>2.9675510613318908E-2</v>
      </c>
      <c r="X18" s="31">
        <f t="shared" si="10"/>
        <v>2.6977736921199006E-3</v>
      </c>
    </row>
    <row r="19" spans="1:24" ht="14.25" customHeight="1" x14ac:dyDescent="0.25">
      <c r="A19" s="5"/>
      <c r="B19" s="32">
        <v>15</v>
      </c>
      <c r="C19" s="32">
        <v>5.8</v>
      </c>
      <c r="D19" s="32">
        <v>4</v>
      </c>
      <c r="E19" s="32">
        <v>1.2</v>
      </c>
      <c r="F19" s="32">
        <v>0.2</v>
      </c>
      <c r="G19" s="39">
        <v>0</v>
      </c>
      <c r="H19">
        <f t="shared" si="0"/>
        <v>0</v>
      </c>
      <c r="I19" s="38">
        <f t="shared" si="11"/>
        <v>0.482611430236707</v>
      </c>
      <c r="J19" s="40">
        <f t="shared" si="12"/>
        <v>0.41754676905916854</v>
      </c>
      <c r="K19" s="40">
        <f t="shared" si="13"/>
        <v>0.44425581812595716</v>
      </c>
      <c r="L19" s="40">
        <f t="shared" si="14"/>
        <v>0.4757415632286755</v>
      </c>
      <c r="M19" s="40">
        <f t="shared" si="15"/>
        <v>0.49689592109555347</v>
      </c>
      <c r="N19" s="35">
        <f t="shared" si="1"/>
        <v>5.3516750233772346</v>
      </c>
      <c r="O19" s="35">
        <f t="shared" si="2"/>
        <v>0.99528215913725904</v>
      </c>
      <c r="P19" s="36">
        <f t="shared" si="3"/>
        <v>1</v>
      </c>
      <c r="Q19" s="36">
        <f t="shared" si="4"/>
        <v>0.99528215913725904</v>
      </c>
      <c r="R19" s="37">
        <f t="shared" si="5"/>
        <v>0.99058657629692426</v>
      </c>
      <c r="T19" s="31">
        <f t="shared" si="6"/>
        <v>9.3468596554725954E-3</v>
      </c>
      <c r="U19" s="31">
        <f t="shared" si="7"/>
        <v>5.421178600174105E-2</v>
      </c>
      <c r="V19" s="31">
        <f t="shared" si="8"/>
        <v>3.7387438621890381E-2</v>
      </c>
      <c r="W19" s="31">
        <f t="shared" si="9"/>
        <v>1.1216231586567114E-2</v>
      </c>
      <c r="X19" s="31">
        <f t="shared" si="10"/>
        <v>1.8693719310945191E-3</v>
      </c>
    </row>
    <row r="20" spans="1:24" ht="14.25" customHeight="1" x14ac:dyDescent="0.25">
      <c r="A20" s="5"/>
      <c r="B20" s="38">
        <v>16</v>
      </c>
      <c r="C20" s="32">
        <v>5.7</v>
      </c>
      <c r="D20" s="32">
        <v>4.4000000000000004</v>
      </c>
      <c r="E20" s="32">
        <v>1.5</v>
      </c>
      <c r="F20" s="32">
        <v>0.4</v>
      </c>
      <c r="G20" s="39">
        <v>0</v>
      </c>
      <c r="H20">
        <f t="shared" si="0"/>
        <v>0</v>
      </c>
      <c r="I20" s="38">
        <f t="shared" si="11"/>
        <v>0.48167674427115975</v>
      </c>
      <c r="J20" s="40">
        <f t="shared" si="12"/>
        <v>0.41212559045899444</v>
      </c>
      <c r="K20" s="40">
        <f t="shared" si="13"/>
        <v>0.44051707426376813</v>
      </c>
      <c r="L20" s="40">
        <f t="shared" si="14"/>
        <v>0.47461994007001879</v>
      </c>
      <c r="M20" s="40">
        <f t="shared" si="15"/>
        <v>0.496708983902444</v>
      </c>
      <c r="N20" s="35">
        <f t="shared" si="1"/>
        <v>5.6796812403140136</v>
      </c>
      <c r="O20" s="35">
        <f t="shared" si="2"/>
        <v>0.99659697341192932</v>
      </c>
      <c r="P20" s="36">
        <f t="shared" si="3"/>
        <v>1</v>
      </c>
      <c r="Q20" s="36">
        <f t="shared" si="4"/>
        <v>0.99659697341192932</v>
      </c>
      <c r="R20" s="37">
        <f t="shared" si="5"/>
        <v>0.99320552741381773</v>
      </c>
      <c r="T20" s="31">
        <f t="shared" si="6"/>
        <v>6.7598096344159671E-3</v>
      </c>
      <c r="U20" s="31">
        <f t="shared" si="7"/>
        <v>3.8530914916171013E-2</v>
      </c>
      <c r="V20" s="31">
        <f t="shared" si="8"/>
        <v>2.9743162391430256E-2</v>
      </c>
      <c r="W20" s="31">
        <f t="shared" si="9"/>
        <v>1.0139714451623951E-2</v>
      </c>
      <c r="X20" s="31">
        <f t="shared" si="10"/>
        <v>2.703923853766387E-3</v>
      </c>
    </row>
    <row r="21" spans="1:24" ht="14.25" customHeight="1" x14ac:dyDescent="0.25">
      <c r="A21" s="5"/>
      <c r="B21" s="32">
        <v>17</v>
      </c>
      <c r="C21" s="32">
        <v>5.4</v>
      </c>
      <c r="D21" s="32">
        <v>3.9</v>
      </c>
      <c r="E21" s="32">
        <v>1.3</v>
      </c>
      <c r="F21" s="32">
        <v>0.4</v>
      </c>
      <c r="G21" s="39">
        <v>0</v>
      </c>
      <c r="H21">
        <f t="shared" si="0"/>
        <v>0</v>
      </c>
      <c r="I21" s="38">
        <f t="shared" si="11"/>
        <v>0.48100076330771818</v>
      </c>
      <c r="J21" s="40">
        <f t="shared" si="12"/>
        <v>0.40827249896737733</v>
      </c>
      <c r="K21" s="40">
        <f t="shared" si="13"/>
        <v>0.43754275802462511</v>
      </c>
      <c r="L21" s="40">
        <f t="shared" si="14"/>
        <v>0.47360596862485638</v>
      </c>
      <c r="M21" s="40">
        <f t="shared" si="15"/>
        <v>0.49643859151706737</v>
      </c>
      <c r="N21" s="35">
        <f t="shared" si="1"/>
        <v>5.2063522098467345</v>
      </c>
      <c r="O21" s="35">
        <f t="shared" si="2"/>
        <v>0.99454825137685732</v>
      </c>
      <c r="P21" s="36">
        <f t="shared" si="3"/>
        <v>1</v>
      </c>
      <c r="Q21" s="36">
        <f t="shared" si="4"/>
        <v>0.99454825137685732</v>
      </c>
      <c r="R21" s="37">
        <f t="shared" si="5"/>
        <v>0.98912622431676456</v>
      </c>
      <c r="T21" s="31">
        <f t="shared" si="6"/>
        <v>1.0784935063066483E-2</v>
      </c>
      <c r="U21" s="31">
        <f t="shared" si="7"/>
        <v>5.8238649340559015E-2</v>
      </c>
      <c r="V21" s="31">
        <f t="shared" si="8"/>
        <v>4.2061246745959284E-2</v>
      </c>
      <c r="W21" s="31">
        <f t="shared" si="9"/>
        <v>1.4020415581986429E-2</v>
      </c>
      <c r="X21" s="31">
        <f t="shared" si="10"/>
        <v>4.3139740252265933E-3</v>
      </c>
    </row>
    <row r="22" spans="1:24" ht="14.25" customHeight="1" x14ac:dyDescent="0.25">
      <c r="A22" s="5"/>
      <c r="B22" s="38">
        <v>18</v>
      </c>
      <c r="C22" s="32">
        <v>5.0999999999999996</v>
      </c>
      <c r="D22" s="32">
        <v>3.5</v>
      </c>
      <c r="E22" s="32">
        <v>1.4</v>
      </c>
      <c r="F22" s="32">
        <v>0.3</v>
      </c>
      <c r="G22" s="39">
        <v>0</v>
      </c>
      <c r="H22">
        <f t="shared" si="0"/>
        <v>0</v>
      </c>
      <c r="I22" s="38">
        <f t="shared" si="11"/>
        <v>0.47992226980141156</v>
      </c>
      <c r="J22" s="40">
        <f t="shared" si="12"/>
        <v>0.40244863403332143</v>
      </c>
      <c r="K22" s="40">
        <f t="shared" si="13"/>
        <v>0.4333366333500292</v>
      </c>
      <c r="L22" s="40">
        <f t="shared" si="14"/>
        <v>0.47220392706665776</v>
      </c>
      <c r="M22" s="40">
        <f t="shared" si="15"/>
        <v>0.49600719411454469</v>
      </c>
      <c r="N22" s="35">
        <f t="shared" si="1"/>
        <v>4.8589761762241377</v>
      </c>
      <c r="O22" s="35">
        <f t="shared" si="2"/>
        <v>0.99230130663602134</v>
      </c>
      <c r="P22" s="36">
        <f t="shared" si="3"/>
        <v>1</v>
      </c>
      <c r="Q22" s="36">
        <f t="shared" si="4"/>
        <v>0.99230130663602134</v>
      </c>
      <c r="R22" s="37">
        <f t="shared" si="5"/>
        <v>0.98466188315155523</v>
      </c>
      <c r="T22" s="31">
        <f t="shared" si="6"/>
        <v>1.5161219811163217E-2</v>
      </c>
      <c r="U22" s="31">
        <f t="shared" si="7"/>
        <v>7.7322221036932398E-2</v>
      </c>
      <c r="V22" s="31">
        <f t="shared" si="8"/>
        <v>5.3064269339071254E-2</v>
      </c>
      <c r="W22" s="31">
        <f t="shared" si="9"/>
        <v>2.1225707735628502E-2</v>
      </c>
      <c r="X22" s="31">
        <f t="shared" si="10"/>
        <v>4.5483659433489644E-3</v>
      </c>
    </row>
    <row r="23" spans="1:24" ht="14.25" customHeight="1" x14ac:dyDescent="0.25">
      <c r="A23" s="5"/>
      <c r="B23" s="32">
        <v>19</v>
      </c>
      <c r="C23" s="32">
        <v>5.7</v>
      </c>
      <c r="D23" s="32">
        <v>3.8</v>
      </c>
      <c r="E23" s="32">
        <v>1.7</v>
      </c>
      <c r="F23" s="32">
        <v>0.3</v>
      </c>
      <c r="G23" s="39">
        <v>0</v>
      </c>
      <c r="H23">
        <f t="shared" si="0"/>
        <v>0</v>
      </c>
      <c r="I23" s="38">
        <f t="shared" si="11"/>
        <v>0.47840614782029522</v>
      </c>
      <c r="J23" s="40">
        <f t="shared" si="12"/>
        <v>0.3947164119296282</v>
      </c>
      <c r="K23" s="40">
        <f t="shared" si="13"/>
        <v>0.42803020641612205</v>
      </c>
      <c r="L23" s="40">
        <f t="shared" si="14"/>
        <v>0.47008135629309489</v>
      </c>
      <c r="M23" s="40">
        <f t="shared" si="15"/>
        <v>0.49555235752020982</v>
      </c>
      <c r="N23" s="35">
        <f t="shared" si="1"/>
        <v>5.3026084931547635</v>
      </c>
      <c r="O23" s="35">
        <f t="shared" si="2"/>
        <v>0.99504607323629968</v>
      </c>
      <c r="P23" s="36">
        <f t="shared" si="3"/>
        <v>1</v>
      </c>
      <c r="Q23" s="36">
        <f t="shared" si="4"/>
        <v>0.99504607323629968</v>
      </c>
      <c r="R23" s="37">
        <f t="shared" si="5"/>
        <v>0.99011668786297946</v>
      </c>
      <c r="T23" s="31">
        <f t="shared" si="6"/>
        <v>9.8099311183814653E-3</v>
      </c>
      <c r="U23" s="31">
        <f t="shared" si="7"/>
        <v>5.5916607374774351E-2</v>
      </c>
      <c r="V23" s="31">
        <f t="shared" si="8"/>
        <v>3.7277738249849569E-2</v>
      </c>
      <c r="W23" s="31">
        <f t="shared" si="9"/>
        <v>1.667688290124849E-2</v>
      </c>
      <c r="X23" s="31">
        <f t="shared" si="10"/>
        <v>2.9429793355144397E-3</v>
      </c>
    </row>
    <row r="24" spans="1:24" ht="14.25" customHeight="1" x14ac:dyDescent="0.25">
      <c r="A24" s="5"/>
      <c r="B24" s="38">
        <v>20</v>
      </c>
      <c r="C24" s="32">
        <v>5.0999999999999996</v>
      </c>
      <c r="D24" s="32">
        <v>3.8</v>
      </c>
      <c r="E24" s="32">
        <v>1.5</v>
      </c>
      <c r="F24" s="32">
        <v>0.3</v>
      </c>
      <c r="G24" s="39">
        <v>0</v>
      </c>
      <c r="H24">
        <f t="shared" si="0"/>
        <v>0</v>
      </c>
      <c r="I24" s="38">
        <f t="shared" si="11"/>
        <v>0.47742515470845709</v>
      </c>
      <c r="J24" s="40">
        <f t="shared" si="12"/>
        <v>0.38912475119215079</v>
      </c>
      <c r="K24" s="40">
        <f t="shared" si="13"/>
        <v>0.42430243259113709</v>
      </c>
      <c r="L24" s="40">
        <f t="shared" si="14"/>
        <v>0.46841366800297002</v>
      </c>
      <c r="M24" s="40">
        <f t="shared" si="15"/>
        <v>0.49525805958665836</v>
      </c>
      <c r="N24" s="35">
        <f t="shared" si="1"/>
        <v>4.9255085495151993</v>
      </c>
      <c r="O24" s="35">
        <f t="shared" si="2"/>
        <v>0.99279328006048084</v>
      </c>
      <c r="P24" s="36">
        <f t="shared" si="3"/>
        <v>1</v>
      </c>
      <c r="Q24" s="36">
        <f t="shared" si="4"/>
        <v>0.99279328006048084</v>
      </c>
      <c r="R24" s="37">
        <f t="shared" si="5"/>
        <v>0.98563849693324834</v>
      </c>
      <c r="T24" s="31">
        <f t="shared" si="6"/>
        <v>1.4206441218013064E-2</v>
      </c>
      <c r="U24" s="31">
        <f t="shared" si="7"/>
        <v>7.2452850211866621E-2</v>
      </c>
      <c r="V24" s="31">
        <f t="shared" si="8"/>
        <v>5.3984476628449643E-2</v>
      </c>
      <c r="W24" s="31">
        <f t="shared" si="9"/>
        <v>2.1309661827019596E-2</v>
      </c>
      <c r="X24" s="31">
        <f t="shared" si="10"/>
        <v>4.2619323654039193E-3</v>
      </c>
    </row>
    <row r="25" spans="1:24" ht="14.25" customHeight="1" x14ac:dyDescent="0.25">
      <c r="A25" s="5"/>
      <c r="B25" s="32">
        <v>21</v>
      </c>
      <c r="C25" s="32">
        <v>5.4</v>
      </c>
      <c r="D25" s="32">
        <v>3.4</v>
      </c>
      <c r="E25" s="32">
        <v>1.7</v>
      </c>
      <c r="F25" s="32">
        <v>0.2</v>
      </c>
      <c r="G25" s="39">
        <v>0</v>
      </c>
      <c r="H25">
        <f t="shared" si="0"/>
        <v>0</v>
      </c>
      <c r="I25" s="38">
        <f t="shared" si="11"/>
        <v>0.47600451058665577</v>
      </c>
      <c r="J25" s="40">
        <f t="shared" si="12"/>
        <v>0.38187946617096413</v>
      </c>
      <c r="K25" s="40">
        <f t="shared" si="13"/>
        <v>0.41890398492829212</v>
      </c>
      <c r="L25" s="40">
        <f t="shared" si="14"/>
        <v>0.46628270182026804</v>
      </c>
      <c r="M25" s="40">
        <f t="shared" si="15"/>
        <v>0.49483186635011794</v>
      </c>
      <c r="N25" s="35">
        <f t="shared" si="1"/>
        <v>4.8540741430305339</v>
      </c>
      <c r="O25" s="35">
        <f t="shared" si="2"/>
        <v>0.99226376741113131</v>
      </c>
      <c r="P25" s="36">
        <f t="shared" si="3"/>
        <v>1</v>
      </c>
      <c r="Q25" s="36">
        <f t="shared" si="4"/>
        <v>0.99226376741113131</v>
      </c>
      <c r="R25" s="37">
        <f t="shared" si="5"/>
        <v>0.9845873841169317</v>
      </c>
      <c r="T25" s="31">
        <f t="shared" si="6"/>
        <v>1.5233994015188755E-2</v>
      </c>
      <c r="U25" s="31">
        <f t="shared" si="7"/>
        <v>8.2263567682019284E-2</v>
      </c>
      <c r="V25" s="31">
        <f t="shared" si="8"/>
        <v>5.179557965164177E-2</v>
      </c>
      <c r="W25" s="31">
        <f t="shared" si="9"/>
        <v>2.5897789825820885E-2</v>
      </c>
      <c r="X25" s="31">
        <f t="shared" si="10"/>
        <v>3.0467988030377512E-3</v>
      </c>
    </row>
    <row r="26" spans="1:24" ht="14.25" customHeight="1" x14ac:dyDescent="0.25">
      <c r="A26" s="5"/>
      <c r="B26" s="38">
        <v>22</v>
      </c>
      <c r="C26" s="32">
        <v>5.0999999999999996</v>
      </c>
      <c r="D26" s="32">
        <v>3.7</v>
      </c>
      <c r="E26" s="32">
        <v>1.5</v>
      </c>
      <c r="F26" s="32">
        <v>0.4</v>
      </c>
      <c r="G26" s="39">
        <v>0</v>
      </c>
      <c r="H26">
        <f t="shared" si="0"/>
        <v>0</v>
      </c>
      <c r="I26" s="38">
        <f t="shared" si="11"/>
        <v>0.47448111118513692</v>
      </c>
      <c r="J26" s="40">
        <f t="shared" si="12"/>
        <v>0.3736531094027622</v>
      </c>
      <c r="K26" s="40">
        <f t="shared" si="13"/>
        <v>0.41372442696312794</v>
      </c>
      <c r="L26" s="40">
        <f t="shared" si="14"/>
        <v>0.46369292283768593</v>
      </c>
      <c r="M26" s="40">
        <f t="shared" si="15"/>
        <v>0.4945271864698142</v>
      </c>
      <c r="N26" s="35">
        <f t="shared" si="1"/>
        <v>4.804242607747252</v>
      </c>
      <c r="O26" s="35">
        <f t="shared" si="2"/>
        <v>0.99187170518488388</v>
      </c>
      <c r="P26" s="36">
        <f t="shared" si="3"/>
        <v>1</v>
      </c>
      <c r="Q26" s="36">
        <f t="shared" si="4"/>
        <v>0.99187170518488388</v>
      </c>
      <c r="R26" s="37">
        <f t="shared" si="5"/>
        <v>0.98380947954636921</v>
      </c>
      <c r="T26" s="31">
        <f t="shared" si="6"/>
        <v>1.5993386983317686E-2</v>
      </c>
      <c r="U26" s="31">
        <f t="shared" si="7"/>
        <v>8.1566273614920193E-2</v>
      </c>
      <c r="V26" s="31">
        <f t="shared" si="8"/>
        <v>5.9175531838275439E-2</v>
      </c>
      <c r="W26" s="31">
        <f t="shared" si="9"/>
        <v>2.3990080474976527E-2</v>
      </c>
      <c r="X26" s="31">
        <f t="shared" si="10"/>
        <v>6.3973547933270751E-3</v>
      </c>
    </row>
    <row r="27" spans="1:24" ht="14.25" customHeight="1" x14ac:dyDescent="0.25">
      <c r="A27" s="5"/>
      <c r="B27" s="32">
        <v>23</v>
      </c>
      <c r="C27" s="32">
        <v>4.5999999999999996</v>
      </c>
      <c r="D27" s="32">
        <v>3.6</v>
      </c>
      <c r="E27" s="32">
        <v>1</v>
      </c>
      <c r="F27" s="32">
        <v>0.2</v>
      </c>
      <c r="G27" s="39">
        <v>0</v>
      </c>
      <c r="H27">
        <f t="shared" si="0"/>
        <v>0</v>
      </c>
      <c r="I27" s="38">
        <f t="shared" si="11"/>
        <v>0.47288177248680513</v>
      </c>
      <c r="J27" s="40">
        <f t="shared" si="12"/>
        <v>0.36549648204127017</v>
      </c>
      <c r="K27" s="40">
        <f t="shared" si="13"/>
        <v>0.40780687377930042</v>
      </c>
      <c r="L27" s="40">
        <f t="shared" si="14"/>
        <v>0.46129391479018828</v>
      </c>
      <c r="M27" s="40">
        <f t="shared" si="15"/>
        <v>0.49388745099048148</v>
      </c>
      <c r="N27" s="35">
        <f t="shared" si="1"/>
        <v>4.182341740470414</v>
      </c>
      <c r="O27" s="35">
        <f t="shared" si="2"/>
        <v>0.98496672439529676</v>
      </c>
      <c r="P27" s="36">
        <f t="shared" si="3"/>
        <v>1</v>
      </c>
      <c r="Q27" s="36">
        <f t="shared" si="4"/>
        <v>0.98496672439529676</v>
      </c>
      <c r="R27" s="37">
        <f t="shared" si="5"/>
        <v>0.97015944816600053</v>
      </c>
      <c r="T27" s="31">
        <f t="shared" si="6"/>
        <v>2.9169348729572595E-2</v>
      </c>
      <c r="U27" s="31">
        <f t="shared" si="7"/>
        <v>0.13417900415603393</v>
      </c>
      <c r="V27" s="31">
        <f t="shared" si="8"/>
        <v>0.10500965542646135</v>
      </c>
      <c r="W27" s="31">
        <f t="shared" si="9"/>
        <v>2.9169348729572595E-2</v>
      </c>
      <c r="X27" s="31">
        <f t="shared" si="10"/>
        <v>5.8338697459145196E-3</v>
      </c>
    </row>
    <row r="28" spans="1:24" ht="14.25" customHeight="1" x14ac:dyDescent="0.25">
      <c r="A28" s="5"/>
      <c r="B28" s="38">
        <v>24</v>
      </c>
      <c r="C28" s="32">
        <v>5.0999999999999996</v>
      </c>
      <c r="D28" s="32">
        <v>3.3</v>
      </c>
      <c r="E28" s="32">
        <v>1.7</v>
      </c>
      <c r="F28" s="32">
        <v>0.5</v>
      </c>
      <c r="G28" s="39">
        <v>0</v>
      </c>
      <c r="H28">
        <f t="shared" si="0"/>
        <v>0</v>
      </c>
      <c r="I28" s="38">
        <f t="shared" si="11"/>
        <v>0.46996483761384789</v>
      </c>
      <c r="J28" s="40">
        <f t="shared" si="12"/>
        <v>0.3520785816256668</v>
      </c>
      <c r="K28" s="40">
        <f t="shared" si="13"/>
        <v>0.39730590823665429</v>
      </c>
      <c r="L28" s="40">
        <f t="shared" si="14"/>
        <v>0.45837697991723103</v>
      </c>
      <c r="M28" s="40">
        <f t="shared" si="15"/>
        <v>0.49330406401589005</v>
      </c>
      <c r="N28" s="35">
        <f t="shared" si="1"/>
        <v>4.6025679989529449</v>
      </c>
      <c r="O28" s="35">
        <f t="shared" si="2"/>
        <v>0.99007346820462561</v>
      </c>
      <c r="P28" s="36">
        <f t="shared" si="3"/>
        <v>1</v>
      </c>
      <c r="Q28" s="36">
        <f t="shared" si="4"/>
        <v>0.99007346820462561</v>
      </c>
      <c r="R28" s="37">
        <f t="shared" si="5"/>
        <v>0.98024547244273574</v>
      </c>
      <c r="T28" s="31">
        <f t="shared" si="6"/>
        <v>1.946087569894922E-2</v>
      </c>
      <c r="U28" s="31">
        <f t="shared" si="7"/>
        <v>9.9250466064641024E-2</v>
      </c>
      <c r="V28" s="31">
        <f t="shared" si="8"/>
        <v>6.4220889806532427E-2</v>
      </c>
      <c r="W28" s="31">
        <f t="shared" si="9"/>
        <v>3.3083488688213675E-2</v>
      </c>
      <c r="X28" s="31">
        <f t="shared" si="10"/>
        <v>9.7304378494746102E-3</v>
      </c>
    </row>
    <row r="29" spans="1:24" ht="14.25" customHeight="1" x14ac:dyDescent="0.25">
      <c r="A29" s="5"/>
      <c r="B29" s="32">
        <v>25</v>
      </c>
      <c r="C29" s="32">
        <v>4.8</v>
      </c>
      <c r="D29" s="32">
        <v>3.4</v>
      </c>
      <c r="E29" s="32">
        <v>1.9</v>
      </c>
      <c r="F29" s="32">
        <v>0.2</v>
      </c>
      <c r="G29" s="39">
        <v>0</v>
      </c>
      <c r="H29">
        <f t="shared" si="0"/>
        <v>0</v>
      </c>
      <c r="I29" s="38">
        <f t="shared" si="11"/>
        <v>0.46801875004395299</v>
      </c>
      <c r="J29" s="40">
        <f t="shared" si="12"/>
        <v>0.3421535350192027</v>
      </c>
      <c r="K29" s="40">
        <f t="shared" si="13"/>
        <v>0.39088381925600107</v>
      </c>
      <c r="L29" s="40">
        <f t="shared" si="14"/>
        <v>0.45506863104840967</v>
      </c>
      <c r="M29" s="40">
        <f t="shared" si="15"/>
        <v>0.49233102023094261</v>
      </c>
      <c r="N29" s="35">
        <f t="shared" si="1"/>
        <v>4.4024573066446955</v>
      </c>
      <c r="O29" s="35">
        <f t="shared" si="2"/>
        <v>0.98790097156357326</v>
      </c>
      <c r="P29" s="36">
        <f t="shared" si="3"/>
        <v>1</v>
      </c>
      <c r="Q29" s="36">
        <f t="shared" si="4"/>
        <v>0.98790097156357326</v>
      </c>
      <c r="R29" s="37">
        <f t="shared" si="5"/>
        <v>0.975948329616252</v>
      </c>
      <c r="T29" s="31">
        <f t="shared" si="6"/>
        <v>2.3616053185020421E-2</v>
      </c>
      <c r="U29" s="31">
        <f t="shared" si="7"/>
        <v>0.11335705528809802</v>
      </c>
      <c r="V29" s="31">
        <f t="shared" si="8"/>
        <v>8.0294580829069429E-2</v>
      </c>
      <c r="W29" s="31">
        <f t="shared" si="9"/>
        <v>4.4870501051538794E-2</v>
      </c>
      <c r="X29" s="31">
        <f t="shared" si="10"/>
        <v>4.7232106370040843E-3</v>
      </c>
    </row>
    <row r="30" spans="1:24" ht="14.25" customHeight="1" x14ac:dyDescent="0.25">
      <c r="A30" s="5"/>
      <c r="B30" s="38">
        <v>26</v>
      </c>
      <c r="C30" s="32">
        <v>5</v>
      </c>
      <c r="D30" s="32">
        <v>3</v>
      </c>
      <c r="E30" s="32">
        <v>1.6</v>
      </c>
      <c r="F30" s="32">
        <v>0.2</v>
      </c>
      <c r="G30" s="39">
        <v>0</v>
      </c>
      <c r="H30">
        <f t="shared" si="0"/>
        <v>0</v>
      </c>
      <c r="I30" s="38">
        <f t="shared" si="11"/>
        <v>0.46565714472545094</v>
      </c>
      <c r="J30" s="40">
        <f t="shared" si="12"/>
        <v>0.3308178294903929</v>
      </c>
      <c r="K30" s="40">
        <f t="shared" si="13"/>
        <v>0.38285436117309413</v>
      </c>
      <c r="L30" s="40">
        <f t="shared" si="14"/>
        <v>0.45058158094325579</v>
      </c>
      <c r="M30" s="40">
        <f t="shared" si="15"/>
        <v>0.49185869916724217</v>
      </c>
      <c r="N30" s="35">
        <f t="shared" si="1"/>
        <v>4.087611645039356</v>
      </c>
      <c r="O30" s="35">
        <f t="shared" si="2"/>
        <v>0.9834976368803946</v>
      </c>
      <c r="P30" s="36">
        <f t="shared" si="3"/>
        <v>1</v>
      </c>
      <c r="Q30" s="36">
        <f t="shared" si="4"/>
        <v>0.9834976368803946</v>
      </c>
      <c r="R30" s="37">
        <f t="shared" si="5"/>
        <v>0.96726760174932047</v>
      </c>
      <c r="T30" s="31">
        <f t="shared" si="6"/>
        <v>3.1924402395794305E-2</v>
      </c>
      <c r="U30" s="31">
        <f t="shared" si="7"/>
        <v>0.15962201197897152</v>
      </c>
      <c r="V30" s="31">
        <f t="shared" si="8"/>
        <v>9.5773207187382914E-2</v>
      </c>
      <c r="W30" s="31">
        <f t="shared" si="9"/>
        <v>5.1079043833270887E-2</v>
      </c>
      <c r="X30" s="31">
        <f t="shared" si="10"/>
        <v>6.3848804791588609E-3</v>
      </c>
    </row>
    <row r="31" spans="1:24" ht="14.25" customHeight="1" x14ac:dyDescent="0.25">
      <c r="A31" s="5"/>
      <c r="B31" s="32">
        <v>27</v>
      </c>
      <c r="C31" s="32">
        <v>5</v>
      </c>
      <c r="D31" s="32">
        <v>3.4</v>
      </c>
      <c r="E31" s="32">
        <v>1.6</v>
      </c>
      <c r="F31" s="32">
        <v>0.4</v>
      </c>
      <c r="G31" s="39">
        <v>0</v>
      </c>
      <c r="H31">
        <f t="shared" si="0"/>
        <v>0</v>
      </c>
      <c r="I31" s="38">
        <f t="shared" si="11"/>
        <v>0.46246470448587151</v>
      </c>
      <c r="J31" s="40">
        <f t="shared" si="12"/>
        <v>0.31485562829249575</v>
      </c>
      <c r="K31" s="40">
        <f t="shared" si="13"/>
        <v>0.37327704045435584</v>
      </c>
      <c r="L31" s="40">
        <f t="shared" si="14"/>
        <v>0.4454736765599287</v>
      </c>
      <c r="M31" s="40">
        <f t="shared" si="15"/>
        <v>0.49122021111932629</v>
      </c>
      <c r="N31" s="35">
        <f t="shared" si="1"/>
        <v>4.2151307504367761</v>
      </c>
      <c r="O31" s="35">
        <f t="shared" si="2"/>
        <v>0.98544459855601108</v>
      </c>
      <c r="P31" s="36">
        <f t="shared" si="3"/>
        <v>1</v>
      </c>
      <c r="Q31" s="36">
        <f t="shared" si="4"/>
        <v>0.98544459855601108</v>
      </c>
      <c r="R31" s="37">
        <f t="shared" si="5"/>
        <v>0.97110105682321779</v>
      </c>
      <c r="T31" s="31">
        <f t="shared" si="6"/>
        <v>2.826953144948767E-2</v>
      </c>
      <c r="U31" s="31">
        <f t="shared" si="7"/>
        <v>0.14134765724743836</v>
      </c>
      <c r="V31" s="31">
        <f t="shared" si="8"/>
        <v>9.6116406928258069E-2</v>
      </c>
      <c r="W31" s="31">
        <f t="shared" si="9"/>
        <v>4.5231250319180273E-2</v>
      </c>
      <c r="X31" s="31">
        <f t="shared" si="10"/>
        <v>1.1307812579795068E-2</v>
      </c>
    </row>
    <row r="32" spans="1:24" ht="14.25" customHeight="1" x14ac:dyDescent="0.25">
      <c r="A32" s="5"/>
      <c r="B32" s="38">
        <v>28</v>
      </c>
      <c r="C32" s="32">
        <v>5.2</v>
      </c>
      <c r="D32" s="32">
        <v>3.5</v>
      </c>
      <c r="E32" s="32">
        <v>1.5</v>
      </c>
      <c r="F32" s="32">
        <v>0.2</v>
      </c>
      <c r="G32" s="39">
        <v>0</v>
      </c>
      <c r="H32">
        <f t="shared" si="0"/>
        <v>0</v>
      </c>
      <c r="I32" s="38">
        <f t="shared" si="11"/>
        <v>0.45963775134092277</v>
      </c>
      <c r="J32" s="40">
        <f t="shared" si="12"/>
        <v>0.30072086256775193</v>
      </c>
      <c r="K32" s="40">
        <f t="shared" si="13"/>
        <v>0.36366539976153001</v>
      </c>
      <c r="L32" s="40">
        <f t="shared" si="14"/>
        <v>0.44095055152801066</v>
      </c>
      <c r="M32" s="40">
        <f t="shared" si="15"/>
        <v>0.49008942986134679</v>
      </c>
      <c r="N32" s="35">
        <f t="shared" si="1"/>
        <v>4.0556588491228736</v>
      </c>
      <c r="O32" s="35">
        <f t="shared" si="2"/>
        <v>0.98297094984953093</v>
      </c>
      <c r="P32" s="36">
        <f t="shared" si="3"/>
        <v>1</v>
      </c>
      <c r="Q32" s="36">
        <f t="shared" si="4"/>
        <v>0.98297094984953093</v>
      </c>
      <c r="R32" s="37">
        <f t="shared" si="5"/>
        <v>0.96623188824808903</v>
      </c>
      <c r="T32" s="31">
        <f t="shared" si="6"/>
        <v>3.2908022563918275E-2</v>
      </c>
      <c r="U32" s="31">
        <f t="shared" si="7"/>
        <v>0.17112171733237505</v>
      </c>
      <c r="V32" s="31">
        <f t="shared" si="8"/>
        <v>0.11517807897371396</v>
      </c>
      <c r="W32" s="31">
        <f t="shared" si="9"/>
        <v>4.9362033845877409E-2</v>
      </c>
      <c r="X32" s="31">
        <f t="shared" si="10"/>
        <v>6.5816045127836554E-3</v>
      </c>
    </row>
    <row r="33" spans="1:24" ht="14.25" customHeight="1" x14ac:dyDescent="0.25">
      <c r="A33" s="5"/>
      <c r="B33" s="32">
        <v>29</v>
      </c>
      <c r="C33" s="32">
        <v>5.2</v>
      </c>
      <c r="D33" s="32">
        <v>3.4</v>
      </c>
      <c r="E33" s="32">
        <v>1.4</v>
      </c>
      <c r="F33" s="32">
        <v>0.2</v>
      </c>
      <c r="G33" s="39">
        <v>0</v>
      </c>
      <c r="H33">
        <f t="shared" si="0"/>
        <v>0</v>
      </c>
      <c r="I33" s="38">
        <f t="shared" si="11"/>
        <v>0.45634694908453094</v>
      </c>
      <c r="J33" s="40">
        <f t="shared" si="12"/>
        <v>0.28360869083451445</v>
      </c>
      <c r="K33" s="40">
        <f t="shared" si="13"/>
        <v>0.35214759186415862</v>
      </c>
      <c r="L33" s="40">
        <f t="shared" si="14"/>
        <v>0.43601434814342294</v>
      </c>
      <c r="M33" s="40">
        <f t="shared" si="15"/>
        <v>0.48943126941006843</v>
      </c>
      <c r="N33" s="35">
        <f t="shared" si="1"/>
        <v>3.8367202950449513</v>
      </c>
      <c r="O33" s="35">
        <f t="shared" si="2"/>
        <v>0.97889098939216779</v>
      </c>
      <c r="P33" s="36">
        <f t="shared" si="3"/>
        <v>1</v>
      </c>
      <c r="Q33" s="36">
        <f t="shared" si="4"/>
        <v>0.97889098939216779</v>
      </c>
      <c r="R33" s="37">
        <f t="shared" si="5"/>
        <v>0.95822756911317719</v>
      </c>
      <c r="T33" s="31">
        <f t="shared" si="6"/>
        <v>4.0454471842254668E-2</v>
      </c>
      <c r="U33" s="31">
        <f t="shared" si="7"/>
        <v>0.21036325357972427</v>
      </c>
      <c r="V33" s="31">
        <f t="shared" si="8"/>
        <v>0.13754520426366587</v>
      </c>
      <c r="W33" s="31">
        <f t="shared" si="9"/>
        <v>5.6636260579156529E-2</v>
      </c>
      <c r="X33" s="31">
        <f t="shared" si="10"/>
        <v>8.0908943684509342E-3</v>
      </c>
    </row>
    <row r="34" spans="1:24" ht="14.25" customHeight="1" x14ac:dyDescent="0.25">
      <c r="A34" s="5"/>
      <c r="B34" s="38">
        <v>30</v>
      </c>
      <c r="C34" s="32">
        <v>4.7</v>
      </c>
      <c r="D34" s="32">
        <v>3.2</v>
      </c>
      <c r="E34" s="32">
        <v>1.6</v>
      </c>
      <c r="F34" s="32">
        <v>0.2</v>
      </c>
      <c r="G34" s="39">
        <v>0</v>
      </c>
      <c r="H34">
        <f t="shared" si="0"/>
        <v>0</v>
      </c>
      <c r="I34" s="38">
        <f t="shared" si="11"/>
        <v>0.45230150190030549</v>
      </c>
      <c r="J34" s="40">
        <f t="shared" si="12"/>
        <v>0.262572365476542</v>
      </c>
      <c r="K34" s="40">
        <f t="shared" si="13"/>
        <v>0.33839307143779201</v>
      </c>
      <c r="L34" s="40">
        <f t="shared" si="14"/>
        <v>0.43035072208550729</v>
      </c>
      <c r="M34" s="40">
        <f t="shared" si="15"/>
        <v>0.48862217997322333</v>
      </c>
      <c r="N34" s="35">
        <f t="shared" si="1"/>
        <v>3.5555350395724443</v>
      </c>
      <c r="O34" s="35">
        <f t="shared" si="2"/>
        <v>0.97222727133882225</v>
      </c>
      <c r="P34" s="36">
        <f t="shared" si="3"/>
        <v>1</v>
      </c>
      <c r="Q34" s="36">
        <f t="shared" si="4"/>
        <v>0.97222727133882225</v>
      </c>
      <c r="R34" s="37">
        <f t="shared" si="5"/>
        <v>0.94522586713493195</v>
      </c>
      <c r="T34" s="31">
        <f t="shared" si="6"/>
        <v>5.2503003062929827E-2</v>
      </c>
      <c r="U34" s="31">
        <f t="shared" si="7"/>
        <v>0.2467641143957702</v>
      </c>
      <c r="V34" s="31">
        <f t="shared" si="8"/>
        <v>0.16800960980137547</v>
      </c>
      <c r="W34" s="31">
        <f t="shared" si="9"/>
        <v>8.4004804900687735E-2</v>
      </c>
      <c r="X34" s="31">
        <f t="shared" si="10"/>
        <v>1.0500600612585967E-2</v>
      </c>
    </row>
    <row r="35" spans="1:24" ht="14.25" customHeight="1" x14ac:dyDescent="0.25">
      <c r="A35" s="5"/>
      <c r="B35" s="32">
        <v>31</v>
      </c>
      <c r="C35" s="32">
        <v>4.8</v>
      </c>
      <c r="D35" s="32">
        <v>3.1</v>
      </c>
      <c r="E35" s="32">
        <v>1.6</v>
      </c>
      <c r="F35" s="32">
        <v>0.2</v>
      </c>
      <c r="G35" s="39">
        <v>0</v>
      </c>
      <c r="H35">
        <f t="shared" si="0"/>
        <v>0</v>
      </c>
      <c r="I35" s="38">
        <f t="shared" si="11"/>
        <v>0.44705120159401252</v>
      </c>
      <c r="J35" s="40">
        <f t="shared" si="12"/>
        <v>0.23789595403696498</v>
      </c>
      <c r="K35" s="40">
        <f t="shared" si="13"/>
        <v>0.32159211045765446</v>
      </c>
      <c r="L35" s="40">
        <f t="shared" si="14"/>
        <v>0.42195024159543854</v>
      </c>
      <c r="M35" s="40">
        <f t="shared" si="15"/>
        <v>0.48757211991196475</v>
      </c>
      <c r="N35" s="35">
        <f t="shared" si="1"/>
        <v>3.358522133925268</v>
      </c>
      <c r="O35" s="35">
        <f t="shared" si="2"/>
        <v>0.96638279823493989</v>
      </c>
      <c r="P35" s="36">
        <f t="shared" si="3"/>
        <v>1</v>
      </c>
      <c r="Q35" s="36">
        <f t="shared" si="4"/>
        <v>0.96638279823493989</v>
      </c>
      <c r="R35" s="37">
        <f t="shared" si="5"/>
        <v>0.93389571272439253</v>
      </c>
      <c r="T35" s="31">
        <f t="shared" si="6"/>
        <v>6.2789921204361041E-2</v>
      </c>
      <c r="U35" s="31">
        <f t="shared" si="7"/>
        <v>0.30139162178093298</v>
      </c>
      <c r="V35" s="31">
        <f t="shared" si="8"/>
        <v>0.19464875573351922</v>
      </c>
      <c r="W35" s="31">
        <f t="shared" si="9"/>
        <v>0.10046387392697767</v>
      </c>
      <c r="X35" s="31">
        <f t="shared" si="10"/>
        <v>1.2557984240872209E-2</v>
      </c>
    </row>
    <row r="36" spans="1:24" ht="14.25" customHeight="1" x14ac:dyDescent="0.25">
      <c r="A36" s="5"/>
      <c r="B36" s="38">
        <v>32</v>
      </c>
      <c r="C36" s="32">
        <v>5.4</v>
      </c>
      <c r="D36" s="32">
        <v>3.4</v>
      </c>
      <c r="E36" s="32">
        <v>1.5</v>
      </c>
      <c r="F36" s="32">
        <v>0.4</v>
      </c>
      <c r="G36" s="39">
        <v>0</v>
      </c>
      <c r="H36">
        <f t="shared" si="0"/>
        <v>0</v>
      </c>
      <c r="I36" s="38">
        <f t="shared" si="11"/>
        <v>0.44077220947357643</v>
      </c>
      <c r="J36" s="40">
        <f t="shared" si="12"/>
        <v>0.20775679185887169</v>
      </c>
      <c r="K36" s="40">
        <f t="shared" si="13"/>
        <v>0.30212723488430254</v>
      </c>
      <c r="L36" s="40">
        <f t="shared" si="14"/>
        <v>0.41190385420274078</v>
      </c>
      <c r="M36" s="40">
        <f t="shared" si="15"/>
        <v>0.48631632148787751</v>
      </c>
      <c r="N36" s="35">
        <f t="shared" si="1"/>
        <v>3.4022737940173746</v>
      </c>
      <c r="O36" s="35">
        <f t="shared" si="2"/>
        <v>0.9677755214537539</v>
      </c>
      <c r="P36" s="36">
        <f t="shared" si="3"/>
        <v>1</v>
      </c>
      <c r="Q36" s="36">
        <f t="shared" si="4"/>
        <v>0.9677755214537539</v>
      </c>
      <c r="R36" s="37">
        <f t="shared" si="5"/>
        <v>0.93658945992508524</v>
      </c>
      <c r="T36" s="31">
        <f t="shared" si="6"/>
        <v>6.0362213915992273E-2</v>
      </c>
      <c r="U36" s="31">
        <f t="shared" si="7"/>
        <v>0.32595595514635828</v>
      </c>
      <c r="V36" s="31">
        <f t="shared" si="8"/>
        <v>0.20523152731437372</v>
      </c>
      <c r="W36" s="31">
        <f t="shared" si="9"/>
        <v>9.0543320873988406E-2</v>
      </c>
      <c r="X36" s="31">
        <f t="shared" si="10"/>
        <v>2.414488556639691E-2</v>
      </c>
    </row>
    <row r="37" spans="1:24" ht="14.25" customHeight="1" x14ac:dyDescent="0.25">
      <c r="A37" s="5"/>
      <c r="B37" s="32">
        <v>33</v>
      </c>
      <c r="C37" s="32">
        <v>5.2</v>
      </c>
      <c r="D37" s="32">
        <v>4.0999999999999996</v>
      </c>
      <c r="E37" s="32">
        <v>1.5</v>
      </c>
      <c r="F37" s="32">
        <v>0.1</v>
      </c>
      <c r="G37" s="39">
        <v>0</v>
      </c>
      <c r="H37">
        <f t="shared" si="0"/>
        <v>0</v>
      </c>
      <c r="I37" s="38">
        <f t="shared" si="11"/>
        <v>0.43473598808197722</v>
      </c>
      <c r="J37" s="40">
        <f t="shared" si="12"/>
        <v>0.17516119634423585</v>
      </c>
      <c r="K37" s="40">
        <f t="shared" si="13"/>
        <v>0.28160408215286514</v>
      </c>
      <c r="L37" s="40">
        <f t="shared" si="14"/>
        <v>0.40284952211534192</v>
      </c>
      <c r="M37" s="40">
        <f t="shared" si="15"/>
        <v>0.48390183293123784</v>
      </c>
      <c r="N37" s="35">
        <f t="shared" si="1"/>
        <v>3.1528154123648875</v>
      </c>
      <c r="O37" s="35">
        <f t="shared" si="2"/>
        <v>0.95901951366959881</v>
      </c>
      <c r="P37" s="36">
        <f t="shared" si="3"/>
        <v>1</v>
      </c>
      <c r="Q37" s="36">
        <f t="shared" si="4"/>
        <v>0.95901951366959881</v>
      </c>
      <c r="R37" s="37">
        <f t="shared" si="5"/>
        <v>0.91971842759907385</v>
      </c>
      <c r="T37" s="31">
        <f t="shared" si="6"/>
        <v>7.5381016900083836E-2</v>
      </c>
      <c r="U37" s="31">
        <f t="shared" si="7"/>
        <v>0.39198128788043596</v>
      </c>
      <c r="V37" s="31">
        <f t="shared" si="8"/>
        <v>0.30906216929034369</v>
      </c>
      <c r="W37" s="31">
        <f t="shared" si="9"/>
        <v>0.11307152535012575</v>
      </c>
      <c r="X37" s="31">
        <f t="shared" si="10"/>
        <v>7.5381016900083839E-3</v>
      </c>
    </row>
    <row r="38" spans="1:24" ht="14.25" customHeight="1" x14ac:dyDescent="0.25">
      <c r="A38" s="5"/>
      <c r="B38" s="38">
        <v>34</v>
      </c>
      <c r="C38" s="32">
        <v>5.5</v>
      </c>
      <c r="D38" s="32">
        <v>4.2</v>
      </c>
      <c r="E38" s="32">
        <v>1.4</v>
      </c>
      <c r="F38" s="32">
        <v>0.2</v>
      </c>
      <c r="G38" s="39">
        <v>0</v>
      </c>
      <c r="H38">
        <f t="shared" si="0"/>
        <v>0</v>
      </c>
      <c r="I38" s="38">
        <f t="shared" si="11"/>
        <v>0.42719788639196882</v>
      </c>
      <c r="J38" s="40">
        <f t="shared" si="12"/>
        <v>0.13596306755619225</v>
      </c>
      <c r="K38" s="40">
        <f t="shared" si="13"/>
        <v>0.25069786522383075</v>
      </c>
      <c r="L38" s="40">
        <f t="shared" si="14"/>
        <v>0.39154236958032934</v>
      </c>
      <c r="M38" s="40">
        <f t="shared" si="15"/>
        <v>0.48314802276223701</v>
      </c>
      <c r="N38" s="35">
        <f t="shared" si="1"/>
        <v>2.8727147138560234</v>
      </c>
      <c r="O38" s="35">
        <f t="shared" si="2"/>
        <v>0.94648102777936105</v>
      </c>
      <c r="P38" s="36">
        <f t="shared" si="3"/>
        <v>1</v>
      </c>
      <c r="Q38" s="36">
        <f t="shared" si="4"/>
        <v>0.94648102777936105</v>
      </c>
      <c r="R38" s="37">
        <f t="shared" si="5"/>
        <v>0.89582633594627559</v>
      </c>
      <c r="T38" s="31">
        <f t="shared" si="6"/>
        <v>9.5887409576051005E-2</v>
      </c>
      <c r="U38" s="31">
        <f t="shared" si="7"/>
        <v>0.52738075266828055</v>
      </c>
      <c r="V38" s="31">
        <f t="shared" si="8"/>
        <v>0.40272712021941426</v>
      </c>
      <c r="W38" s="31">
        <f t="shared" si="9"/>
        <v>0.13424237340647141</v>
      </c>
      <c r="X38" s="31">
        <f t="shared" si="10"/>
        <v>1.9177481915210202E-2</v>
      </c>
    </row>
    <row r="39" spans="1:24" ht="14.25" customHeight="1" x14ac:dyDescent="0.25">
      <c r="A39" s="5"/>
      <c r="B39" s="32">
        <v>35</v>
      </c>
      <c r="C39" s="32">
        <v>4.9000000000000004</v>
      </c>
      <c r="D39" s="32">
        <v>3.1</v>
      </c>
      <c r="E39" s="32">
        <v>1.5</v>
      </c>
      <c r="F39" s="32">
        <v>0.1</v>
      </c>
      <c r="G39" s="39">
        <v>0</v>
      </c>
      <c r="H39">
        <f t="shared" si="0"/>
        <v>0</v>
      </c>
      <c r="I39" s="38">
        <f t="shared" si="11"/>
        <v>0.41760914543436373</v>
      </c>
      <c r="J39" s="40">
        <f t="shared" si="12"/>
        <v>8.3224992289364197E-2</v>
      </c>
      <c r="K39" s="40">
        <f t="shared" si="13"/>
        <v>0.21042515320188931</v>
      </c>
      <c r="L39" s="40">
        <f t="shared" si="14"/>
        <v>0.37811813223968221</v>
      </c>
      <c r="M39" s="40">
        <f t="shared" si="15"/>
        <v>0.48123027457071599</v>
      </c>
      <c r="N39" s="35">
        <f t="shared" si="1"/>
        <v>2.0930298083947001</v>
      </c>
      <c r="O39" s="35">
        <f t="shared" si="2"/>
        <v>0.89022386493303152</v>
      </c>
      <c r="P39" s="36">
        <f t="shared" si="3"/>
        <v>1</v>
      </c>
      <c r="Q39" s="36">
        <f t="shared" si="4"/>
        <v>0.89022386493303152</v>
      </c>
      <c r="R39" s="37">
        <f t="shared" si="5"/>
        <v>0.7924985296963043</v>
      </c>
      <c r="T39" s="31">
        <f t="shared" si="6"/>
        <v>0.17399485127263087</v>
      </c>
      <c r="U39" s="31">
        <f t="shared" si="7"/>
        <v>0.85257477123589132</v>
      </c>
      <c r="V39" s="31">
        <f t="shared" si="8"/>
        <v>0.53938403894515574</v>
      </c>
      <c r="W39" s="31">
        <f t="shared" si="9"/>
        <v>0.26099227690894633</v>
      </c>
      <c r="X39" s="31">
        <f t="shared" si="10"/>
        <v>1.7399485127263088E-2</v>
      </c>
    </row>
    <row r="40" spans="1:24" ht="14.25" customHeight="1" x14ac:dyDescent="0.25">
      <c r="A40" s="5"/>
      <c r="B40" s="38">
        <v>36</v>
      </c>
      <c r="C40" s="32">
        <v>5</v>
      </c>
      <c r="D40" s="32">
        <v>3.2</v>
      </c>
      <c r="E40" s="32">
        <v>1.2</v>
      </c>
      <c r="F40" s="32">
        <v>0.2</v>
      </c>
      <c r="G40" s="39">
        <v>0</v>
      </c>
      <c r="H40">
        <f t="shared" si="0"/>
        <v>0</v>
      </c>
      <c r="I40" s="38">
        <f t="shared" si="11"/>
        <v>0.40020966030710065</v>
      </c>
      <c r="J40" s="40">
        <f t="shared" si="12"/>
        <v>-2.0324848342249402E-3</v>
      </c>
      <c r="K40" s="40">
        <f t="shared" si="13"/>
        <v>0.15648674930737375</v>
      </c>
      <c r="L40" s="40">
        <f t="shared" si="14"/>
        <v>0.35201890454878759</v>
      </c>
      <c r="M40" s="40">
        <f t="shared" si="15"/>
        <v>0.47949032605798969</v>
      </c>
      <c r="N40" s="35">
        <f t="shared" si="1"/>
        <v>1.4091255845897148</v>
      </c>
      <c r="O40" s="35">
        <f t="shared" si="2"/>
        <v>0.80362798873485086</v>
      </c>
      <c r="P40" s="36">
        <f t="shared" si="3"/>
        <v>1</v>
      </c>
      <c r="Q40" s="36">
        <f t="shared" si="4"/>
        <v>0.80362798873485086</v>
      </c>
      <c r="R40" s="37">
        <f t="shared" si="5"/>
        <v>0.64581794427802164</v>
      </c>
      <c r="T40" s="31">
        <f t="shared" si="6"/>
        <v>0.25364113725799825</v>
      </c>
      <c r="U40" s="31">
        <f t="shared" si="7"/>
        <v>1.2682056862899913</v>
      </c>
      <c r="V40" s="31">
        <f t="shared" si="8"/>
        <v>0.81165163922559447</v>
      </c>
      <c r="W40" s="31">
        <f t="shared" si="9"/>
        <v>0.30436936470959791</v>
      </c>
      <c r="X40" s="31">
        <f t="shared" si="10"/>
        <v>5.0728227451599654E-2</v>
      </c>
    </row>
    <row r="41" spans="1:24" ht="14.25" customHeight="1" x14ac:dyDescent="0.25">
      <c r="A41" s="5"/>
      <c r="B41" s="32">
        <v>37</v>
      </c>
      <c r="C41" s="32">
        <v>5.5</v>
      </c>
      <c r="D41" s="32">
        <v>3.5</v>
      </c>
      <c r="E41" s="32">
        <v>1.3</v>
      </c>
      <c r="F41" s="32">
        <v>0.2</v>
      </c>
      <c r="G41" s="39">
        <v>0</v>
      </c>
      <c r="H41">
        <f t="shared" si="0"/>
        <v>0</v>
      </c>
      <c r="I41" s="38">
        <f t="shared" si="11"/>
        <v>0.37484554658130081</v>
      </c>
      <c r="J41" s="40">
        <f t="shared" si="12"/>
        <v>-0.12885305346322407</v>
      </c>
      <c r="K41" s="40">
        <f t="shared" si="13"/>
        <v>7.5321585384814288E-2</v>
      </c>
      <c r="L41" s="40">
        <f t="shared" si="14"/>
        <v>0.3215819680778278</v>
      </c>
      <c r="M41" s="40">
        <f t="shared" si="15"/>
        <v>0.47441750331282972</v>
      </c>
      <c r="N41" s="35">
        <f t="shared" si="1"/>
        <v>0.4427193605441605</v>
      </c>
      <c r="O41" s="35">
        <f t="shared" si="2"/>
        <v>0.60890680882670545</v>
      </c>
      <c r="P41" s="36">
        <f t="shared" si="3"/>
        <v>1</v>
      </c>
      <c r="Q41" s="36">
        <f t="shared" si="4"/>
        <v>0.60890680882670545</v>
      </c>
      <c r="R41" s="37">
        <f t="shared" si="5"/>
        <v>0.37076750183552204</v>
      </c>
      <c r="T41" s="31">
        <f t="shared" si="6"/>
        <v>0.29000929095240929</v>
      </c>
      <c r="U41" s="31">
        <f t="shared" si="7"/>
        <v>1.595051100238251</v>
      </c>
      <c r="V41" s="31">
        <f t="shared" si="8"/>
        <v>1.0150325183334326</v>
      </c>
      <c r="W41" s="31">
        <f t="shared" si="9"/>
        <v>0.3770120782381321</v>
      </c>
      <c r="X41" s="31">
        <f t="shared" si="10"/>
        <v>5.8001858190481863E-2</v>
      </c>
    </row>
    <row r="42" spans="1:24" ht="14.25" customHeight="1" x14ac:dyDescent="0.25">
      <c r="A42" s="5"/>
      <c r="B42" s="38">
        <v>38</v>
      </c>
      <c r="C42" s="32">
        <v>4.9000000000000004</v>
      </c>
      <c r="D42" s="32">
        <v>3.1</v>
      </c>
      <c r="E42" s="32">
        <v>1.5</v>
      </c>
      <c r="F42" s="32">
        <v>0.1</v>
      </c>
      <c r="G42" s="39">
        <v>0</v>
      </c>
      <c r="H42">
        <f t="shared" si="0"/>
        <v>1</v>
      </c>
      <c r="I42" s="38">
        <f t="shared" si="11"/>
        <v>0.34584461748605988</v>
      </c>
      <c r="J42" s="40">
        <f t="shared" si="12"/>
        <v>-0.28835816348704918</v>
      </c>
      <c r="K42" s="40">
        <f t="shared" si="13"/>
        <v>-2.618166644852897E-2</v>
      </c>
      <c r="L42" s="40">
        <f t="shared" si="14"/>
        <v>0.2838807602540146</v>
      </c>
      <c r="M42" s="40">
        <f t="shared" si="15"/>
        <v>0.46861731749378155</v>
      </c>
      <c r="N42" s="35">
        <f t="shared" si="1"/>
        <v>-0.67559067746052082</v>
      </c>
      <c r="O42" s="35">
        <f t="shared" si="2"/>
        <v>0.33724612712614982</v>
      </c>
      <c r="P42" s="36">
        <f t="shared" si="3"/>
        <v>0</v>
      </c>
      <c r="Q42" s="36">
        <f t="shared" si="4"/>
        <v>0.33724612712614982</v>
      </c>
      <c r="R42" s="37">
        <f t="shared" si="5"/>
        <v>0.11373495026158721</v>
      </c>
      <c r="T42" s="31">
        <f t="shared" si="6"/>
        <v>0.15075655753396328</v>
      </c>
      <c r="U42" s="31">
        <f t="shared" si="7"/>
        <v>0.73870713191642012</v>
      </c>
      <c r="V42" s="31">
        <f t="shared" si="8"/>
        <v>0.46734532835528619</v>
      </c>
      <c r="W42" s="31">
        <f t="shared" si="9"/>
        <v>0.22613483630094491</v>
      </c>
      <c r="X42" s="31">
        <f t="shared" si="10"/>
        <v>1.5075655753396328E-2</v>
      </c>
    </row>
    <row r="43" spans="1:24" ht="14.25" customHeight="1" x14ac:dyDescent="0.25">
      <c r="A43" s="5"/>
      <c r="B43" s="32">
        <v>39</v>
      </c>
      <c r="C43" s="32">
        <v>4.4000000000000004</v>
      </c>
      <c r="D43" s="32">
        <v>3</v>
      </c>
      <c r="E43" s="32">
        <v>1.3</v>
      </c>
      <c r="F43" s="32">
        <v>0.2</v>
      </c>
      <c r="G43" s="39">
        <v>0</v>
      </c>
      <c r="H43">
        <f t="shared" si="0"/>
        <v>1</v>
      </c>
      <c r="I43" s="38">
        <f t="shared" si="11"/>
        <v>0.33076896173266357</v>
      </c>
      <c r="J43" s="40">
        <f t="shared" si="12"/>
        <v>-0.36222887667869119</v>
      </c>
      <c r="K43" s="40">
        <f t="shared" si="13"/>
        <v>-7.2916199284057598E-2</v>
      </c>
      <c r="L43" s="40">
        <f t="shared" si="14"/>
        <v>0.26126727662392013</v>
      </c>
      <c r="M43" s="40">
        <f t="shared" si="15"/>
        <v>0.4671097519184419</v>
      </c>
      <c r="N43" s="35">
        <f t="shared" si="1"/>
        <v>-1.0487172835109662</v>
      </c>
      <c r="O43" s="35">
        <f t="shared" si="2"/>
        <v>0.25947149365528704</v>
      </c>
      <c r="P43" s="36">
        <f t="shared" si="3"/>
        <v>0</v>
      </c>
      <c r="Q43" s="36">
        <f t="shared" si="4"/>
        <v>0.25947149365528704</v>
      </c>
      <c r="R43" s="37">
        <f t="shared" si="5"/>
        <v>6.732545601970566E-2</v>
      </c>
      <c r="T43" s="31">
        <f t="shared" si="6"/>
        <v>9.9712838770498594E-2</v>
      </c>
      <c r="U43" s="31">
        <f t="shared" si="7"/>
        <v>0.43873649059019387</v>
      </c>
      <c r="V43" s="31">
        <f t="shared" si="8"/>
        <v>0.29913851631149579</v>
      </c>
      <c r="W43" s="31">
        <f t="shared" si="9"/>
        <v>0.12962669040164818</v>
      </c>
      <c r="X43" s="31">
        <f t="shared" si="10"/>
        <v>1.9942567754099721E-2</v>
      </c>
    </row>
    <row r="44" spans="1:24" ht="14.25" customHeight="1" x14ac:dyDescent="0.25">
      <c r="A44" s="5"/>
      <c r="B44" s="38">
        <v>40</v>
      </c>
      <c r="C44" s="32">
        <v>5.0999999999999996</v>
      </c>
      <c r="D44" s="32">
        <v>3.4</v>
      </c>
      <c r="E44" s="32">
        <v>1.5</v>
      </c>
      <c r="F44" s="32">
        <v>0.2</v>
      </c>
      <c r="G44" s="39">
        <v>0</v>
      </c>
      <c r="H44">
        <f t="shared" si="0"/>
        <v>1</v>
      </c>
      <c r="I44" s="38">
        <f t="shared" si="11"/>
        <v>0.32079767785561369</v>
      </c>
      <c r="J44" s="40">
        <f t="shared" si="12"/>
        <v>-0.40610252573771055</v>
      </c>
      <c r="K44" s="40">
        <f t="shared" si="13"/>
        <v>-0.10283005091520718</v>
      </c>
      <c r="L44" s="40">
        <f t="shared" si="14"/>
        <v>0.2483046075837553</v>
      </c>
      <c r="M44" s="40">
        <f t="shared" si="15"/>
        <v>0.46511549514303191</v>
      </c>
      <c r="N44" s="35">
        <f t="shared" si="1"/>
        <v>-1.6344673661141749</v>
      </c>
      <c r="O44" s="35">
        <f t="shared" si="2"/>
        <v>0.1632192955659949</v>
      </c>
      <c r="P44" s="36">
        <f t="shared" si="3"/>
        <v>0</v>
      </c>
      <c r="Q44" s="36">
        <f t="shared" si="4"/>
        <v>0.1632192955659949</v>
      </c>
      <c r="R44" s="37">
        <f t="shared" si="5"/>
        <v>2.6640538445059602E-2</v>
      </c>
      <c r="T44" s="31">
        <f t="shared" si="6"/>
        <v>4.4584577053116345E-2</v>
      </c>
      <c r="U44" s="31">
        <f t="shared" si="7"/>
        <v>0.22738134297089335</v>
      </c>
      <c r="V44" s="31">
        <f t="shared" si="8"/>
        <v>0.15158756198059556</v>
      </c>
      <c r="W44" s="31">
        <f t="shared" si="9"/>
        <v>6.687686557967451E-2</v>
      </c>
      <c r="X44" s="31">
        <f t="shared" si="10"/>
        <v>8.916915410623269E-3</v>
      </c>
    </row>
    <row r="45" spans="1:24" ht="14.25" customHeight="1" x14ac:dyDescent="0.25">
      <c r="A45" s="5"/>
      <c r="B45" s="32">
        <v>41</v>
      </c>
      <c r="C45" s="32">
        <v>7</v>
      </c>
      <c r="D45" s="32">
        <v>3.2</v>
      </c>
      <c r="E45" s="32">
        <v>4.7</v>
      </c>
      <c r="F45" s="32">
        <v>1.4</v>
      </c>
      <c r="G45" s="39">
        <v>1</v>
      </c>
      <c r="H45">
        <f t="shared" si="0"/>
        <v>0</v>
      </c>
      <c r="I45" s="38">
        <f t="shared" si="11"/>
        <v>0.31633922015030208</v>
      </c>
      <c r="J45" s="40">
        <f t="shared" si="12"/>
        <v>-0.42884066003479987</v>
      </c>
      <c r="K45" s="40">
        <f t="shared" si="13"/>
        <v>-0.11798880711326673</v>
      </c>
      <c r="L45" s="40">
        <f t="shared" si="14"/>
        <v>0.24161692102578786</v>
      </c>
      <c r="M45" s="40">
        <f t="shared" si="15"/>
        <v>0.46422380360196958</v>
      </c>
      <c r="N45" s="35">
        <f t="shared" si="1"/>
        <v>-1.2775967289917902</v>
      </c>
      <c r="O45" s="35">
        <f t="shared" si="2"/>
        <v>0.21795959115502309</v>
      </c>
      <c r="P45" s="36">
        <f t="shared" si="3"/>
        <v>0</v>
      </c>
      <c r="Q45" s="36">
        <f t="shared" si="4"/>
        <v>-0.78204040884497694</v>
      </c>
      <c r="R45" s="37">
        <f t="shared" si="5"/>
        <v>0.61158720106641873</v>
      </c>
      <c r="T45" s="31">
        <f t="shared" si="6"/>
        <v>-0.26660259260016306</v>
      </c>
      <c r="U45" s="31">
        <f t="shared" si="7"/>
        <v>-1.8662181482011415</v>
      </c>
      <c r="V45" s="31">
        <f t="shared" si="8"/>
        <v>-0.85312829632052178</v>
      </c>
      <c r="W45" s="31">
        <f t="shared" si="9"/>
        <v>-1.2530321852207664</v>
      </c>
      <c r="X45" s="31">
        <f t="shared" si="10"/>
        <v>-0.37324362964022828</v>
      </c>
    </row>
    <row r="46" spans="1:24" ht="14.25" customHeight="1" x14ac:dyDescent="0.25">
      <c r="A46" s="5"/>
      <c r="B46" s="38">
        <v>42</v>
      </c>
      <c r="C46" s="32">
        <v>6.4</v>
      </c>
      <c r="D46" s="32">
        <v>3.2</v>
      </c>
      <c r="E46" s="32">
        <v>4.5</v>
      </c>
      <c r="F46" s="32">
        <v>1.5</v>
      </c>
      <c r="G46" s="39">
        <v>1</v>
      </c>
      <c r="H46">
        <f t="shared" si="0"/>
        <v>1</v>
      </c>
      <c r="I46" s="38">
        <f t="shared" si="11"/>
        <v>0.34299947941031839</v>
      </c>
      <c r="J46" s="40">
        <f t="shared" si="12"/>
        <v>-0.2422188452146857</v>
      </c>
      <c r="K46" s="40">
        <f t="shared" si="13"/>
        <v>-3.2675977481214549E-2</v>
      </c>
      <c r="L46" s="40">
        <f t="shared" si="14"/>
        <v>0.36692013954786451</v>
      </c>
      <c r="M46" s="40">
        <f t="shared" si="15"/>
        <v>0.50154816656599244</v>
      </c>
      <c r="N46" s="35">
        <f t="shared" si="1"/>
        <v>1.0916986199108218</v>
      </c>
      <c r="O46" s="35">
        <f t="shared" si="2"/>
        <v>0.74870144784056869</v>
      </c>
      <c r="P46" s="36">
        <f t="shared" si="3"/>
        <v>1</v>
      </c>
      <c r="Q46" s="36">
        <f t="shared" si="4"/>
        <v>-0.25129855215943131</v>
      </c>
      <c r="R46" s="37">
        <f t="shared" si="5"/>
        <v>6.3150962317426423E-2</v>
      </c>
      <c r="T46" s="31">
        <f t="shared" si="6"/>
        <v>-9.4562433839164711E-2</v>
      </c>
      <c r="U46" s="31">
        <f t="shared" si="7"/>
        <v>-0.60519957657065415</v>
      </c>
      <c r="V46" s="31">
        <f t="shared" si="8"/>
        <v>-0.30259978828532708</v>
      </c>
      <c r="W46" s="31">
        <f t="shared" si="9"/>
        <v>-0.42553095227624121</v>
      </c>
      <c r="X46" s="31">
        <f t="shared" si="10"/>
        <v>-0.14184365075874705</v>
      </c>
    </row>
    <row r="47" spans="1:24" ht="14.25" customHeight="1" x14ac:dyDescent="0.25">
      <c r="A47" s="5"/>
      <c r="B47" s="32">
        <v>43</v>
      </c>
      <c r="C47" s="32">
        <v>6.9</v>
      </c>
      <c r="D47" s="32">
        <v>3.1</v>
      </c>
      <c r="E47" s="32">
        <v>4.9000000000000004</v>
      </c>
      <c r="F47" s="32">
        <v>1.5</v>
      </c>
      <c r="G47" s="39">
        <v>1</v>
      </c>
      <c r="H47">
        <f t="shared" si="0"/>
        <v>1</v>
      </c>
      <c r="I47" s="38">
        <f t="shared" si="11"/>
        <v>0.35245572279423487</v>
      </c>
      <c r="J47" s="40">
        <f t="shared" si="12"/>
        <v>-0.18169888755762029</v>
      </c>
      <c r="K47" s="40">
        <f t="shared" si="13"/>
        <v>-2.4159986526818417E-3</v>
      </c>
      <c r="L47" s="40">
        <f t="shared" si="14"/>
        <v>0.40947323477548864</v>
      </c>
      <c r="M47" s="40">
        <f t="shared" si="15"/>
        <v>0.51573253164186716</v>
      </c>
      <c r="N47" s="35">
        <f t="shared" si="1"/>
        <v>1.8712614506860363</v>
      </c>
      <c r="O47" s="35">
        <f t="shared" si="2"/>
        <v>0.86660417035903714</v>
      </c>
      <c r="P47" s="36">
        <f t="shared" si="3"/>
        <v>1</v>
      </c>
      <c r="Q47" s="36">
        <f t="shared" si="4"/>
        <v>-0.13339582964096286</v>
      </c>
      <c r="R47" s="37">
        <f t="shared" si="5"/>
        <v>1.7794447365600787E-2</v>
      </c>
      <c r="T47" s="31">
        <f t="shared" si="6"/>
        <v>-3.084148459252805E-2</v>
      </c>
      <c r="U47" s="31">
        <f t="shared" si="7"/>
        <v>-0.21280624368844356</v>
      </c>
      <c r="V47" s="31">
        <f t="shared" si="8"/>
        <v>-9.5608602236836954E-2</v>
      </c>
      <c r="W47" s="31">
        <f t="shared" si="9"/>
        <v>-0.15112327450338744</v>
      </c>
      <c r="X47" s="31">
        <f t="shared" si="10"/>
        <v>-4.6262226888792071E-2</v>
      </c>
    </row>
    <row r="48" spans="1:24" ht="14.25" customHeight="1" x14ac:dyDescent="0.25">
      <c r="A48" s="5"/>
      <c r="B48" s="38">
        <v>44</v>
      </c>
      <c r="C48" s="32">
        <v>5.5</v>
      </c>
      <c r="D48" s="32">
        <v>2.2999999999999998</v>
      </c>
      <c r="E48" s="32">
        <v>4</v>
      </c>
      <c r="F48" s="32">
        <v>1.3</v>
      </c>
      <c r="G48" s="39">
        <v>1</v>
      </c>
      <c r="H48">
        <f t="shared" si="0"/>
        <v>1</v>
      </c>
      <c r="I48" s="38">
        <f t="shared" si="11"/>
        <v>0.35553987125348768</v>
      </c>
      <c r="J48" s="40">
        <f t="shared" si="12"/>
        <v>-0.16041826318877594</v>
      </c>
      <c r="K48" s="40">
        <f t="shared" si="13"/>
        <v>7.1448615710018541E-3</v>
      </c>
      <c r="L48" s="40">
        <f t="shared" si="14"/>
        <v>0.42458556222582738</v>
      </c>
      <c r="M48" s="40">
        <f t="shared" si="15"/>
        <v>0.52035875433074641</v>
      </c>
      <c r="N48" s="35">
        <f t="shared" si="1"/>
        <v>1.8644812348618043</v>
      </c>
      <c r="O48" s="35">
        <f t="shared" si="2"/>
        <v>0.86581841793805581</v>
      </c>
      <c r="P48" s="36">
        <f t="shared" si="3"/>
        <v>1</v>
      </c>
      <c r="Q48" s="36">
        <f t="shared" si="4"/>
        <v>-0.13418158206194419</v>
      </c>
      <c r="R48" s="37">
        <f t="shared" si="5"/>
        <v>1.8004696964646263E-2</v>
      </c>
      <c r="T48" s="31">
        <f t="shared" si="6"/>
        <v>-3.1177596482768286E-2</v>
      </c>
      <c r="U48" s="31">
        <f t="shared" si="7"/>
        <v>-0.17147678065522556</v>
      </c>
      <c r="V48" s="31">
        <f t="shared" si="8"/>
        <v>-7.1708471910367055E-2</v>
      </c>
      <c r="W48" s="31">
        <f t="shared" si="9"/>
        <v>-0.12471038593107314</v>
      </c>
      <c r="X48" s="31">
        <f t="shared" si="10"/>
        <v>-4.053087542759877E-2</v>
      </c>
    </row>
    <row r="49" spans="1:24" ht="14.25" customHeight="1" x14ac:dyDescent="0.25">
      <c r="A49" s="5"/>
      <c r="B49" s="32">
        <v>45</v>
      </c>
      <c r="C49" s="32">
        <v>6.5</v>
      </c>
      <c r="D49" s="32">
        <v>2.8</v>
      </c>
      <c r="E49" s="32">
        <v>4.5999999999999996</v>
      </c>
      <c r="F49" s="32">
        <v>1.5</v>
      </c>
      <c r="G49" s="39">
        <v>1</v>
      </c>
      <c r="H49">
        <f t="shared" si="0"/>
        <v>1</v>
      </c>
      <c r="I49" s="38">
        <f t="shared" si="11"/>
        <v>0.3586576309017645</v>
      </c>
      <c r="J49" s="40">
        <f t="shared" si="12"/>
        <v>-0.14327058512325339</v>
      </c>
      <c r="K49" s="40">
        <f t="shared" si="13"/>
        <v>1.4315708762038561E-2</v>
      </c>
      <c r="L49" s="40">
        <f t="shared" si="14"/>
        <v>0.43705660081893472</v>
      </c>
      <c r="M49" s="40">
        <f t="shared" si="15"/>
        <v>0.52441184187350631</v>
      </c>
      <c r="N49" s="35">
        <f t="shared" si="1"/>
        <v>2.2645609387116847</v>
      </c>
      <c r="O49" s="35">
        <f t="shared" si="2"/>
        <v>0.905899152712908</v>
      </c>
      <c r="P49" s="36">
        <f t="shared" si="3"/>
        <v>1</v>
      </c>
      <c r="Q49" s="36">
        <f t="shared" si="4"/>
        <v>-9.4100847287092004E-2</v>
      </c>
      <c r="R49" s="37">
        <f t="shared" si="5"/>
        <v>8.8549694601486109E-3</v>
      </c>
      <c r="T49" s="31">
        <f t="shared" si="6"/>
        <v>-1.6043418662494605E-2</v>
      </c>
      <c r="U49" s="31">
        <f t="shared" si="7"/>
        <v>-0.10428222130621492</v>
      </c>
      <c r="V49" s="31">
        <f t="shared" si="8"/>
        <v>-4.4921572254984887E-2</v>
      </c>
      <c r="W49" s="31">
        <f t="shared" si="9"/>
        <v>-7.379972584747517E-2</v>
      </c>
      <c r="X49" s="31">
        <f t="shared" si="10"/>
        <v>-2.4065127993741907E-2</v>
      </c>
    </row>
    <row r="50" spans="1:24" ht="14.25" customHeight="1" x14ac:dyDescent="0.25">
      <c r="A50" s="5"/>
      <c r="B50" s="38">
        <v>46</v>
      </c>
      <c r="C50" s="32">
        <v>5.7</v>
      </c>
      <c r="D50" s="32">
        <v>2.8</v>
      </c>
      <c r="E50" s="32">
        <v>4.5</v>
      </c>
      <c r="F50" s="32">
        <v>1.3</v>
      </c>
      <c r="G50" s="39">
        <v>1</v>
      </c>
      <c r="H50">
        <f t="shared" si="0"/>
        <v>1</v>
      </c>
      <c r="I50" s="38">
        <f t="shared" si="11"/>
        <v>0.36026197276801397</v>
      </c>
      <c r="J50" s="40">
        <f t="shared" si="12"/>
        <v>-0.13284236299263188</v>
      </c>
      <c r="K50" s="40">
        <f t="shared" si="13"/>
        <v>1.8807865987537049E-2</v>
      </c>
      <c r="L50" s="40">
        <f t="shared" si="14"/>
        <v>0.44443657340368226</v>
      </c>
      <c r="M50" s="40">
        <f t="shared" si="15"/>
        <v>0.52681835467288052</v>
      </c>
      <c r="N50" s="35">
        <f t="shared" si="1"/>
        <v>2.3405509698664311</v>
      </c>
      <c r="O50" s="35">
        <f t="shared" si="2"/>
        <v>0.91218023198980447</v>
      </c>
      <c r="P50" s="36">
        <f t="shared" si="3"/>
        <v>1</v>
      </c>
      <c r="Q50" s="36">
        <f t="shared" si="4"/>
        <v>-8.7819768010195531E-2</v>
      </c>
      <c r="R50" s="37">
        <f t="shared" si="5"/>
        <v>7.7123116533645624E-3</v>
      </c>
      <c r="T50" s="31">
        <f t="shared" si="6"/>
        <v>-1.4070036466287518E-2</v>
      </c>
      <c r="U50" s="31">
        <f t="shared" si="7"/>
        <v>-8.019920785783885E-2</v>
      </c>
      <c r="V50" s="31">
        <f t="shared" si="8"/>
        <v>-3.9396102105605048E-2</v>
      </c>
      <c r="W50" s="31">
        <f t="shared" si="9"/>
        <v>-6.3315164098293839E-2</v>
      </c>
      <c r="X50" s="31">
        <f t="shared" si="10"/>
        <v>-1.8291047406173773E-2</v>
      </c>
    </row>
    <row r="51" spans="1:24" ht="14.25" customHeight="1" x14ac:dyDescent="0.25">
      <c r="A51" s="5"/>
      <c r="B51" s="32">
        <v>47</v>
      </c>
      <c r="C51" s="32">
        <v>6.3</v>
      </c>
      <c r="D51" s="32">
        <v>3.3</v>
      </c>
      <c r="E51" s="32">
        <v>4.7</v>
      </c>
      <c r="F51" s="32">
        <v>1.6</v>
      </c>
      <c r="G51" s="39">
        <v>1</v>
      </c>
      <c r="H51">
        <f t="shared" si="0"/>
        <v>1</v>
      </c>
      <c r="I51" s="38">
        <f t="shared" si="11"/>
        <v>0.36166897641464274</v>
      </c>
      <c r="J51" s="40">
        <f t="shared" si="12"/>
        <v>-0.124822442206848</v>
      </c>
      <c r="K51" s="40">
        <f t="shared" si="13"/>
        <v>2.2747476198097555E-2</v>
      </c>
      <c r="L51" s="40">
        <f t="shared" si="14"/>
        <v>0.45076808981351163</v>
      </c>
      <c r="M51" s="40">
        <f t="shared" si="15"/>
        <v>0.52864745941349789</v>
      </c>
      <c r="N51" s="35">
        <f t="shared" si="1"/>
        <v>2.6148002191503235</v>
      </c>
      <c r="O51" s="35">
        <f t="shared" si="2"/>
        <v>0.93180804385576643</v>
      </c>
      <c r="P51" s="36">
        <f t="shared" si="3"/>
        <v>1</v>
      </c>
      <c r="Q51" s="36">
        <f t="shared" si="4"/>
        <v>-6.8191956144233568E-2</v>
      </c>
      <c r="R51" s="37">
        <f t="shared" si="5"/>
        <v>4.650142882777074E-3</v>
      </c>
      <c r="T51" s="31">
        <f t="shared" si="6"/>
        <v>-8.6660810865006391E-3</v>
      </c>
      <c r="U51" s="31">
        <f t="shared" si="7"/>
        <v>-5.4596310844954025E-2</v>
      </c>
      <c r="V51" s="31">
        <f t="shared" si="8"/>
        <v>-2.8598067585452108E-2</v>
      </c>
      <c r="W51" s="31">
        <f t="shared" si="9"/>
        <v>-4.0730581106553004E-2</v>
      </c>
      <c r="X51" s="31">
        <f t="shared" si="10"/>
        <v>-1.3865729738401023E-2</v>
      </c>
    </row>
    <row r="52" spans="1:24" ht="14.25" customHeight="1" x14ac:dyDescent="0.25">
      <c r="A52" s="5"/>
      <c r="B52" s="38">
        <v>48</v>
      </c>
      <c r="C52" s="32">
        <v>4.9000000000000004</v>
      </c>
      <c r="D52" s="32">
        <v>2.4</v>
      </c>
      <c r="E52" s="32">
        <v>3.3</v>
      </c>
      <c r="F52" s="32">
        <v>1</v>
      </c>
      <c r="G52" s="39">
        <v>1</v>
      </c>
      <c r="H52">
        <f t="shared" si="0"/>
        <v>1</v>
      </c>
      <c r="I52" s="38">
        <f t="shared" si="11"/>
        <v>0.36253558452329282</v>
      </c>
      <c r="J52" s="40">
        <f t="shared" si="12"/>
        <v>-0.1193628111223526</v>
      </c>
      <c r="K52" s="40">
        <f t="shared" si="13"/>
        <v>2.5607282956642767E-2</v>
      </c>
      <c r="L52" s="40">
        <f t="shared" si="14"/>
        <v>0.45484114792416691</v>
      </c>
      <c r="M52" s="40">
        <f t="shared" si="15"/>
        <v>0.53003403238733804</v>
      </c>
      <c r="N52" s="35">
        <f t="shared" si="1"/>
        <v>1.8701251096567963</v>
      </c>
      <c r="O52" s="35">
        <f t="shared" si="2"/>
        <v>0.86647275303266491</v>
      </c>
      <c r="P52" s="36">
        <f t="shared" si="3"/>
        <v>1</v>
      </c>
      <c r="Q52" s="36">
        <f t="shared" si="4"/>
        <v>-0.13352724696733509</v>
      </c>
      <c r="R52" s="37">
        <f t="shared" si="5"/>
        <v>1.7829525682675696E-2</v>
      </c>
      <c r="T52" s="31">
        <f t="shared" si="6"/>
        <v>-3.0897596407069228E-2</v>
      </c>
      <c r="U52" s="31">
        <f t="shared" si="7"/>
        <v>-0.15139822239463924</v>
      </c>
      <c r="V52" s="31">
        <f t="shared" si="8"/>
        <v>-7.415423137696614E-2</v>
      </c>
      <c r="W52" s="31">
        <f t="shared" si="9"/>
        <v>-0.10196206814332845</v>
      </c>
      <c r="X52" s="31">
        <f t="shared" si="10"/>
        <v>-3.0897596407069228E-2</v>
      </c>
    </row>
    <row r="53" spans="1:24" ht="14.25" customHeight="1" x14ac:dyDescent="0.25">
      <c r="A53" s="5"/>
      <c r="B53" s="32">
        <v>49</v>
      </c>
      <c r="C53" s="32">
        <v>6.6</v>
      </c>
      <c r="D53" s="32">
        <v>2.9</v>
      </c>
      <c r="E53" s="32">
        <v>4.5999999999999996</v>
      </c>
      <c r="F53" s="32">
        <v>1.3</v>
      </c>
      <c r="G53" s="39">
        <v>1</v>
      </c>
      <c r="H53">
        <f t="shared" si="0"/>
        <v>1</v>
      </c>
      <c r="I53" s="38">
        <f t="shared" si="11"/>
        <v>0.36562534416399972</v>
      </c>
      <c r="J53" s="40">
        <f t="shared" si="12"/>
        <v>-0.10422298888288867</v>
      </c>
      <c r="K53" s="40">
        <f t="shared" si="13"/>
        <v>3.3022706094339382E-2</v>
      </c>
      <c r="L53" s="40">
        <f t="shared" si="14"/>
        <v>0.46503735473849978</v>
      </c>
      <c r="M53" s="40">
        <f t="shared" si="15"/>
        <v>0.53312379202804494</v>
      </c>
      <c r="N53" s="35">
        <f t="shared" si="1"/>
        <v>2.6057522266440762</v>
      </c>
      <c r="O53" s="35">
        <f t="shared" si="2"/>
        <v>0.93123086691517709</v>
      </c>
      <c r="P53" s="36">
        <f t="shared" si="3"/>
        <v>1</v>
      </c>
      <c r="Q53" s="36">
        <f t="shared" si="4"/>
        <v>-6.8769133084822909E-2</v>
      </c>
      <c r="R53" s="37">
        <f t="shared" si="5"/>
        <v>4.7291936652380847E-3</v>
      </c>
      <c r="T53" s="31">
        <f t="shared" si="6"/>
        <v>-8.8079422333788501E-3</v>
      </c>
      <c r="U53" s="31">
        <f t="shared" si="7"/>
        <v>-5.8132418740300409E-2</v>
      </c>
      <c r="V53" s="31">
        <f t="shared" si="8"/>
        <v>-2.5543032476798663E-2</v>
      </c>
      <c r="W53" s="31">
        <f t="shared" si="9"/>
        <v>-4.0516534273542709E-2</v>
      </c>
      <c r="X53" s="31">
        <f t="shared" si="10"/>
        <v>-1.1450324903392506E-2</v>
      </c>
    </row>
    <row r="54" spans="1:24" ht="14.25" customHeight="1" x14ac:dyDescent="0.25">
      <c r="A54" s="5"/>
      <c r="B54" s="38">
        <v>50</v>
      </c>
      <c r="C54" s="32">
        <v>5.2</v>
      </c>
      <c r="D54" s="32">
        <v>2.7</v>
      </c>
      <c r="E54" s="32">
        <v>3.9</v>
      </c>
      <c r="F54" s="32">
        <v>1.4</v>
      </c>
      <c r="G54" s="39">
        <v>1</v>
      </c>
      <c r="H54">
        <f t="shared" si="0"/>
        <v>1</v>
      </c>
      <c r="I54" s="38">
        <f t="shared" si="11"/>
        <v>0.36650613838733759</v>
      </c>
      <c r="J54" s="40">
        <f t="shared" si="12"/>
        <v>-9.8409747008858628E-2</v>
      </c>
      <c r="K54" s="40">
        <f t="shared" si="13"/>
        <v>3.5577009342019246E-2</v>
      </c>
      <c r="L54" s="40">
        <f t="shared" si="14"/>
        <v>0.46908900816585403</v>
      </c>
      <c r="M54" s="40">
        <f t="shared" si="15"/>
        <v>0.5342688245183842</v>
      </c>
      <c r="N54" s="35">
        <f t="shared" si="1"/>
        <v>2.5282568653372932</v>
      </c>
      <c r="O54" s="35">
        <f t="shared" si="2"/>
        <v>0.92609914267058746</v>
      </c>
      <c r="P54" s="36">
        <f t="shared" si="3"/>
        <v>1</v>
      </c>
      <c r="Q54" s="36">
        <f t="shared" si="4"/>
        <v>-7.3900857329412539E-2</v>
      </c>
      <c r="R54" s="37">
        <f t="shared" si="5"/>
        <v>5.4613367140221867E-3</v>
      </c>
      <c r="T54" s="31">
        <f t="shared" si="6"/>
        <v>-1.01154784973827E-2</v>
      </c>
      <c r="U54" s="31">
        <f t="shared" si="7"/>
        <v>-5.2600488186390043E-2</v>
      </c>
      <c r="V54" s="31">
        <f t="shared" si="8"/>
        <v>-2.7311791942933292E-2</v>
      </c>
      <c r="W54" s="31">
        <f t="shared" si="9"/>
        <v>-3.9450366139792525E-2</v>
      </c>
      <c r="X54" s="31">
        <f t="shared" si="10"/>
        <v>-1.4161669896335778E-2</v>
      </c>
    </row>
    <row r="55" spans="1:24" ht="14.25" customHeight="1" x14ac:dyDescent="0.25">
      <c r="A55" s="5"/>
      <c r="B55" s="32">
        <v>51</v>
      </c>
      <c r="C55" s="32">
        <v>5</v>
      </c>
      <c r="D55" s="32">
        <v>2</v>
      </c>
      <c r="E55" s="32">
        <v>3.5</v>
      </c>
      <c r="F55" s="32">
        <v>1</v>
      </c>
      <c r="G55" s="39">
        <v>1</v>
      </c>
      <c r="H55">
        <f t="shared" si="0"/>
        <v>1</v>
      </c>
      <c r="I55" s="38">
        <f t="shared" si="11"/>
        <v>0.36751768623707587</v>
      </c>
      <c r="J55" s="40">
        <f t="shared" si="12"/>
        <v>-9.3149698190219621E-2</v>
      </c>
      <c r="K55" s="40">
        <f t="shared" si="13"/>
        <v>3.8308188536312578E-2</v>
      </c>
      <c r="L55" s="40">
        <f t="shared" si="14"/>
        <v>0.4730340447798333</v>
      </c>
      <c r="M55" s="40">
        <f t="shared" si="15"/>
        <v>0.53568499150801774</v>
      </c>
      <c r="N55" s="35">
        <f t="shared" si="1"/>
        <v>2.169689720596037</v>
      </c>
      <c r="O55" s="35">
        <f t="shared" si="2"/>
        <v>0.89749442493517162</v>
      </c>
      <c r="P55" s="36">
        <f t="shared" si="3"/>
        <v>1</v>
      </c>
      <c r="Q55" s="36">
        <f t="shared" si="4"/>
        <v>-0.10250557506482838</v>
      </c>
      <c r="R55" s="37">
        <f t="shared" si="5"/>
        <v>1.0507392919371165E-2</v>
      </c>
      <c r="T55" s="31">
        <f t="shared" si="6"/>
        <v>-1.8860653131477837E-2</v>
      </c>
      <c r="U55" s="31">
        <f t="shared" si="7"/>
        <v>-9.4303265657389182E-2</v>
      </c>
      <c r="V55" s="31">
        <f t="shared" si="8"/>
        <v>-3.7721306262955674E-2</v>
      </c>
      <c r="W55" s="31">
        <f t="shared" si="9"/>
        <v>-6.6012285960172432E-2</v>
      </c>
      <c r="X55" s="31">
        <f t="shared" si="10"/>
        <v>-1.8860653131477837E-2</v>
      </c>
    </row>
    <row r="56" spans="1:24" ht="14.25" customHeight="1" x14ac:dyDescent="0.25">
      <c r="A56" s="5"/>
      <c r="B56" s="38">
        <v>52</v>
      </c>
      <c r="C56" s="32">
        <v>5.9</v>
      </c>
      <c r="D56" s="32">
        <v>3</v>
      </c>
      <c r="E56" s="32">
        <v>4.2</v>
      </c>
      <c r="F56" s="32">
        <v>1.5</v>
      </c>
      <c r="G56" s="39">
        <v>1</v>
      </c>
      <c r="H56">
        <f t="shared" si="0"/>
        <v>1</v>
      </c>
      <c r="I56" s="38">
        <f t="shared" si="11"/>
        <v>0.36940375155022365</v>
      </c>
      <c r="J56" s="40">
        <f t="shared" si="12"/>
        <v>-8.3719371624480704E-2</v>
      </c>
      <c r="K56" s="40">
        <f t="shared" si="13"/>
        <v>4.2080319162608147E-2</v>
      </c>
      <c r="L56" s="40">
        <f t="shared" si="14"/>
        <v>0.47963527337585055</v>
      </c>
      <c r="M56" s="40">
        <f t="shared" si="15"/>
        <v>0.53757105682116557</v>
      </c>
      <c r="N56" s="35">
        <f t="shared" si="1"/>
        <v>2.822525149863933</v>
      </c>
      <c r="O56" s="35">
        <f t="shared" si="2"/>
        <v>0.94388097283200134</v>
      </c>
      <c r="P56" s="36">
        <f t="shared" si="3"/>
        <v>1</v>
      </c>
      <c r="Q56" s="36">
        <f t="shared" si="4"/>
        <v>-5.6119027167998659E-2</v>
      </c>
      <c r="R56" s="37">
        <f t="shared" si="5"/>
        <v>3.1493452102825717E-3</v>
      </c>
      <c r="T56" s="31">
        <f t="shared" si="6"/>
        <v>-5.9452140417306353E-3</v>
      </c>
      <c r="U56" s="31">
        <f t="shared" si="7"/>
        <v>-3.5076762846210752E-2</v>
      </c>
      <c r="V56" s="31">
        <f t="shared" si="8"/>
        <v>-1.7835642125191904E-2</v>
      </c>
      <c r="W56" s="31">
        <f t="shared" si="9"/>
        <v>-2.4969898975268669E-2</v>
      </c>
      <c r="X56" s="31">
        <f t="shared" si="10"/>
        <v>-8.9178210625959521E-3</v>
      </c>
    </row>
    <row r="57" spans="1:24" ht="14.25" customHeight="1" x14ac:dyDescent="0.25">
      <c r="A57" s="5"/>
      <c r="B57" s="32">
        <v>53</v>
      </c>
      <c r="C57" s="32">
        <v>6</v>
      </c>
      <c r="D57" s="32">
        <v>2.2000000000000002</v>
      </c>
      <c r="E57" s="32">
        <v>4</v>
      </c>
      <c r="F57" s="32">
        <v>1</v>
      </c>
      <c r="G57" s="39">
        <v>1</v>
      </c>
      <c r="H57">
        <f t="shared" si="0"/>
        <v>1</v>
      </c>
      <c r="I57" s="38">
        <f t="shared" si="11"/>
        <v>0.36999827295439669</v>
      </c>
      <c r="J57" s="40">
        <f t="shared" si="12"/>
        <v>-8.0211695339859626E-2</v>
      </c>
      <c r="K57" s="40">
        <f t="shared" si="13"/>
        <v>4.3863883375127338E-2</v>
      </c>
      <c r="L57" s="40">
        <f t="shared" si="14"/>
        <v>0.48213226327337744</v>
      </c>
      <c r="M57" s="40">
        <f t="shared" si="15"/>
        <v>0.53846283892742519</v>
      </c>
      <c r="N57" s="35">
        <f t="shared" si="1"/>
        <v>2.452220536361454</v>
      </c>
      <c r="O57" s="35">
        <f t="shared" si="2"/>
        <v>0.92072368277526762</v>
      </c>
      <c r="P57" s="36">
        <f t="shared" si="3"/>
        <v>1</v>
      </c>
      <c r="Q57" s="36">
        <f t="shared" si="4"/>
        <v>-7.9276317224732384E-2</v>
      </c>
      <c r="R57" s="37">
        <f t="shared" si="5"/>
        <v>6.2847344727164009E-3</v>
      </c>
      <c r="T57" s="31">
        <f t="shared" si="6"/>
        <v>-1.1573007737968249E-2</v>
      </c>
      <c r="U57" s="31">
        <f t="shared" si="7"/>
        <v>-6.9438046427809486E-2</v>
      </c>
      <c r="V57" s="31">
        <f t="shared" si="8"/>
        <v>-2.5460617023530148E-2</v>
      </c>
      <c r="W57" s="31">
        <f t="shared" si="9"/>
        <v>-4.6292030951872995E-2</v>
      </c>
      <c r="X57" s="31">
        <f t="shared" si="10"/>
        <v>-1.1573007737968249E-2</v>
      </c>
    </row>
    <row r="58" spans="1:24" ht="14.25" customHeight="1" x14ac:dyDescent="0.25">
      <c r="A58" s="5"/>
      <c r="B58" s="38">
        <v>54</v>
      </c>
      <c r="C58" s="32">
        <v>6.1</v>
      </c>
      <c r="D58" s="32">
        <v>2.9</v>
      </c>
      <c r="E58" s="32">
        <v>4.7</v>
      </c>
      <c r="F58" s="32">
        <v>1.4</v>
      </c>
      <c r="G58" s="39">
        <v>1</v>
      </c>
      <c r="H58">
        <f t="shared" si="0"/>
        <v>1</v>
      </c>
      <c r="I58" s="38">
        <f t="shared" si="11"/>
        <v>0.37115557372819352</v>
      </c>
      <c r="J58" s="40">
        <f t="shared" si="12"/>
        <v>-7.3267890697078675E-2</v>
      </c>
      <c r="K58" s="40">
        <f t="shared" si="13"/>
        <v>4.640994507748035E-2</v>
      </c>
      <c r="L58" s="40">
        <f t="shared" si="14"/>
        <v>0.48676146636856471</v>
      </c>
      <c r="M58" s="40">
        <f t="shared" si="15"/>
        <v>0.53962013970122202</v>
      </c>
      <c r="N58" s="35">
        <f t="shared" si="1"/>
        <v>3.1020573687146715</v>
      </c>
      <c r="O58" s="35">
        <f t="shared" si="2"/>
        <v>0.95697752977389949</v>
      </c>
      <c r="P58" s="36">
        <f t="shared" si="3"/>
        <v>1</v>
      </c>
      <c r="Q58" s="36">
        <f t="shared" si="4"/>
        <v>-4.3022470226100507E-2</v>
      </c>
      <c r="R58" s="37">
        <f t="shared" si="5"/>
        <v>1.8509329443557045E-3</v>
      </c>
      <c r="T58" s="31">
        <f t="shared" si="6"/>
        <v>-3.5426024737333054E-3</v>
      </c>
      <c r="U58" s="31">
        <f t="shared" si="7"/>
        <v>-2.1609875089773162E-2</v>
      </c>
      <c r="V58" s="31">
        <f t="shared" si="8"/>
        <v>-1.0273547173826586E-2</v>
      </c>
      <c r="W58" s="31">
        <f t="shared" si="9"/>
        <v>-1.6650231626546535E-2</v>
      </c>
      <c r="X58" s="31">
        <f t="shared" si="10"/>
        <v>-4.9596434632266269E-3</v>
      </c>
    </row>
    <row r="59" spans="1:24" ht="14.25" customHeight="1" x14ac:dyDescent="0.25">
      <c r="A59" s="5"/>
      <c r="B59" s="32">
        <v>55</v>
      </c>
      <c r="C59" s="32">
        <v>5.6</v>
      </c>
      <c r="D59" s="32">
        <v>2.9</v>
      </c>
      <c r="E59" s="32">
        <v>3.6</v>
      </c>
      <c r="F59" s="32">
        <v>1.3</v>
      </c>
      <c r="G59" s="39">
        <v>1</v>
      </c>
      <c r="H59">
        <f t="shared" si="0"/>
        <v>1</v>
      </c>
      <c r="I59" s="38">
        <f t="shared" si="11"/>
        <v>0.37150983397556686</v>
      </c>
      <c r="J59" s="40">
        <f t="shared" si="12"/>
        <v>-7.1106903188101353E-2</v>
      </c>
      <c r="K59" s="40">
        <f t="shared" si="13"/>
        <v>4.7437299794863011E-2</v>
      </c>
      <c r="L59" s="40">
        <f t="shared" si="14"/>
        <v>0.48842648953121937</v>
      </c>
      <c r="M59" s="40">
        <f t="shared" si="15"/>
        <v>0.54011610404754473</v>
      </c>
      <c r="N59" s="35">
        <f t="shared" si="1"/>
        <v>2.5713656431015002</v>
      </c>
      <c r="O59" s="35">
        <f t="shared" si="2"/>
        <v>0.92899583004658692</v>
      </c>
      <c r="P59" s="36">
        <f t="shared" si="3"/>
        <v>1</v>
      </c>
      <c r="Q59" s="36">
        <f t="shared" si="4"/>
        <v>-7.1004169953413077E-2</v>
      </c>
      <c r="R59" s="37">
        <f t="shared" si="5"/>
        <v>5.0415921507731684E-3</v>
      </c>
      <c r="T59" s="31">
        <f t="shared" si="6"/>
        <v>-9.3672361697277537E-3</v>
      </c>
      <c r="U59" s="31">
        <f t="shared" si="7"/>
        <v>-5.2456522550475421E-2</v>
      </c>
      <c r="V59" s="31">
        <f t="shared" si="8"/>
        <v>-2.7164984892210486E-2</v>
      </c>
      <c r="W59" s="31">
        <f t="shared" si="9"/>
        <v>-3.3722050211019913E-2</v>
      </c>
      <c r="X59" s="31">
        <f t="shared" si="10"/>
        <v>-1.217740702064608E-2</v>
      </c>
    </row>
    <row r="60" spans="1:24" ht="14.25" customHeight="1" x14ac:dyDescent="0.25">
      <c r="A60" s="5"/>
      <c r="B60" s="38">
        <v>56</v>
      </c>
      <c r="C60" s="32">
        <v>6.7</v>
      </c>
      <c r="D60" s="32">
        <v>3.1</v>
      </c>
      <c r="E60" s="32">
        <v>4.4000000000000004</v>
      </c>
      <c r="F60" s="32">
        <v>1.4</v>
      </c>
      <c r="G60" s="39">
        <v>1</v>
      </c>
      <c r="H60">
        <f t="shared" si="0"/>
        <v>1</v>
      </c>
      <c r="I60" s="38">
        <f t="shared" si="11"/>
        <v>0.37244655759253964</v>
      </c>
      <c r="J60" s="40">
        <f t="shared" si="12"/>
        <v>-6.5861250933053811E-2</v>
      </c>
      <c r="K60" s="40">
        <f t="shared" si="13"/>
        <v>5.0153798284084061E-2</v>
      </c>
      <c r="L60" s="40">
        <f t="shared" si="14"/>
        <v>0.49179869455232134</v>
      </c>
      <c r="M60" s="40">
        <f t="shared" si="15"/>
        <v>0.54133384474960933</v>
      </c>
      <c r="N60" s="35">
        <f t="shared" si="1"/>
        <v>3.0084345897014066</v>
      </c>
      <c r="O60" s="35">
        <f t="shared" si="2"/>
        <v>0.95295372214040297</v>
      </c>
      <c r="P60" s="36">
        <f t="shared" si="3"/>
        <v>1</v>
      </c>
      <c r="Q60" s="36">
        <f t="shared" si="4"/>
        <v>-4.704627785959703E-2</v>
      </c>
      <c r="R60" s="37">
        <f t="shared" si="5"/>
        <v>2.2133522604424099E-3</v>
      </c>
      <c r="T60" s="31">
        <f t="shared" si="6"/>
        <v>-4.2184445499929384E-3</v>
      </c>
      <c r="U60" s="31">
        <f t="shared" si="7"/>
        <v>-2.8263578484952687E-2</v>
      </c>
      <c r="V60" s="31">
        <f t="shared" si="8"/>
        <v>-1.307717810497811E-2</v>
      </c>
      <c r="W60" s="31">
        <f t="shared" si="9"/>
        <v>-1.8561156019968932E-2</v>
      </c>
      <c r="X60" s="31">
        <f t="shared" si="10"/>
        <v>-5.905822369990113E-3</v>
      </c>
    </row>
    <row r="61" spans="1:24" ht="14.25" customHeight="1" x14ac:dyDescent="0.25">
      <c r="A61" s="5"/>
      <c r="B61" s="32">
        <v>57</v>
      </c>
      <c r="C61" s="32">
        <v>5.6</v>
      </c>
      <c r="D61" s="32">
        <v>3</v>
      </c>
      <c r="E61" s="32">
        <v>4.5</v>
      </c>
      <c r="F61" s="32">
        <v>1.5</v>
      </c>
      <c r="G61" s="39">
        <v>1</v>
      </c>
      <c r="H61">
        <f t="shared" si="0"/>
        <v>1</v>
      </c>
      <c r="I61" s="38">
        <f t="shared" si="11"/>
        <v>0.37286840204753896</v>
      </c>
      <c r="J61" s="40">
        <f t="shared" si="12"/>
        <v>-6.3034893084558535E-2</v>
      </c>
      <c r="K61" s="40">
        <f t="shared" si="13"/>
        <v>5.1461516094581869E-2</v>
      </c>
      <c r="L61" s="40">
        <f t="shared" si="14"/>
        <v>0.49365481015431822</v>
      </c>
      <c r="M61" s="40">
        <f t="shared" si="15"/>
        <v>0.54192442698660837</v>
      </c>
      <c r="N61" s="35">
        <f t="shared" si="1"/>
        <v>3.2085908352321013</v>
      </c>
      <c r="O61" s="35">
        <f t="shared" si="2"/>
        <v>0.96115628872144976</v>
      </c>
      <c r="P61" s="36">
        <f t="shared" si="3"/>
        <v>1</v>
      </c>
      <c r="Q61" s="36">
        <f t="shared" si="4"/>
        <v>-3.8843711278550241E-2</v>
      </c>
      <c r="R61" s="37">
        <f t="shared" si="5"/>
        <v>1.5088339058913713E-3</v>
      </c>
      <c r="T61" s="31">
        <f t="shared" si="6"/>
        <v>-2.9004503945672792E-3</v>
      </c>
      <c r="U61" s="31">
        <f t="shared" si="7"/>
        <v>-1.6242522209576761E-2</v>
      </c>
      <c r="V61" s="31">
        <f t="shared" si="8"/>
        <v>-8.701351183701838E-3</v>
      </c>
      <c r="W61" s="31">
        <f t="shared" si="9"/>
        <v>-1.3052026775552757E-2</v>
      </c>
      <c r="X61" s="31">
        <f t="shared" si="10"/>
        <v>-4.350675591850919E-3</v>
      </c>
    </row>
    <row r="62" spans="1:24" ht="14.25" customHeight="1" x14ac:dyDescent="0.25">
      <c r="A62" s="5"/>
      <c r="B62" s="38">
        <v>58</v>
      </c>
      <c r="C62" s="32">
        <v>5.8</v>
      </c>
      <c r="D62" s="32">
        <v>2.7</v>
      </c>
      <c r="E62" s="32">
        <v>4.0999999999999996</v>
      </c>
      <c r="F62" s="32">
        <v>1</v>
      </c>
      <c r="G62" s="39">
        <v>1</v>
      </c>
      <c r="H62">
        <f t="shared" si="0"/>
        <v>1</v>
      </c>
      <c r="I62" s="38">
        <f t="shared" si="11"/>
        <v>0.37315844708699569</v>
      </c>
      <c r="J62" s="40">
        <f t="shared" si="12"/>
        <v>-6.141064086360086E-2</v>
      </c>
      <c r="K62" s="40">
        <f t="shared" si="13"/>
        <v>5.2331651212952052E-2</v>
      </c>
      <c r="L62" s="40">
        <f t="shared" si="14"/>
        <v>0.49496001283187352</v>
      </c>
      <c r="M62" s="40">
        <f t="shared" si="15"/>
        <v>0.54235949454579346</v>
      </c>
      <c r="N62" s="35">
        <f t="shared" si="1"/>
        <v>2.7299677355095562</v>
      </c>
      <c r="O62" s="35">
        <f t="shared" si="2"/>
        <v>0.93877198267094963</v>
      </c>
      <c r="P62" s="36">
        <f t="shared" si="3"/>
        <v>1</v>
      </c>
      <c r="Q62" s="36">
        <f t="shared" si="4"/>
        <v>-6.1228017329050366E-2</v>
      </c>
      <c r="R62" s="37">
        <f t="shared" si="5"/>
        <v>3.748870106046492E-3</v>
      </c>
      <c r="T62" s="31">
        <f t="shared" si="6"/>
        <v>-7.0386684444582372E-3</v>
      </c>
      <c r="U62" s="31">
        <f t="shared" si="7"/>
        <v>-4.0824276977857774E-2</v>
      </c>
      <c r="V62" s="31">
        <f t="shared" si="8"/>
        <v>-1.900440480003724E-2</v>
      </c>
      <c r="W62" s="31">
        <f t="shared" si="9"/>
        <v>-2.8858540622278769E-2</v>
      </c>
      <c r="X62" s="31">
        <f t="shared" si="10"/>
        <v>-7.0386684444582372E-3</v>
      </c>
    </row>
    <row r="63" spans="1:24" ht="14.25" customHeight="1" x14ac:dyDescent="0.25">
      <c r="A63" s="5"/>
      <c r="B63" s="32">
        <v>59</v>
      </c>
      <c r="C63" s="32">
        <v>6.2</v>
      </c>
      <c r="D63" s="32">
        <v>2.2000000000000002</v>
      </c>
      <c r="E63" s="32">
        <v>4.5</v>
      </c>
      <c r="F63" s="32">
        <v>1.5</v>
      </c>
      <c r="G63" s="39">
        <v>1</v>
      </c>
      <c r="H63">
        <f t="shared" si="0"/>
        <v>1</v>
      </c>
      <c r="I63" s="38">
        <f t="shared" si="11"/>
        <v>0.37386231393144154</v>
      </c>
      <c r="J63" s="40">
        <f t="shared" si="12"/>
        <v>-5.732821316581508E-2</v>
      </c>
      <c r="K63" s="40">
        <f t="shared" si="13"/>
        <v>5.4232091692955772E-2</v>
      </c>
      <c r="L63" s="40">
        <f t="shared" si="14"/>
        <v>0.49784586689410137</v>
      </c>
      <c r="M63" s="40">
        <f t="shared" si="15"/>
        <v>0.54306336139023925</v>
      </c>
      <c r="N63" s="35">
        <f t="shared" si="1"/>
        <v>3.1926394371367057</v>
      </c>
      <c r="O63" s="35">
        <f t="shared" si="2"/>
        <v>0.96055634471007945</v>
      </c>
      <c r="P63" s="36">
        <f t="shared" si="3"/>
        <v>1</v>
      </c>
      <c r="Q63" s="36">
        <f t="shared" si="4"/>
        <v>-3.9443655289920554E-2</v>
      </c>
      <c r="R63" s="37">
        <f t="shared" si="5"/>
        <v>1.5558019426300776E-3</v>
      </c>
      <c r="T63" s="31">
        <f t="shared" si="6"/>
        <v>-2.988870854211176E-3</v>
      </c>
      <c r="U63" s="31">
        <f t="shared" si="7"/>
        <v>-1.8530999296109293E-2</v>
      </c>
      <c r="V63" s="31">
        <f t="shared" si="8"/>
        <v>-6.5755158792645879E-3</v>
      </c>
      <c r="W63" s="31">
        <f t="shared" si="9"/>
        <v>-1.3449918843950292E-2</v>
      </c>
      <c r="X63" s="31">
        <f t="shared" si="10"/>
        <v>-4.4833062813167644E-3</v>
      </c>
    </row>
    <row r="64" spans="1:24" ht="14.25" customHeight="1" x14ac:dyDescent="0.25">
      <c r="A64" s="5"/>
      <c r="B64" s="38">
        <v>60</v>
      </c>
      <c r="C64" s="32">
        <v>5.6</v>
      </c>
      <c r="D64" s="32">
        <v>2.5</v>
      </c>
      <c r="E64" s="32">
        <v>3.9</v>
      </c>
      <c r="F64" s="32">
        <v>1.1000000000000001</v>
      </c>
      <c r="G64" s="39">
        <v>1</v>
      </c>
      <c r="H64">
        <f t="shared" si="0"/>
        <v>1</v>
      </c>
      <c r="I64" s="38">
        <f t="shared" si="11"/>
        <v>0.37416120101686268</v>
      </c>
      <c r="J64" s="40">
        <f t="shared" si="12"/>
        <v>-5.5475113236204153E-2</v>
      </c>
      <c r="K64" s="40">
        <f t="shared" si="13"/>
        <v>5.4889643280882229E-2</v>
      </c>
      <c r="L64" s="40">
        <f t="shared" si="14"/>
        <v>0.49919085877849639</v>
      </c>
      <c r="M64" s="40">
        <f t="shared" si="15"/>
        <v>0.54351169201837091</v>
      </c>
      <c r="N64" s="35">
        <f t="shared" si="1"/>
        <v>2.7454318855526689</v>
      </c>
      <c r="O64" s="35">
        <f t="shared" si="2"/>
        <v>0.93965484083335182</v>
      </c>
      <c r="P64" s="36">
        <f t="shared" si="3"/>
        <v>1</v>
      </c>
      <c r="Q64" s="36">
        <f t="shared" si="4"/>
        <v>-6.0345159166648177E-2</v>
      </c>
      <c r="R64" s="37">
        <f t="shared" si="5"/>
        <v>3.6415382348481025E-3</v>
      </c>
      <c r="T64" s="31">
        <f t="shared" si="6"/>
        <v>-6.8435780609095173E-3</v>
      </c>
      <c r="U64" s="31">
        <f t="shared" si="7"/>
        <v>-3.8324037141093295E-2</v>
      </c>
      <c r="V64" s="31">
        <f t="shared" si="8"/>
        <v>-1.7108945152273795E-2</v>
      </c>
      <c r="W64" s="31">
        <f t="shared" si="9"/>
        <v>-2.6689954437547118E-2</v>
      </c>
      <c r="X64" s="31">
        <f t="shared" si="10"/>
        <v>-7.52793586700047E-3</v>
      </c>
    </row>
    <row r="65" spans="1:24" ht="14.25" customHeight="1" x14ac:dyDescent="0.25">
      <c r="A65" s="5"/>
      <c r="B65" s="32">
        <v>61</v>
      </c>
      <c r="C65" s="32">
        <v>5.9</v>
      </c>
      <c r="D65" s="32">
        <v>3.2</v>
      </c>
      <c r="E65" s="32">
        <v>4.8</v>
      </c>
      <c r="F65" s="32">
        <v>1.8</v>
      </c>
      <c r="G65" s="39">
        <v>1</v>
      </c>
      <c r="H65">
        <f t="shared" si="0"/>
        <v>1</v>
      </c>
      <c r="I65" s="38">
        <f t="shared" si="11"/>
        <v>0.37484555882295362</v>
      </c>
      <c r="J65" s="40">
        <f t="shared" si="12"/>
        <v>-5.1642709522094821E-2</v>
      </c>
      <c r="K65" s="40">
        <f t="shared" si="13"/>
        <v>5.6600537796109608E-2</v>
      </c>
      <c r="L65" s="40">
        <f t="shared" si="14"/>
        <v>0.5018598542222511</v>
      </c>
      <c r="M65" s="40">
        <f t="shared" si="15"/>
        <v>0.5442644856050709</v>
      </c>
      <c r="N65" s="35">
        <f t="shared" si="1"/>
        <v>3.6398786679460775</v>
      </c>
      <c r="O65" s="35">
        <f t="shared" si="2"/>
        <v>0.97441618714118217</v>
      </c>
      <c r="P65" s="36">
        <f t="shared" si="3"/>
        <v>1</v>
      </c>
      <c r="Q65" s="36">
        <f t="shared" si="4"/>
        <v>-2.5583812858817834E-2</v>
      </c>
      <c r="R65" s="37">
        <f t="shared" si="5"/>
        <v>6.545314803950127E-4</v>
      </c>
      <c r="T65" s="31">
        <f t="shared" si="6"/>
        <v>-1.2755721389807633E-3</v>
      </c>
      <c r="U65" s="31">
        <f t="shared" si="7"/>
        <v>-7.5258756199865036E-3</v>
      </c>
      <c r="V65" s="31">
        <f t="shared" si="8"/>
        <v>-4.0818308447384431E-3</v>
      </c>
      <c r="W65" s="31">
        <f t="shared" si="9"/>
        <v>-6.1227462671076633E-3</v>
      </c>
      <c r="X65" s="31">
        <f t="shared" si="10"/>
        <v>-2.2960298501653741E-3</v>
      </c>
    </row>
    <row r="66" spans="1:24" ht="14.25" customHeight="1" x14ac:dyDescent="0.25">
      <c r="A66" s="5"/>
      <c r="B66" s="38">
        <v>62</v>
      </c>
      <c r="C66" s="32">
        <v>6.1</v>
      </c>
      <c r="D66" s="32">
        <v>2.8</v>
      </c>
      <c r="E66" s="32">
        <v>4</v>
      </c>
      <c r="F66" s="32">
        <v>1.3</v>
      </c>
      <c r="G66" s="39">
        <v>1</v>
      </c>
      <c r="H66">
        <f t="shared" si="0"/>
        <v>1</v>
      </c>
      <c r="I66" s="38">
        <f t="shared" si="11"/>
        <v>0.37497311603685168</v>
      </c>
      <c r="J66" s="40">
        <f t="shared" si="12"/>
        <v>-5.0890121960096173E-2</v>
      </c>
      <c r="K66" s="40">
        <f t="shared" si="13"/>
        <v>5.7008720880583452E-2</v>
      </c>
      <c r="L66" s="40">
        <f t="shared" si="14"/>
        <v>0.50247212884896186</v>
      </c>
      <c r="M66" s="40">
        <f t="shared" si="15"/>
        <v>0.54449408859008741</v>
      </c>
      <c r="N66" s="35">
        <f t="shared" si="1"/>
        <v>2.9418986211088596</v>
      </c>
      <c r="O66" s="35">
        <f t="shared" si="2"/>
        <v>0.94987919495760365</v>
      </c>
      <c r="P66" s="36">
        <f t="shared" si="3"/>
        <v>1</v>
      </c>
      <c r="Q66" s="36">
        <f t="shared" si="4"/>
        <v>-5.0120805042396355E-2</v>
      </c>
      <c r="R66" s="37">
        <f t="shared" si="5"/>
        <v>2.5120950980979037E-3</v>
      </c>
      <c r="T66" s="31">
        <f t="shared" si="6"/>
        <v>-4.7723737388763584E-3</v>
      </c>
      <c r="U66" s="31">
        <f t="shared" si="7"/>
        <v>-2.9111479807145783E-2</v>
      </c>
      <c r="V66" s="31">
        <f t="shared" si="8"/>
        <v>-1.3362646468853804E-2</v>
      </c>
      <c r="W66" s="31">
        <f t="shared" si="9"/>
        <v>-1.9089494955505434E-2</v>
      </c>
      <c r="X66" s="31">
        <f t="shared" si="10"/>
        <v>-6.2040858605392664E-3</v>
      </c>
    </row>
    <row r="67" spans="1:24" ht="14.25" customHeight="1" x14ac:dyDescent="0.25">
      <c r="A67" s="5"/>
      <c r="B67" s="32">
        <v>63</v>
      </c>
      <c r="C67" s="32">
        <v>6.3</v>
      </c>
      <c r="D67" s="32">
        <v>2.5</v>
      </c>
      <c r="E67" s="32">
        <v>4.9000000000000004</v>
      </c>
      <c r="F67" s="32">
        <v>1.5</v>
      </c>
      <c r="G67" s="39">
        <v>1</v>
      </c>
      <c r="H67">
        <f t="shared" si="0"/>
        <v>1</v>
      </c>
      <c r="I67" s="38">
        <f t="shared" si="11"/>
        <v>0.37545035341073935</v>
      </c>
      <c r="J67" s="40">
        <f t="shared" si="12"/>
        <v>-4.7978973979381598E-2</v>
      </c>
      <c r="K67" s="40">
        <f t="shared" si="13"/>
        <v>5.8344985527468834E-2</v>
      </c>
      <c r="L67" s="40">
        <f t="shared" si="14"/>
        <v>0.5043810783445124</v>
      </c>
      <c r="M67" s="40">
        <f t="shared" si="15"/>
        <v>0.54511449717614135</v>
      </c>
      <c r="N67" s="35">
        <f t="shared" si="1"/>
        <v>3.5081843108116302</v>
      </c>
      <c r="O67" s="35">
        <f t="shared" si="2"/>
        <v>0.97091974272377291</v>
      </c>
      <c r="P67" s="36">
        <f t="shared" si="3"/>
        <v>1</v>
      </c>
      <c r="Q67" s="36">
        <f t="shared" si="4"/>
        <v>-2.9080257276227095E-2</v>
      </c>
      <c r="R67" s="37">
        <f t="shared" si="5"/>
        <v>8.4566136325155887E-4</v>
      </c>
      <c r="T67" s="31">
        <f t="shared" si="6"/>
        <v>-1.6421386264792771E-3</v>
      </c>
      <c r="U67" s="31">
        <f t="shared" si="7"/>
        <v>-1.0345473346819446E-2</v>
      </c>
      <c r="V67" s="31">
        <f t="shared" si="8"/>
        <v>-4.1053465661981927E-3</v>
      </c>
      <c r="W67" s="31">
        <f t="shared" si="9"/>
        <v>-8.0464792697484584E-3</v>
      </c>
      <c r="X67" s="31">
        <f t="shared" si="10"/>
        <v>-2.4632079397189158E-3</v>
      </c>
    </row>
    <row r="68" spans="1:24" ht="14.25" customHeight="1" x14ac:dyDescent="0.25">
      <c r="A68" s="5"/>
      <c r="B68" s="38">
        <v>64</v>
      </c>
      <c r="C68" s="32">
        <v>6.1</v>
      </c>
      <c r="D68" s="32">
        <v>2.8</v>
      </c>
      <c r="E68" s="32">
        <v>4.7</v>
      </c>
      <c r="F68" s="32">
        <v>1.2</v>
      </c>
      <c r="G68" s="39">
        <v>1</v>
      </c>
      <c r="H68">
        <f t="shared" si="0"/>
        <v>1</v>
      </c>
      <c r="I68" s="38">
        <f t="shared" si="11"/>
        <v>0.37561456727338727</v>
      </c>
      <c r="J68" s="40">
        <f t="shared" si="12"/>
        <v>-4.6944426644699652E-2</v>
      </c>
      <c r="K68" s="40">
        <f t="shared" si="13"/>
        <v>5.8755520184088653E-2</v>
      </c>
      <c r="L68" s="40">
        <f t="shared" si="14"/>
        <v>0.50518572627148728</v>
      </c>
      <c r="M68" s="40">
        <f t="shared" si="15"/>
        <v>0.54536081797011327</v>
      </c>
      <c r="N68" s="35">
        <f t="shared" si="1"/>
        <v>3.2825749162962934</v>
      </c>
      <c r="O68" s="35">
        <f t="shared" si="2"/>
        <v>0.9638261661208446</v>
      </c>
      <c r="P68" s="36">
        <f t="shared" si="3"/>
        <v>1</v>
      </c>
      <c r="Q68" s="36">
        <f t="shared" si="4"/>
        <v>-3.6173833879155404E-2</v>
      </c>
      <c r="R68" s="37">
        <f t="shared" si="5"/>
        <v>1.3085462575167313E-3</v>
      </c>
      <c r="T68" s="31">
        <f t="shared" si="6"/>
        <v>-2.5224222451482609E-3</v>
      </c>
      <c r="U68" s="31">
        <f t="shared" si="7"/>
        <v>-1.538677569540439E-2</v>
      </c>
      <c r="V68" s="31">
        <f t="shared" si="8"/>
        <v>-7.0627822864151304E-3</v>
      </c>
      <c r="W68" s="31">
        <f t="shared" si="9"/>
        <v>-1.1855384552196827E-2</v>
      </c>
      <c r="X68" s="31">
        <f t="shared" si="10"/>
        <v>-3.0269066941779128E-3</v>
      </c>
    </row>
    <row r="69" spans="1:24" ht="14.25" customHeight="1" x14ac:dyDescent="0.25">
      <c r="A69" s="5"/>
      <c r="B69" s="32">
        <v>65</v>
      </c>
      <c r="C69" s="32">
        <v>6.4</v>
      </c>
      <c r="D69" s="32">
        <v>2.9</v>
      </c>
      <c r="E69" s="32">
        <v>4.3</v>
      </c>
      <c r="F69" s="32">
        <v>1.3</v>
      </c>
      <c r="G69" s="39">
        <v>1</v>
      </c>
      <c r="H69">
        <f t="shared" ref="H69:H132" si="16">IF(G69=P69, 1, 0)</f>
        <v>1</v>
      </c>
      <c r="I69" s="38">
        <f t="shared" si="11"/>
        <v>0.37586680949790208</v>
      </c>
      <c r="J69" s="40">
        <f t="shared" si="12"/>
        <v>-4.5405749075159214E-2</v>
      </c>
      <c r="K69" s="40">
        <f t="shared" si="13"/>
        <v>5.9461798412730166E-2</v>
      </c>
      <c r="L69" s="40">
        <f t="shared" si="14"/>
        <v>0.50637126472670702</v>
      </c>
      <c r="M69" s="40">
        <f t="shared" si="15"/>
        <v>0.54566350863953106</v>
      </c>
      <c r="N69" s="35">
        <f t="shared" ref="N69:N132" si="17">I69+J69*C69+K69*D69+L69*E69+F69*M69</f>
        <v>3.1444682303700309</v>
      </c>
      <c r="O69" s="35">
        <f t="shared" ref="O69:O132" si="18">1/(1+EXP(-N69))</f>
        <v>0.95869020049382914</v>
      </c>
      <c r="P69" s="36">
        <f t="shared" ref="P69:P132" si="19">IF(O69&gt;0.5,1,0)</f>
        <v>1</v>
      </c>
      <c r="Q69" s="36">
        <f t="shared" ref="Q69:Q132" si="20">O69-G69</f>
        <v>-4.1309799506170863E-2</v>
      </c>
      <c r="R69" s="37">
        <f t="shared" ref="R69:R132" si="21">Q69^2</f>
        <v>1.7064995352400346E-3</v>
      </c>
      <c r="T69" s="31">
        <f t="shared" ref="T69:T132" si="22">2*(O69-G69)*(1-O69)*O69</f>
        <v>-3.2720087631637898E-3</v>
      </c>
      <c r="U69" s="31">
        <f t="shared" ref="U69:U132" si="23">2*(O69-G69)*(1-O69)*O69*C69</f>
        <v>-2.0940856084248255E-2</v>
      </c>
      <c r="V69" s="31">
        <f t="shared" ref="V69:V132" si="24">2*(O69-G69)*(1-O69)*O69*D69</f>
        <v>-9.4888254131749901E-3</v>
      </c>
      <c r="W69" s="31">
        <f t="shared" ref="W69:W132" si="25">2*(O69-G69)*(1-O69)*O69*E69</f>
        <v>-1.4069637681604295E-2</v>
      </c>
      <c r="X69" s="31">
        <f t="shared" ref="X69:X132" si="26">2*(O69-G69)*(1-O69)*O69*F69</f>
        <v>-4.2536113921129272E-3</v>
      </c>
    </row>
    <row r="70" spans="1:24" ht="14.25" customHeight="1" x14ac:dyDescent="0.25">
      <c r="A70" s="5"/>
      <c r="B70" s="38">
        <v>66</v>
      </c>
      <c r="C70" s="32">
        <v>6.6</v>
      </c>
      <c r="D70" s="32">
        <v>3</v>
      </c>
      <c r="E70" s="32">
        <v>4.4000000000000004</v>
      </c>
      <c r="F70" s="32">
        <v>1.4</v>
      </c>
      <c r="G70" s="39">
        <v>1</v>
      </c>
      <c r="H70">
        <f t="shared" si="16"/>
        <v>1</v>
      </c>
      <c r="I70" s="38">
        <f t="shared" ref="I70:I133" si="27">I69-0.1*T69</f>
        <v>0.37619401037421846</v>
      </c>
      <c r="J70" s="40">
        <f t="shared" ref="J70:J133" si="28">J69-0.1*U69</f>
        <v>-4.3311663466734387E-2</v>
      </c>
      <c r="K70" s="40">
        <f t="shared" ref="K70:K133" si="29">K69-0.1*V69</f>
        <v>6.0410680954047662E-2</v>
      </c>
      <c r="L70" s="40">
        <f t="shared" ref="L70:L133" si="30">L69-0.1*W69</f>
        <v>0.50777822849486742</v>
      </c>
      <c r="M70" s="40">
        <f t="shared" ref="M70:M133" si="31">M69-0.1*X69</f>
        <v>0.54608886977874238</v>
      </c>
      <c r="N70" s="35">
        <f t="shared" si="17"/>
        <v>3.2703176974235708</v>
      </c>
      <c r="O70" s="35">
        <f t="shared" si="18"/>
        <v>0.96339637659281563</v>
      </c>
      <c r="P70" s="36">
        <f t="shared" si="19"/>
        <v>1</v>
      </c>
      <c r="Q70" s="36">
        <f t="shared" si="20"/>
        <v>-3.6603623407184371E-2</v>
      </c>
      <c r="R70" s="37">
        <f t="shared" si="21"/>
        <v>1.3398252465349756E-3</v>
      </c>
      <c r="T70" s="31">
        <f t="shared" si="22"/>
        <v>-2.5815655755587427E-3</v>
      </c>
      <c r="U70" s="31">
        <f t="shared" si="23"/>
        <v>-1.7038332798687699E-2</v>
      </c>
      <c r="V70" s="31">
        <f t="shared" si="24"/>
        <v>-7.7446967266762284E-3</v>
      </c>
      <c r="W70" s="31">
        <f t="shared" si="25"/>
        <v>-1.1358888532458469E-2</v>
      </c>
      <c r="X70" s="31">
        <f t="shared" si="26"/>
        <v>-3.6141918057822396E-3</v>
      </c>
    </row>
    <row r="71" spans="1:24" ht="14.25" customHeight="1" x14ac:dyDescent="0.25">
      <c r="A71" s="5"/>
      <c r="B71" s="32">
        <v>67</v>
      </c>
      <c r="C71" s="32">
        <v>6.8</v>
      </c>
      <c r="D71" s="32">
        <v>2.8</v>
      </c>
      <c r="E71" s="32">
        <v>4.8</v>
      </c>
      <c r="F71" s="32">
        <v>1.4</v>
      </c>
      <c r="G71" s="39">
        <v>1</v>
      </c>
      <c r="H71">
        <f t="shared" si="16"/>
        <v>1</v>
      </c>
      <c r="I71" s="38">
        <f t="shared" si="27"/>
        <v>0.37645216693177436</v>
      </c>
      <c r="J71" s="40">
        <f t="shared" si="28"/>
        <v>-4.1607830186865619E-2</v>
      </c>
      <c r="K71" s="40">
        <f t="shared" si="29"/>
        <v>6.1185150626715284E-2</v>
      </c>
      <c r="L71" s="40">
        <f t="shared" si="30"/>
        <v>0.50891411734811332</v>
      </c>
      <c r="M71" s="40">
        <f t="shared" si="31"/>
        <v>0.54645028895932057</v>
      </c>
      <c r="N71" s="35">
        <f t="shared" si="17"/>
        <v>3.4726555112298834</v>
      </c>
      <c r="O71" s="35">
        <f t="shared" si="18"/>
        <v>0.96989964119168148</v>
      </c>
      <c r="P71" s="36">
        <f t="shared" si="19"/>
        <v>1</v>
      </c>
      <c r="Q71" s="36">
        <f t="shared" si="20"/>
        <v>-3.0100358808318517E-2</v>
      </c>
      <c r="R71" s="37">
        <f t="shared" si="21"/>
        <v>9.0603160038951812E-4</v>
      </c>
      <c r="T71" s="31">
        <f t="shared" si="22"/>
        <v>-1.7575194482522371E-3</v>
      </c>
      <c r="U71" s="31">
        <f t="shared" si="23"/>
        <v>-1.1951132248115212E-2</v>
      </c>
      <c r="V71" s="31">
        <f t="shared" si="24"/>
        <v>-4.9210544551062637E-3</v>
      </c>
      <c r="W71" s="31">
        <f t="shared" si="25"/>
        <v>-8.4360933516107375E-3</v>
      </c>
      <c r="X71" s="31">
        <f t="shared" si="26"/>
        <v>-2.4605272275531318E-3</v>
      </c>
    </row>
    <row r="72" spans="1:24" ht="14.25" customHeight="1" x14ac:dyDescent="0.25">
      <c r="A72" s="5"/>
      <c r="B72" s="38">
        <v>68</v>
      </c>
      <c r="C72" s="32">
        <v>6.7</v>
      </c>
      <c r="D72" s="32">
        <v>3</v>
      </c>
      <c r="E72" s="32">
        <v>5</v>
      </c>
      <c r="F72" s="32">
        <v>1.7</v>
      </c>
      <c r="G72" s="39">
        <v>1</v>
      </c>
      <c r="H72">
        <f t="shared" si="16"/>
        <v>1</v>
      </c>
      <c r="I72" s="38">
        <f t="shared" si="27"/>
        <v>0.37662791887659958</v>
      </c>
      <c r="J72" s="40">
        <f t="shared" si="28"/>
        <v>-4.0412716962054097E-2</v>
      </c>
      <c r="K72" s="40">
        <f t="shared" si="29"/>
        <v>6.1677256072225912E-2</v>
      </c>
      <c r="L72" s="40">
        <f t="shared" si="30"/>
        <v>0.50975772668327435</v>
      </c>
      <c r="M72" s="40">
        <f t="shared" si="31"/>
        <v>0.54669634168207593</v>
      </c>
      <c r="N72" s="35">
        <f t="shared" si="17"/>
        <v>3.7690668977234156</v>
      </c>
      <c r="O72" s="35">
        <f t="shared" si="18"/>
        <v>0.97744679988210292</v>
      </c>
      <c r="P72" s="36">
        <f t="shared" si="19"/>
        <v>1</v>
      </c>
      <c r="Q72" s="36">
        <f t="shared" si="20"/>
        <v>-2.2553200117897076E-2</v>
      </c>
      <c r="R72" s="37">
        <f t="shared" si="21"/>
        <v>5.0864683555791265E-4</v>
      </c>
      <c r="T72" s="31">
        <f t="shared" si="22"/>
        <v>-9.9435044337247997E-4</v>
      </c>
      <c r="U72" s="31">
        <f t="shared" si="23"/>
        <v>-6.6621479705956162E-3</v>
      </c>
      <c r="V72" s="31">
        <f t="shared" si="24"/>
        <v>-2.9830513301174399E-3</v>
      </c>
      <c r="W72" s="31">
        <f t="shared" si="25"/>
        <v>-4.9717522168623999E-3</v>
      </c>
      <c r="X72" s="31">
        <f t="shared" si="26"/>
        <v>-1.690395753733216E-3</v>
      </c>
    </row>
    <row r="73" spans="1:24" ht="14.25" customHeight="1" x14ac:dyDescent="0.25">
      <c r="A73" s="5"/>
      <c r="B73" s="32">
        <v>69</v>
      </c>
      <c r="C73" s="32">
        <v>6</v>
      </c>
      <c r="D73" s="32">
        <v>2.9</v>
      </c>
      <c r="E73" s="32">
        <v>4.5</v>
      </c>
      <c r="F73" s="32">
        <v>1.5</v>
      </c>
      <c r="G73" s="39">
        <v>1</v>
      </c>
      <c r="H73">
        <f t="shared" si="16"/>
        <v>1</v>
      </c>
      <c r="I73" s="38">
        <f t="shared" si="27"/>
        <v>0.37672735392093681</v>
      </c>
      <c r="J73" s="40">
        <f t="shared" si="28"/>
        <v>-3.9746502164994535E-2</v>
      </c>
      <c r="K73" s="40">
        <f t="shared" si="29"/>
        <v>6.1975561205237659E-2</v>
      </c>
      <c r="L73" s="40">
        <f t="shared" si="30"/>
        <v>0.51025490190496059</v>
      </c>
      <c r="M73" s="40">
        <f t="shared" si="31"/>
        <v>0.54686538125744921</v>
      </c>
      <c r="N73" s="35">
        <f t="shared" si="17"/>
        <v>3.4344225988846553</v>
      </c>
      <c r="O73" s="35">
        <f t="shared" si="18"/>
        <v>0.96876317819538038</v>
      </c>
      <c r="P73" s="36">
        <f t="shared" si="19"/>
        <v>1</v>
      </c>
      <c r="Q73" s="36">
        <f t="shared" si="20"/>
        <v>-3.1236821804619619E-2</v>
      </c>
      <c r="R73" s="37">
        <f t="shared" si="21"/>
        <v>9.7573903645355967E-4</v>
      </c>
      <c r="T73" s="31">
        <f t="shared" si="22"/>
        <v>-1.8905201000880972E-3</v>
      </c>
      <c r="U73" s="31">
        <f t="shared" si="23"/>
        <v>-1.1343120600528583E-2</v>
      </c>
      <c r="V73" s="31">
        <f t="shared" si="24"/>
        <v>-5.4825082902554816E-3</v>
      </c>
      <c r="W73" s="31">
        <f t="shared" si="25"/>
        <v>-8.5073404503964375E-3</v>
      </c>
      <c r="X73" s="31">
        <f t="shared" si="26"/>
        <v>-2.8357801501321458E-3</v>
      </c>
    </row>
    <row r="74" spans="1:24" ht="14.25" customHeight="1" x14ac:dyDescent="0.25">
      <c r="A74" s="5"/>
      <c r="B74" s="38">
        <v>70</v>
      </c>
      <c r="C74" s="32">
        <v>5.7</v>
      </c>
      <c r="D74" s="32">
        <v>2.6</v>
      </c>
      <c r="E74" s="32">
        <v>3.5</v>
      </c>
      <c r="F74" s="32">
        <v>1</v>
      </c>
      <c r="G74" s="39">
        <v>1</v>
      </c>
      <c r="H74">
        <f t="shared" si="16"/>
        <v>1</v>
      </c>
      <c r="I74" s="38">
        <f t="shared" si="27"/>
        <v>0.37691640593094561</v>
      </c>
      <c r="J74" s="40">
        <f t="shared" si="28"/>
        <v>-3.8612190104941678E-2</v>
      </c>
      <c r="K74" s="40">
        <f t="shared" si="29"/>
        <v>6.2523812034263201E-2</v>
      </c>
      <c r="L74" s="40">
        <f t="shared" si="30"/>
        <v>0.51110563595000025</v>
      </c>
      <c r="M74" s="40">
        <f t="shared" si="31"/>
        <v>0.54714895927246243</v>
      </c>
      <c r="N74" s="35">
        <f t="shared" si="17"/>
        <v>2.6554075187193256</v>
      </c>
      <c r="O74" s="35">
        <f t="shared" si="18"/>
        <v>0.93434349882411094</v>
      </c>
      <c r="P74" s="36">
        <f t="shared" si="19"/>
        <v>1</v>
      </c>
      <c r="Q74" s="36">
        <f t="shared" si="20"/>
        <v>-6.5656501175889059E-2</v>
      </c>
      <c r="R74" s="37">
        <f t="shared" si="21"/>
        <v>4.310776146659521E-3</v>
      </c>
      <c r="T74" s="31">
        <f t="shared" si="22"/>
        <v>-8.0554913350347514E-3</v>
      </c>
      <c r="U74" s="31">
        <f t="shared" si="23"/>
        <v>-4.5916300609698084E-2</v>
      </c>
      <c r="V74" s="31">
        <f t="shared" si="24"/>
        <v>-2.0944277471090355E-2</v>
      </c>
      <c r="W74" s="31">
        <f t="shared" si="25"/>
        <v>-2.8194219672621632E-2</v>
      </c>
      <c r="X74" s="31">
        <f t="shared" si="26"/>
        <v>-8.0554913350347514E-3</v>
      </c>
    </row>
    <row r="75" spans="1:24" ht="14.25" customHeight="1" x14ac:dyDescent="0.25">
      <c r="A75" s="5"/>
      <c r="B75" s="32">
        <v>71</v>
      </c>
      <c r="C75" s="32">
        <v>5.5</v>
      </c>
      <c r="D75" s="32">
        <v>2.4</v>
      </c>
      <c r="E75" s="32">
        <v>3.8</v>
      </c>
      <c r="F75" s="32">
        <v>1.1000000000000001</v>
      </c>
      <c r="G75" s="39">
        <v>1</v>
      </c>
      <c r="H75">
        <f t="shared" si="16"/>
        <v>1</v>
      </c>
      <c r="I75" s="38">
        <f t="shared" si="27"/>
        <v>0.37772195506444911</v>
      </c>
      <c r="J75" s="40">
        <f t="shared" si="28"/>
        <v>-3.4020560043971873E-2</v>
      </c>
      <c r="K75" s="40">
        <f t="shared" si="29"/>
        <v>6.4618239781372239E-2</v>
      </c>
      <c r="L75" s="40">
        <f t="shared" si="30"/>
        <v>0.5139250579172624</v>
      </c>
      <c r="M75" s="40">
        <f t="shared" si="31"/>
        <v>0.54795450840596593</v>
      </c>
      <c r="N75" s="35">
        <f t="shared" si="17"/>
        <v>2.9013578296300571</v>
      </c>
      <c r="O75" s="35">
        <f t="shared" si="18"/>
        <v>0.94791351848365579</v>
      </c>
      <c r="P75" s="36">
        <f t="shared" si="19"/>
        <v>1</v>
      </c>
      <c r="Q75" s="36">
        <f t="shared" si="20"/>
        <v>-5.2086481516344207E-2</v>
      </c>
      <c r="R75" s="37">
        <f t="shared" si="21"/>
        <v>2.7130015567524667E-3</v>
      </c>
      <c r="T75" s="31">
        <f t="shared" si="22"/>
        <v>-5.1433817026257326E-3</v>
      </c>
      <c r="U75" s="31">
        <f t="shared" si="23"/>
        <v>-2.828859936444153E-2</v>
      </c>
      <c r="V75" s="31">
        <f t="shared" si="24"/>
        <v>-1.2344116086301758E-2</v>
      </c>
      <c r="W75" s="31">
        <f t="shared" si="25"/>
        <v>-1.9544850469977781E-2</v>
      </c>
      <c r="X75" s="31">
        <f t="shared" si="26"/>
        <v>-5.6577198728883062E-3</v>
      </c>
    </row>
    <row r="76" spans="1:24" ht="14.25" customHeight="1" x14ac:dyDescent="0.25">
      <c r="A76" s="5"/>
      <c r="B76" s="38">
        <v>72</v>
      </c>
      <c r="C76" s="32">
        <v>5.5</v>
      </c>
      <c r="D76" s="32">
        <v>2.4</v>
      </c>
      <c r="E76" s="32">
        <v>3.7</v>
      </c>
      <c r="F76" s="32">
        <v>1</v>
      </c>
      <c r="G76" s="39">
        <v>1</v>
      </c>
      <c r="H76">
        <f t="shared" si="16"/>
        <v>1</v>
      </c>
      <c r="I76" s="38">
        <f t="shared" si="27"/>
        <v>0.3782362932347117</v>
      </c>
      <c r="J76" s="40">
        <f t="shared" si="28"/>
        <v>-3.1191700107527719E-2</v>
      </c>
      <c r="K76" s="40">
        <f t="shared" si="29"/>
        <v>6.5852651390002417E-2</v>
      </c>
      <c r="L76" s="40">
        <f t="shared" si="30"/>
        <v>0.5158795429642602</v>
      </c>
      <c r="M76" s="40">
        <f t="shared" si="31"/>
        <v>0.54852028039325473</v>
      </c>
      <c r="N76" s="35">
        <f t="shared" si="17"/>
        <v>2.8220028953403324</v>
      </c>
      <c r="O76" s="35">
        <f t="shared" si="18"/>
        <v>0.9438533027621705</v>
      </c>
      <c r="P76" s="36">
        <f t="shared" si="19"/>
        <v>1</v>
      </c>
      <c r="Q76" s="36">
        <f t="shared" si="20"/>
        <v>-5.6146697237829502E-2</v>
      </c>
      <c r="R76" s="37">
        <f t="shared" si="21"/>
        <v>3.152451610716491E-3</v>
      </c>
      <c r="T76" s="31">
        <f t="shared" si="22"/>
        <v>-5.9509037291453687E-3</v>
      </c>
      <c r="U76" s="31">
        <f t="shared" si="23"/>
        <v>-3.2729970510299529E-2</v>
      </c>
      <c r="V76" s="31">
        <f t="shared" si="24"/>
        <v>-1.4282168949948885E-2</v>
      </c>
      <c r="W76" s="31">
        <f t="shared" si="25"/>
        <v>-2.2018343797837864E-2</v>
      </c>
      <c r="X76" s="31">
        <f t="shared" si="26"/>
        <v>-5.9509037291453687E-3</v>
      </c>
    </row>
    <row r="77" spans="1:24" ht="14.25" customHeight="1" x14ac:dyDescent="0.25">
      <c r="A77" s="5"/>
      <c r="B77" s="32">
        <v>73</v>
      </c>
      <c r="C77" s="32">
        <v>5.8</v>
      </c>
      <c r="D77" s="32">
        <v>2.7</v>
      </c>
      <c r="E77" s="32">
        <v>3.9</v>
      </c>
      <c r="F77" s="32">
        <v>1.2</v>
      </c>
      <c r="G77" s="39">
        <v>1</v>
      </c>
      <c r="H77">
        <f t="shared" si="16"/>
        <v>1</v>
      </c>
      <c r="I77" s="38">
        <f t="shared" si="27"/>
        <v>0.37883138360762625</v>
      </c>
      <c r="J77" s="40">
        <f t="shared" si="28"/>
        <v>-2.7918703056497764E-2</v>
      </c>
      <c r="K77" s="40">
        <f t="shared" si="29"/>
        <v>6.7280868284997311E-2</v>
      </c>
      <c r="L77" s="40">
        <f t="shared" si="30"/>
        <v>0.51808137734404403</v>
      </c>
      <c r="M77" s="40">
        <f t="shared" si="31"/>
        <v>0.54911537076616923</v>
      </c>
      <c r="N77" s="35">
        <f t="shared" si="17"/>
        <v>3.0780170668106064</v>
      </c>
      <c r="O77" s="35">
        <f t="shared" si="18"/>
        <v>0.95597680797607154</v>
      </c>
      <c r="P77" s="36">
        <f t="shared" si="19"/>
        <v>1</v>
      </c>
      <c r="Q77" s="36">
        <f t="shared" si="20"/>
        <v>-4.4023192023928459E-2</v>
      </c>
      <c r="R77" s="37">
        <f t="shared" si="21"/>
        <v>1.9380414359756782E-3</v>
      </c>
      <c r="T77" s="31">
        <f t="shared" si="22"/>
        <v>-3.705445331378782E-3</v>
      </c>
      <c r="U77" s="31">
        <f t="shared" si="23"/>
        <v>-2.1491582921996936E-2</v>
      </c>
      <c r="V77" s="31">
        <f t="shared" si="24"/>
        <v>-1.0004702394722712E-2</v>
      </c>
      <c r="W77" s="31">
        <f t="shared" si="25"/>
        <v>-1.445123679237725E-2</v>
      </c>
      <c r="X77" s="31">
        <f t="shared" si="26"/>
        <v>-4.446534397654538E-3</v>
      </c>
    </row>
    <row r="78" spans="1:24" ht="14.25" customHeight="1" x14ac:dyDescent="0.25">
      <c r="A78" s="5"/>
      <c r="B78" s="38">
        <v>74</v>
      </c>
      <c r="C78" s="32">
        <v>6</v>
      </c>
      <c r="D78" s="32">
        <v>2.7</v>
      </c>
      <c r="E78" s="32">
        <v>5.0999999999999996</v>
      </c>
      <c r="F78" s="32">
        <v>1.6</v>
      </c>
      <c r="G78" s="39">
        <v>1</v>
      </c>
      <c r="H78">
        <f t="shared" si="16"/>
        <v>1</v>
      </c>
      <c r="I78" s="38">
        <f t="shared" si="27"/>
        <v>0.37920192814076414</v>
      </c>
      <c r="J78" s="40">
        <f t="shared" si="28"/>
        <v>-2.5769544764298071E-2</v>
      </c>
      <c r="K78" s="40">
        <f t="shared" si="29"/>
        <v>6.8281338524469576E-2</v>
      </c>
      <c r="L78" s="40">
        <f t="shared" si="30"/>
        <v>0.51952650102328179</v>
      </c>
      <c r="M78" s="40">
        <f t="shared" si="31"/>
        <v>0.54956002420593464</v>
      </c>
      <c r="N78" s="35">
        <f t="shared" si="17"/>
        <v>3.9378254675192759</v>
      </c>
      <c r="O78" s="35">
        <f t="shared" si="18"/>
        <v>0.98088206751364226</v>
      </c>
      <c r="P78" s="36">
        <f t="shared" si="19"/>
        <v>1</v>
      </c>
      <c r="Q78" s="36">
        <f t="shared" si="20"/>
        <v>-1.9117932486357736E-2</v>
      </c>
      <c r="R78" s="37">
        <f t="shared" si="21"/>
        <v>3.6549534255293249E-4</v>
      </c>
      <c r="T78" s="31">
        <f t="shared" si="22"/>
        <v>-7.1701565453985471E-4</v>
      </c>
      <c r="U78" s="31">
        <f t="shared" si="23"/>
        <v>-4.3020939272391283E-3</v>
      </c>
      <c r="V78" s="31">
        <f t="shared" si="24"/>
        <v>-1.9359422672576079E-3</v>
      </c>
      <c r="W78" s="31">
        <f t="shared" si="25"/>
        <v>-3.6567798381532588E-3</v>
      </c>
      <c r="X78" s="31">
        <f t="shared" si="26"/>
        <v>-1.1472250472637675E-3</v>
      </c>
    </row>
    <row r="79" spans="1:24" ht="14.25" customHeight="1" x14ac:dyDescent="0.25">
      <c r="A79" s="5"/>
      <c r="B79" s="32">
        <v>75</v>
      </c>
      <c r="C79" s="32">
        <v>5.4</v>
      </c>
      <c r="D79" s="32">
        <v>3</v>
      </c>
      <c r="E79" s="32">
        <v>4.5</v>
      </c>
      <c r="F79" s="32">
        <v>1.5</v>
      </c>
      <c r="G79" s="39">
        <v>1</v>
      </c>
      <c r="H79">
        <f t="shared" si="16"/>
        <v>1</v>
      </c>
      <c r="I79" s="38">
        <f t="shared" si="27"/>
        <v>0.37927362970621814</v>
      </c>
      <c r="J79" s="40">
        <f t="shared" si="28"/>
        <v>-2.5339335371574158E-2</v>
      </c>
      <c r="K79" s="40">
        <f t="shared" si="29"/>
        <v>6.847493275119533E-2</v>
      </c>
      <c r="L79" s="40">
        <f t="shared" si="30"/>
        <v>0.51989217900709717</v>
      </c>
      <c r="M79" s="40">
        <f t="shared" si="31"/>
        <v>0.54967474671066097</v>
      </c>
      <c r="N79" s="35">
        <f t="shared" si="17"/>
        <v>3.6118929425512327</v>
      </c>
      <c r="O79" s="35">
        <f t="shared" si="18"/>
        <v>0.97370918244419657</v>
      </c>
      <c r="P79" s="36">
        <f t="shared" si="19"/>
        <v>1</v>
      </c>
      <c r="Q79" s="36">
        <f t="shared" si="20"/>
        <v>-2.6290817555803425E-2</v>
      </c>
      <c r="R79" s="37">
        <f t="shared" si="21"/>
        <v>6.9120708775254156E-4</v>
      </c>
      <c r="T79" s="31">
        <f t="shared" si="22"/>
        <v>-1.3460693766303225E-3</v>
      </c>
      <c r="U79" s="31">
        <f t="shared" si="23"/>
        <v>-7.2687746338037417E-3</v>
      </c>
      <c r="V79" s="31">
        <f t="shared" si="24"/>
        <v>-4.0382081298909675E-3</v>
      </c>
      <c r="W79" s="31">
        <f t="shared" si="25"/>
        <v>-6.0573121948364513E-3</v>
      </c>
      <c r="X79" s="31">
        <f t="shared" si="26"/>
        <v>-2.0191040649454838E-3</v>
      </c>
    </row>
    <row r="80" spans="1:24" ht="14.25" customHeight="1" x14ac:dyDescent="0.25">
      <c r="A80" s="5"/>
      <c r="B80" s="38">
        <v>76</v>
      </c>
      <c r="C80" s="32">
        <v>6</v>
      </c>
      <c r="D80" s="32">
        <v>3.4</v>
      </c>
      <c r="E80" s="32">
        <v>4.5</v>
      </c>
      <c r="F80" s="32">
        <v>1.6</v>
      </c>
      <c r="G80" s="39">
        <v>1</v>
      </c>
      <c r="H80">
        <f t="shared" si="16"/>
        <v>1</v>
      </c>
      <c r="I80" s="38">
        <f t="shared" si="27"/>
        <v>0.37940823664388118</v>
      </c>
      <c r="J80" s="40">
        <f t="shared" si="28"/>
        <v>-2.4612457908193785E-2</v>
      </c>
      <c r="K80" s="40">
        <f t="shared" si="29"/>
        <v>6.8878753564184422E-2</v>
      </c>
      <c r="L80" s="40">
        <f t="shared" si="30"/>
        <v>0.52049791022658076</v>
      </c>
      <c r="M80" s="40">
        <f t="shared" si="31"/>
        <v>0.5498766571171555</v>
      </c>
      <c r="N80" s="35">
        <f t="shared" si="17"/>
        <v>3.6879644987200075</v>
      </c>
      <c r="O80" s="35">
        <f t="shared" si="18"/>
        <v>0.97558797492785398</v>
      </c>
      <c r="P80" s="36">
        <f t="shared" si="19"/>
        <v>1</v>
      </c>
      <c r="Q80" s="36">
        <f t="shared" si="20"/>
        <v>-2.4412025072146015E-2</v>
      </c>
      <c r="R80" s="37">
        <f t="shared" si="21"/>
        <v>5.9594696812308569E-4</v>
      </c>
      <c r="T80" s="31">
        <f t="shared" si="22"/>
        <v>-1.162797391591191E-3</v>
      </c>
      <c r="U80" s="31">
        <f t="shared" si="23"/>
        <v>-6.9767843495471462E-3</v>
      </c>
      <c r="V80" s="31">
        <f t="shared" si="24"/>
        <v>-3.9535111314100493E-3</v>
      </c>
      <c r="W80" s="31">
        <f t="shared" si="25"/>
        <v>-5.2325882621603592E-3</v>
      </c>
      <c r="X80" s="31">
        <f t="shared" si="26"/>
        <v>-1.8604758265459058E-3</v>
      </c>
    </row>
    <row r="81" spans="1:24" ht="14.25" customHeight="1" x14ac:dyDescent="0.25">
      <c r="A81" s="5"/>
      <c r="B81" s="32">
        <v>77</v>
      </c>
      <c r="C81" s="32">
        <v>6.7</v>
      </c>
      <c r="D81" s="32">
        <v>3.1</v>
      </c>
      <c r="E81" s="32">
        <v>4.7</v>
      </c>
      <c r="F81" s="32">
        <v>1.5</v>
      </c>
      <c r="G81" s="39">
        <v>1</v>
      </c>
      <c r="H81">
        <f t="shared" si="16"/>
        <v>1</v>
      </c>
      <c r="I81" s="38">
        <f t="shared" si="27"/>
        <v>0.3795245163830403</v>
      </c>
      <c r="J81" s="40">
        <f t="shared" si="28"/>
        <v>-2.391477947323907E-2</v>
      </c>
      <c r="K81" s="40">
        <f t="shared" si="29"/>
        <v>6.9274104677325421E-2</v>
      </c>
      <c r="L81" s="40">
        <f t="shared" si="30"/>
        <v>0.52102116905279683</v>
      </c>
      <c r="M81" s="40">
        <f t="shared" si="31"/>
        <v>0.55006270469981011</v>
      </c>
      <c r="N81" s="35">
        <f t="shared" si="17"/>
        <v>3.7079387700099078</v>
      </c>
      <c r="O81" s="35">
        <f t="shared" si="18"/>
        <v>0.97605919173125744</v>
      </c>
      <c r="P81" s="36">
        <f t="shared" si="19"/>
        <v>1</v>
      </c>
      <c r="Q81" s="36">
        <f t="shared" si="20"/>
        <v>-2.3940808268742564E-2</v>
      </c>
      <c r="R81" s="37">
        <f t="shared" si="21"/>
        <v>5.7316230056069233E-4</v>
      </c>
      <c r="T81" s="31">
        <f t="shared" si="22"/>
        <v>-1.1188806636321948E-3</v>
      </c>
      <c r="U81" s="31">
        <f t="shared" si="23"/>
        <v>-7.4965004463357051E-3</v>
      </c>
      <c r="V81" s="31">
        <f t="shared" si="24"/>
        <v>-3.4685300572598042E-3</v>
      </c>
      <c r="W81" s="31">
        <f t="shared" si="25"/>
        <v>-5.2587391190713154E-3</v>
      </c>
      <c r="X81" s="31">
        <f t="shared" si="26"/>
        <v>-1.6783209954482922E-3</v>
      </c>
    </row>
    <row r="82" spans="1:24" ht="14.25" customHeight="1" x14ac:dyDescent="0.25">
      <c r="A82" s="5"/>
      <c r="B82" s="38">
        <v>78</v>
      </c>
      <c r="C82" s="32">
        <v>6.3</v>
      </c>
      <c r="D82" s="32">
        <v>2.2999999999999998</v>
      </c>
      <c r="E82" s="32">
        <v>4.4000000000000004</v>
      </c>
      <c r="F82" s="32">
        <v>1.3</v>
      </c>
      <c r="G82" s="39">
        <v>1</v>
      </c>
      <c r="H82">
        <f t="shared" si="16"/>
        <v>1</v>
      </c>
      <c r="I82" s="38">
        <f t="shared" si="27"/>
        <v>0.3796364044494035</v>
      </c>
      <c r="J82" s="40">
        <f t="shared" si="28"/>
        <v>-2.3165129428605498E-2</v>
      </c>
      <c r="K82" s="40">
        <f t="shared" si="29"/>
        <v>6.9620957683051404E-2</v>
      </c>
      <c r="L82" s="40">
        <f t="shared" si="30"/>
        <v>0.521547042964704</v>
      </c>
      <c r="M82" s="40">
        <f t="shared" si="31"/>
        <v>0.55023053679935496</v>
      </c>
      <c r="N82" s="35">
        <f t="shared" si="17"/>
        <v>3.4039309786040661</v>
      </c>
      <c r="O82" s="35">
        <f t="shared" si="18"/>
        <v>0.96782716247080058</v>
      </c>
      <c r="P82" s="36">
        <f t="shared" si="19"/>
        <v>1</v>
      </c>
      <c r="Q82" s="36">
        <f t="shared" si="20"/>
        <v>-3.2172837529199416E-2</v>
      </c>
      <c r="R82" s="37">
        <f t="shared" si="21"/>
        <v>1.0350914746802625E-3</v>
      </c>
      <c r="T82" s="31">
        <f t="shared" si="22"/>
        <v>-2.0035792896750297E-3</v>
      </c>
      <c r="U82" s="31">
        <f t="shared" si="23"/>
        <v>-1.2622549524952687E-2</v>
      </c>
      <c r="V82" s="31">
        <f t="shared" si="24"/>
        <v>-4.6082323662525676E-3</v>
      </c>
      <c r="W82" s="31">
        <f t="shared" si="25"/>
        <v>-8.8157488745701316E-3</v>
      </c>
      <c r="X82" s="31">
        <f t="shared" si="26"/>
        <v>-2.6046530765775388E-3</v>
      </c>
    </row>
    <row r="83" spans="1:24" ht="14.25" customHeight="1" x14ac:dyDescent="0.25">
      <c r="A83" s="5"/>
      <c r="B83" s="32">
        <v>79</v>
      </c>
      <c r="C83" s="32">
        <v>5.6</v>
      </c>
      <c r="D83" s="32">
        <v>3</v>
      </c>
      <c r="E83" s="32">
        <v>4.0999999999999996</v>
      </c>
      <c r="F83" s="32">
        <v>1.3</v>
      </c>
      <c r="G83" s="39">
        <v>1</v>
      </c>
      <c r="H83">
        <f t="shared" si="16"/>
        <v>1</v>
      </c>
      <c r="I83" s="38">
        <f t="shared" si="27"/>
        <v>0.379836762378371</v>
      </c>
      <c r="J83" s="40">
        <f t="shared" si="28"/>
        <v>-2.190287447611023E-2</v>
      </c>
      <c r="K83" s="40">
        <f t="shared" si="29"/>
        <v>7.0081780919676664E-2</v>
      </c>
      <c r="L83" s="40">
        <f t="shared" si="30"/>
        <v>0.52242861785216099</v>
      </c>
      <c r="M83" s="40">
        <f t="shared" si="31"/>
        <v>0.55049100210701274</v>
      </c>
      <c r="N83" s="35">
        <f t="shared" si="17"/>
        <v>3.3250216440041602</v>
      </c>
      <c r="O83" s="35">
        <f t="shared" si="18"/>
        <v>0.96527729591685585</v>
      </c>
      <c r="P83" s="36">
        <f t="shared" si="19"/>
        <v>1</v>
      </c>
      <c r="Q83" s="36">
        <f t="shared" si="20"/>
        <v>-3.4722704083144151E-2</v>
      </c>
      <c r="R83" s="37">
        <f t="shared" si="21"/>
        <v>1.2056661788455954E-3</v>
      </c>
      <c r="T83" s="31">
        <f t="shared" si="22"/>
        <v>-2.3276043777889694E-3</v>
      </c>
      <c r="U83" s="31">
        <f t="shared" si="23"/>
        <v>-1.3034584515618229E-2</v>
      </c>
      <c r="V83" s="31">
        <f t="shared" si="24"/>
        <v>-6.9828131333669087E-3</v>
      </c>
      <c r="W83" s="31">
        <f t="shared" si="25"/>
        <v>-9.5431779489347744E-3</v>
      </c>
      <c r="X83" s="31">
        <f t="shared" si="26"/>
        <v>-3.0258856911256605E-3</v>
      </c>
    </row>
    <row r="84" spans="1:24" ht="14.25" customHeight="1" x14ac:dyDescent="0.25">
      <c r="A84" s="5"/>
      <c r="B84" s="38">
        <v>80</v>
      </c>
      <c r="C84" s="32">
        <v>5.5</v>
      </c>
      <c r="D84" s="32">
        <v>2.5</v>
      </c>
      <c r="E84" s="32">
        <v>4</v>
      </c>
      <c r="F84" s="32">
        <v>1.3</v>
      </c>
      <c r="G84" s="39">
        <v>1</v>
      </c>
      <c r="H84">
        <f t="shared" si="16"/>
        <v>1</v>
      </c>
      <c r="I84" s="38">
        <f t="shared" si="27"/>
        <v>0.38006952281614992</v>
      </c>
      <c r="J84" s="40">
        <f t="shared" si="28"/>
        <v>-2.0599416024548407E-2</v>
      </c>
      <c r="K84" s="40">
        <f t="shared" si="29"/>
        <v>7.0780062233013349E-2</v>
      </c>
      <c r="L84" s="40">
        <f t="shared" si="30"/>
        <v>0.52338293564705451</v>
      </c>
      <c r="M84" s="40">
        <f t="shared" si="31"/>
        <v>0.55079359067612532</v>
      </c>
      <c r="N84" s="35">
        <f t="shared" si="17"/>
        <v>3.2532863007308479</v>
      </c>
      <c r="O84" s="35">
        <f t="shared" si="18"/>
        <v>0.96279102185661181</v>
      </c>
      <c r="P84" s="36">
        <f t="shared" si="19"/>
        <v>1</v>
      </c>
      <c r="Q84" s="36">
        <f t="shared" si="20"/>
        <v>-3.7208978143388194E-2</v>
      </c>
      <c r="R84" s="37">
        <f t="shared" si="21"/>
        <v>1.3845080544751403E-3</v>
      </c>
      <c r="S84">
        <f>AVERAGE(R5:R84)</f>
        <v>0.44988865513952919</v>
      </c>
      <c r="T84" s="31">
        <f t="shared" si="22"/>
        <v>-2.6659838490736597E-3</v>
      </c>
      <c r="U84" s="31">
        <f t="shared" si="23"/>
        <v>-1.4662911169905129E-2</v>
      </c>
      <c r="V84" s="31">
        <f t="shared" si="24"/>
        <v>-6.6649596226841488E-3</v>
      </c>
      <c r="W84" s="31">
        <f t="shared" si="25"/>
        <v>-1.0663935396294639E-2</v>
      </c>
      <c r="X84" s="31">
        <f t="shared" si="26"/>
        <v>-3.4657790037957575E-3</v>
      </c>
    </row>
    <row r="85" spans="1:24" ht="14.25" customHeight="1" x14ac:dyDescent="0.25">
      <c r="A85" s="41" t="s">
        <v>33</v>
      </c>
      <c r="B85" s="38">
        <v>1</v>
      </c>
      <c r="C85" s="32">
        <v>5.0999999999999996</v>
      </c>
      <c r="D85" s="32">
        <v>3.5</v>
      </c>
      <c r="E85" s="32">
        <v>1.4</v>
      </c>
      <c r="F85" s="32">
        <v>0.2</v>
      </c>
      <c r="G85" s="39">
        <v>0</v>
      </c>
      <c r="H85">
        <f t="shared" si="16"/>
        <v>0</v>
      </c>
      <c r="I85" s="38">
        <f t="shared" si="27"/>
        <v>0.38033612120105731</v>
      </c>
      <c r="J85" s="40">
        <f t="shared" si="28"/>
        <v>-1.9133124907557895E-2</v>
      </c>
      <c r="K85" s="40">
        <f t="shared" si="29"/>
        <v>7.144655819528177E-2</v>
      </c>
      <c r="L85" s="40">
        <f t="shared" si="30"/>
        <v>0.52444932918668397</v>
      </c>
      <c r="M85" s="40">
        <f t="shared" si="31"/>
        <v>0.55114016857650494</v>
      </c>
      <c r="N85" s="35">
        <f t="shared" si="17"/>
        <v>1.3772772324326568</v>
      </c>
      <c r="O85" s="35">
        <f t="shared" si="18"/>
        <v>0.79855335583911247</v>
      </c>
      <c r="P85" s="36">
        <f t="shared" si="19"/>
        <v>1</v>
      </c>
      <c r="Q85" s="36">
        <f t="shared" si="20"/>
        <v>0.79855335583911247</v>
      </c>
      <c r="R85" s="37">
        <f t="shared" si="21"/>
        <v>0.63768746212190819</v>
      </c>
      <c r="T85" s="31">
        <f t="shared" si="22"/>
        <v>0.25691999853586295</v>
      </c>
      <c r="U85" s="31">
        <f t="shared" si="23"/>
        <v>1.3102919925329009</v>
      </c>
      <c r="V85" s="31">
        <f t="shared" si="24"/>
        <v>0.89921999487552029</v>
      </c>
      <c r="W85" s="31">
        <f t="shared" si="25"/>
        <v>0.35968799795020812</v>
      </c>
      <c r="X85" s="31">
        <f t="shared" si="26"/>
        <v>5.1383999707172591E-2</v>
      </c>
    </row>
    <row r="86" spans="1:24" ht="14.25" customHeight="1" x14ac:dyDescent="0.25">
      <c r="A86" s="41"/>
      <c r="B86" s="38">
        <v>2</v>
      </c>
      <c r="C86" s="32">
        <v>4.9000000000000004</v>
      </c>
      <c r="D86" s="32">
        <v>3</v>
      </c>
      <c r="E86" s="32">
        <v>1.4</v>
      </c>
      <c r="F86" s="32">
        <v>0.2</v>
      </c>
      <c r="G86" s="39">
        <v>0</v>
      </c>
      <c r="H86">
        <f t="shared" si="16"/>
        <v>0</v>
      </c>
      <c r="I86" s="38">
        <f t="shared" si="27"/>
        <v>0.35464412134747103</v>
      </c>
      <c r="J86" s="40">
        <f t="shared" si="28"/>
        <v>-0.15016232416084799</v>
      </c>
      <c r="K86" s="40">
        <f t="shared" si="29"/>
        <v>-1.8475441292270259E-2</v>
      </c>
      <c r="L86" s="40">
        <f t="shared" si="30"/>
        <v>0.48848052939166314</v>
      </c>
      <c r="M86" s="40">
        <f t="shared" si="31"/>
        <v>0.54600176860578764</v>
      </c>
      <c r="N86" s="35">
        <f t="shared" si="17"/>
        <v>0.35649550395199103</v>
      </c>
      <c r="O86" s="35">
        <f t="shared" si="18"/>
        <v>0.58819183045703904</v>
      </c>
      <c r="P86" s="36">
        <f t="shared" si="19"/>
        <v>1</v>
      </c>
      <c r="Q86" s="36">
        <f t="shared" si="20"/>
        <v>0.58819183045703904</v>
      </c>
      <c r="R86" s="37">
        <f t="shared" si="21"/>
        <v>0.34596962941640219</v>
      </c>
      <c r="T86" s="31">
        <f t="shared" si="22"/>
        <v>0.28494623961485022</v>
      </c>
      <c r="U86" s="31">
        <f t="shared" si="23"/>
        <v>1.3962365741127662</v>
      </c>
      <c r="V86" s="31">
        <f t="shared" si="24"/>
        <v>0.85483871884455065</v>
      </c>
      <c r="W86" s="31">
        <f t="shared" si="25"/>
        <v>0.39892473546079027</v>
      </c>
      <c r="X86" s="31">
        <f t="shared" si="26"/>
        <v>5.6989247922970047E-2</v>
      </c>
    </row>
    <row r="87" spans="1:24" ht="14.25" customHeight="1" x14ac:dyDescent="0.25">
      <c r="A87" s="41"/>
      <c r="B87" s="38">
        <v>3</v>
      </c>
      <c r="C87" s="32">
        <v>4.7</v>
      </c>
      <c r="D87" s="32">
        <v>3.2</v>
      </c>
      <c r="E87" s="32">
        <v>1.3</v>
      </c>
      <c r="F87" s="32">
        <v>0.2</v>
      </c>
      <c r="G87" s="39">
        <v>0</v>
      </c>
      <c r="H87">
        <f t="shared" si="16"/>
        <v>1</v>
      </c>
      <c r="I87" s="38">
        <f t="shared" si="27"/>
        <v>0.32614949738598603</v>
      </c>
      <c r="J87" s="40">
        <f t="shared" si="28"/>
        <v>-0.28978598157212465</v>
      </c>
      <c r="K87" s="40">
        <f t="shared" si="29"/>
        <v>-0.10395931317672533</v>
      </c>
      <c r="L87" s="40">
        <f t="shared" si="30"/>
        <v>0.44858805584558414</v>
      </c>
      <c r="M87" s="40">
        <f t="shared" si="31"/>
        <v>0.54030284381349059</v>
      </c>
      <c r="N87" s="35">
        <f t="shared" si="17"/>
        <v>-0.67728937680656343</v>
      </c>
      <c r="O87" s="35">
        <f t="shared" si="18"/>
        <v>0.33686655386803055</v>
      </c>
      <c r="P87" s="36">
        <f t="shared" si="19"/>
        <v>0</v>
      </c>
      <c r="Q87" s="36">
        <f t="shared" si="20"/>
        <v>0.33686655386803055</v>
      </c>
      <c r="R87" s="37">
        <f t="shared" si="21"/>
        <v>0.11347907511492272</v>
      </c>
      <c r="T87" s="31">
        <f t="shared" si="22"/>
        <v>0.15050354028965465</v>
      </c>
      <c r="U87" s="31">
        <f t="shared" si="23"/>
        <v>0.70736663936137689</v>
      </c>
      <c r="V87" s="31">
        <f t="shared" si="24"/>
        <v>0.4816113289268949</v>
      </c>
      <c r="W87" s="31">
        <f t="shared" si="25"/>
        <v>0.19565460237655105</v>
      </c>
      <c r="X87" s="31">
        <f t="shared" si="26"/>
        <v>3.0100708057930931E-2</v>
      </c>
    </row>
    <row r="88" spans="1:24" ht="14.25" customHeight="1" x14ac:dyDescent="0.25">
      <c r="A88" s="41"/>
      <c r="B88" s="38">
        <v>4</v>
      </c>
      <c r="C88" s="32">
        <v>4.5999999999999996</v>
      </c>
      <c r="D88" s="32">
        <v>3.1</v>
      </c>
      <c r="E88" s="32">
        <v>1.5</v>
      </c>
      <c r="F88" s="32">
        <v>0.2</v>
      </c>
      <c r="G88" s="39">
        <v>0</v>
      </c>
      <c r="H88">
        <f t="shared" si="16"/>
        <v>1</v>
      </c>
      <c r="I88" s="38">
        <f t="shared" si="27"/>
        <v>0.31109914335702055</v>
      </c>
      <c r="J88" s="40">
        <f t="shared" si="28"/>
        <v>-0.36052264550826235</v>
      </c>
      <c r="K88" s="40">
        <f t="shared" si="29"/>
        <v>-0.15212044606941483</v>
      </c>
      <c r="L88" s="40">
        <f t="shared" si="30"/>
        <v>0.42902259560792905</v>
      </c>
      <c r="M88" s="40">
        <f t="shared" si="31"/>
        <v>0.53729277300769751</v>
      </c>
      <c r="N88" s="35">
        <f t="shared" si="17"/>
        <v>-1.0678859607827393</v>
      </c>
      <c r="O88" s="35">
        <f t="shared" si="18"/>
        <v>0.25580532381913357</v>
      </c>
      <c r="P88" s="36">
        <f t="shared" si="19"/>
        <v>0</v>
      </c>
      <c r="Q88" s="36">
        <f t="shared" si="20"/>
        <v>0.25580532381913357</v>
      </c>
      <c r="R88" s="37">
        <f t="shared" si="21"/>
        <v>6.5436363694211783E-2</v>
      </c>
      <c r="T88" s="31">
        <f t="shared" si="22"/>
        <v>9.7394786979734679E-2</v>
      </c>
      <c r="U88" s="31">
        <f t="shared" si="23"/>
        <v>0.44801602010677949</v>
      </c>
      <c r="V88" s="31">
        <f t="shared" si="24"/>
        <v>0.3019238396371775</v>
      </c>
      <c r="W88" s="31">
        <f t="shared" si="25"/>
        <v>0.14609218046960201</v>
      </c>
      <c r="X88" s="31">
        <f t="shared" si="26"/>
        <v>1.9478957395946937E-2</v>
      </c>
    </row>
    <row r="89" spans="1:24" ht="14.25" customHeight="1" x14ac:dyDescent="0.25">
      <c r="A89" s="41"/>
      <c r="B89" s="38">
        <v>5</v>
      </c>
      <c r="C89" s="32">
        <v>5</v>
      </c>
      <c r="D89" s="32">
        <v>3.6</v>
      </c>
      <c r="E89" s="32">
        <v>1.4</v>
      </c>
      <c r="F89" s="32">
        <v>0.2</v>
      </c>
      <c r="G89" s="39">
        <v>0</v>
      </c>
      <c r="H89">
        <f t="shared" si="16"/>
        <v>1</v>
      </c>
      <c r="I89" s="38">
        <f t="shared" si="27"/>
        <v>0.30135966465904707</v>
      </c>
      <c r="J89" s="40">
        <f t="shared" si="28"/>
        <v>-0.40532424751894031</v>
      </c>
      <c r="K89" s="40">
        <f t="shared" si="29"/>
        <v>-0.18231283003313259</v>
      </c>
      <c r="L89" s="40">
        <f t="shared" si="30"/>
        <v>0.41441337756096885</v>
      </c>
      <c r="M89" s="40">
        <f t="shared" si="31"/>
        <v>0.53534487726810287</v>
      </c>
      <c r="N89" s="35">
        <f t="shared" si="17"/>
        <v>-1.6943400570159552</v>
      </c>
      <c r="O89" s="35">
        <f t="shared" si="18"/>
        <v>0.15520593271628086</v>
      </c>
      <c r="P89" s="36">
        <f t="shared" si="19"/>
        <v>0</v>
      </c>
      <c r="Q89" s="36">
        <f t="shared" si="20"/>
        <v>0.15520593271628086</v>
      </c>
      <c r="R89" s="37">
        <f t="shared" si="21"/>
        <v>2.4088881550330701E-2</v>
      </c>
      <c r="T89" s="31">
        <f t="shared" si="22"/>
        <v>4.0700288442439232E-2</v>
      </c>
      <c r="U89" s="31">
        <f t="shared" si="23"/>
        <v>0.20350144221219615</v>
      </c>
      <c r="V89" s="31">
        <f t="shared" si="24"/>
        <v>0.14652103839278124</v>
      </c>
      <c r="W89" s="31">
        <f t="shared" si="25"/>
        <v>5.6980403819414924E-2</v>
      </c>
      <c r="X89" s="31">
        <f t="shared" si="26"/>
        <v>8.1400576884878475E-3</v>
      </c>
    </row>
    <row r="90" spans="1:24" ht="14.25" customHeight="1" x14ac:dyDescent="0.25">
      <c r="A90" s="41"/>
      <c r="B90" s="38">
        <v>6</v>
      </c>
      <c r="C90" s="32">
        <v>5.4</v>
      </c>
      <c r="D90" s="32">
        <v>3.9</v>
      </c>
      <c r="E90" s="32">
        <v>1.7</v>
      </c>
      <c r="F90" s="32">
        <v>0.4</v>
      </c>
      <c r="G90" s="39">
        <v>0</v>
      </c>
      <c r="H90">
        <f t="shared" si="16"/>
        <v>1</v>
      </c>
      <c r="I90" s="38">
        <f t="shared" si="27"/>
        <v>0.29728963581480317</v>
      </c>
      <c r="J90" s="40">
        <f t="shared" si="28"/>
        <v>-0.42567439174015992</v>
      </c>
      <c r="K90" s="40">
        <f t="shared" si="29"/>
        <v>-0.19696493387241071</v>
      </c>
      <c r="L90" s="40">
        <f t="shared" si="30"/>
        <v>0.40871533717902736</v>
      </c>
      <c r="M90" s="40">
        <f t="shared" si="31"/>
        <v>0.53453087149925405</v>
      </c>
      <c r="N90" s="35">
        <f t="shared" si="17"/>
        <v>-1.8608868998804142</v>
      </c>
      <c r="O90" s="35">
        <f t="shared" si="18"/>
        <v>0.13459971003950016</v>
      </c>
      <c r="P90" s="36">
        <f t="shared" si="19"/>
        <v>0</v>
      </c>
      <c r="Q90" s="36">
        <f t="shared" si="20"/>
        <v>0.13459971003950016</v>
      </c>
      <c r="R90" s="37">
        <f t="shared" si="21"/>
        <v>1.8117081942717522E-2</v>
      </c>
      <c r="T90" s="31">
        <f t="shared" si="22"/>
        <v>3.1357055932931754E-2</v>
      </c>
      <c r="U90" s="31">
        <f t="shared" si="23"/>
        <v>0.1693281020378315</v>
      </c>
      <c r="V90" s="31">
        <f t="shared" si="24"/>
        <v>0.12229251813843384</v>
      </c>
      <c r="W90" s="31">
        <f t="shared" si="25"/>
        <v>5.330699508598398E-2</v>
      </c>
      <c r="X90" s="31">
        <f t="shared" si="26"/>
        <v>1.2542822373172703E-2</v>
      </c>
    </row>
    <row r="91" spans="1:24" ht="14.25" customHeight="1" x14ac:dyDescent="0.25">
      <c r="A91" s="41"/>
      <c r="B91" s="38">
        <v>7</v>
      </c>
      <c r="C91" s="32">
        <v>4.5999999999999996</v>
      </c>
      <c r="D91" s="32">
        <v>3.4</v>
      </c>
      <c r="E91" s="32">
        <v>1.4</v>
      </c>
      <c r="F91" s="32">
        <v>0.3</v>
      </c>
      <c r="G91" s="39">
        <v>0</v>
      </c>
      <c r="H91">
        <f t="shared" si="16"/>
        <v>1</v>
      </c>
      <c r="I91" s="38">
        <f t="shared" si="27"/>
        <v>0.29415393022150998</v>
      </c>
      <c r="J91" s="40">
        <f t="shared" si="28"/>
        <v>-0.4426072019439431</v>
      </c>
      <c r="K91" s="40">
        <f t="shared" si="29"/>
        <v>-0.20919418568625409</v>
      </c>
      <c r="L91" s="40">
        <f t="shared" si="30"/>
        <v>0.40338463767042898</v>
      </c>
      <c r="M91" s="40">
        <f t="shared" si="31"/>
        <v>0.53327658926193677</v>
      </c>
      <c r="N91" s="35">
        <f t="shared" si="17"/>
        <v>-1.7283779605367104</v>
      </c>
      <c r="O91" s="35">
        <f t="shared" si="18"/>
        <v>0.15079517398242601</v>
      </c>
      <c r="P91" s="36">
        <f t="shared" si="19"/>
        <v>0</v>
      </c>
      <c r="Q91" s="36">
        <f t="shared" si="20"/>
        <v>0.15079517398242601</v>
      </c>
      <c r="R91" s="37">
        <f t="shared" si="21"/>
        <v>2.2739184496390129E-2</v>
      </c>
      <c r="T91" s="31">
        <f t="shared" si="22"/>
        <v>3.8620450428076984E-2</v>
      </c>
      <c r="U91" s="31">
        <f t="shared" si="23"/>
        <v>0.17765407196915411</v>
      </c>
      <c r="V91" s="31">
        <f t="shared" si="24"/>
        <v>0.13130953145546173</v>
      </c>
      <c r="W91" s="31">
        <f t="shared" si="25"/>
        <v>5.4068630599307776E-2</v>
      </c>
      <c r="X91" s="31">
        <f t="shared" si="26"/>
        <v>1.1586135128423094E-2</v>
      </c>
    </row>
    <row r="92" spans="1:24" ht="14.25" customHeight="1" x14ac:dyDescent="0.25">
      <c r="A92" s="41"/>
      <c r="B92" s="38">
        <v>8</v>
      </c>
      <c r="C92" s="32">
        <v>5</v>
      </c>
      <c r="D92" s="32">
        <v>3.4</v>
      </c>
      <c r="E92" s="32">
        <v>1.5</v>
      </c>
      <c r="F92" s="32">
        <v>0.2</v>
      </c>
      <c r="G92" s="39">
        <v>0</v>
      </c>
      <c r="H92">
        <f t="shared" si="16"/>
        <v>1</v>
      </c>
      <c r="I92" s="38">
        <f t="shared" si="27"/>
        <v>0.2902918851787023</v>
      </c>
      <c r="J92" s="40">
        <f t="shared" si="28"/>
        <v>-0.46037260914085854</v>
      </c>
      <c r="K92" s="40">
        <f t="shared" si="29"/>
        <v>-0.22232513883180027</v>
      </c>
      <c r="L92" s="40">
        <f t="shared" si="30"/>
        <v>0.39797777461049821</v>
      </c>
      <c r="M92" s="40">
        <f t="shared" si="31"/>
        <v>0.53211797574909447</v>
      </c>
      <c r="N92" s="35">
        <f t="shared" si="17"/>
        <v>-2.0640863754881456</v>
      </c>
      <c r="O92" s="35">
        <f t="shared" si="18"/>
        <v>0.11263675104663577</v>
      </c>
      <c r="P92" s="36">
        <f t="shared" si="19"/>
        <v>0</v>
      </c>
      <c r="Q92" s="36">
        <f t="shared" si="20"/>
        <v>0.11263675104663577</v>
      </c>
      <c r="R92" s="37">
        <f t="shared" si="21"/>
        <v>1.2687037686341805E-2</v>
      </c>
      <c r="T92" s="31">
        <f t="shared" si="22"/>
        <v>2.2516021961892074E-2</v>
      </c>
      <c r="U92" s="31">
        <f t="shared" si="23"/>
        <v>0.11258010980946037</v>
      </c>
      <c r="V92" s="31">
        <f t="shared" si="24"/>
        <v>7.6554474670433054E-2</v>
      </c>
      <c r="W92" s="31">
        <f t="shared" si="25"/>
        <v>3.3774032942838109E-2</v>
      </c>
      <c r="X92" s="31">
        <f t="shared" si="26"/>
        <v>4.5032043923784147E-3</v>
      </c>
    </row>
    <row r="93" spans="1:24" ht="14.25" customHeight="1" x14ac:dyDescent="0.25">
      <c r="A93" s="41"/>
      <c r="B93" s="38">
        <v>9</v>
      </c>
      <c r="C93" s="32">
        <v>4.4000000000000004</v>
      </c>
      <c r="D93" s="32">
        <v>2.9</v>
      </c>
      <c r="E93" s="32">
        <v>1.4</v>
      </c>
      <c r="F93" s="32">
        <v>0.2</v>
      </c>
      <c r="G93" s="39">
        <v>0</v>
      </c>
      <c r="H93">
        <f t="shared" si="16"/>
        <v>1</v>
      </c>
      <c r="I93" s="38">
        <f t="shared" si="27"/>
        <v>0.28804028298251311</v>
      </c>
      <c r="J93" s="40">
        <f t="shared" si="28"/>
        <v>-0.47163062012180457</v>
      </c>
      <c r="K93" s="40">
        <f t="shared" si="29"/>
        <v>-0.22998058629884358</v>
      </c>
      <c r="L93" s="40">
        <f t="shared" si="30"/>
        <v>0.39460037131621439</v>
      </c>
      <c r="M93" s="40">
        <f t="shared" si="31"/>
        <v>0.5316676553098566</v>
      </c>
      <c r="N93" s="35">
        <f t="shared" si="17"/>
        <v>-1.7953040949154018</v>
      </c>
      <c r="O93" s="35">
        <f t="shared" si="18"/>
        <v>0.14242365627958667</v>
      </c>
      <c r="P93" s="36">
        <f t="shared" si="19"/>
        <v>0</v>
      </c>
      <c r="Q93" s="36">
        <f t="shared" si="20"/>
        <v>0.14242365627958667</v>
      </c>
      <c r="R93" s="37">
        <f t="shared" si="21"/>
        <v>2.0284497868045846E-2</v>
      </c>
      <c r="T93" s="31">
        <f t="shared" si="22"/>
        <v>3.4791011031766558E-2</v>
      </c>
      <c r="U93" s="31">
        <f t="shared" si="23"/>
        <v>0.15308044853977287</v>
      </c>
      <c r="V93" s="31">
        <f t="shared" si="24"/>
        <v>0.10089393199212301</v>
      </c>
      <c r="W93" s="31">
        <f t="shared" si="25"/>
        <v>4.8707415444473177E-2</v>
      </c>
      <c r="X93" s="31">
        <f t="shared" si="26"/>
        <v>6.9582022063533122E-3</v>
      </c>
    </row>
    <row r="94" spans="1:24" ht="14.25" customHeight="1" x14ac:dyDescent="0.25">
      <c r="A94" s="41"/>
      <c r="B94" s="38">
        <v>10</v>
      </c>
      <c r="C94" s="32">
        <v>4.9000000000000004</v>
      </c>
      <c r="D94" s="32">
        <v>3.1</v>
      </c>
      <c r="E94" s="32">
        <v>1.5</v>
      </c>
      <c r="F94" s="32">
        <v>0.1</v>
      </c>
      <c r="G94" s="39">
        <v>0</v>
      </c>
      <c r="H94">
        <f t="shared" si="16"/>
        <v>1</v>
      </c>
      <c r="I94" s="38">
        <f t="shared" si="27"/>
        <v>0.28456118187933643</v>
      </c>
      <c r="J94" s="40">
        <f t="shared" si="28"/>
        <v>-0.48693866497578187</v>
      </c>
      <c r="K94" s="40">
        <f t="shared" si="29"/>
        <v>-0.24006997949805586</v>
      </c>
      <c r="L94" s="40">
        <f t="shared" si="30"/>
        <v>0.38972962977176706</v>
      </c>
      <c r="M94" s="40">
        <f t="shared" si="31"/>
        <v>0.5309718350892213</v>
      </c>
      <c r="N94" s="35">
        <f t="shared" si="17"/>
        <v>-2.207963584779395</v>
      </c>
      <c r="O94" s="35">
        <f t="shared" si="18"/>
        <v>9.9037632527531505E-2</v>
      </c>
      <c r="P94" s="36">
        <f t="shared" si="19"/>
        <v>0</v>
      </c>
      <c r="Q94" s="36">
        <f t="shared" si="20"/>
        <v>9.9037632527531505E-2</v>
      </c>
      <c r="R94" s="37">
        <f t="shared" si="21"/>
        <v>9.8084526566583671E-3</v>
      </c>
      <c r="T94" s="31">
        <f t="shared" si="22"/>
        <v>1.767409345356909E-2</v>
      </c>
      <c r="U94" s="31">
        <f t="shared" si="23"/>
        <v>8.6603057922488555E-2</v>
      </c>
      <c r="V94" s="31">
        <f t="shared" si="24"/>
        <v>5.4789689706064182E-2</v>
      </c>
      <c r="W94" s="31">
        <f t="shared" si="25"/>
        <v>2.6511140180353637E-2</v>
      </c>
      <c r="X94" s="31">
        <f t="shared" si="26"/>
        <v>1.767409345356909E-3</v>
      </c>
    </row>
    <row r="95" spans="1:24" ht="14.25" customHeight="1" x14ac:dyDescent="0.25">
      <c r="A95" s="41"/>
      <c r="B95" s="38">
        <v>11</v>
      </c>
      <c r="C95" s="32">
        <v>5.4</v>
      </c>
      <c r="D95" s="32">
        <v>3.7</v>
      </c>
      <c r="E95" s="32">
        <v>1.5</v>
      </c>
      <c r="F95" s="32">
        <v>0.2</v>
      </c>
      <c r="G95" s="39">
        <v>0</v>
      </c>
      <c r="H95">
        <f t="shared" si="16"/>
        <v>1</v>
      </c>
      <c r="I95" s="38">
        <f t="shared" si="27"/>
        <v>0.28279377253397953</v>
      </c>
      <c r="J95" s="40">
        <f t="shared" si="28"/>
        <v>-0.49559897076803072</v>
      </c>
      <c r="K95" s="40">
        <f t="shared" si="29"/>
        <v>-0.24554894846866229</v>
      </c>
      <c r="L95" s="40">
        <f t="shared" si="30"/>
        <v>0.3870785157537317</v>
      </c>
      <c r="M95" s="40">
        <f t="shared" si="31"/>
        <v>0.53079509415468562</v>
      </c>
      <c r="N95" s="35">
        <f t="shared" si="17"/>
        <v>-2.615194986485903</v>
      </c>
      <c r="O95" s="35">
        <f t="shared" si="18"/>
        <v>6.8166876187462672E-2</v>
      </c>
      <c r="P95" s="36">
        <f t="shared" si="19"/>
        <v>0</v>
      </c>
      <c r="Q95" s="36">
        <f t="shared" si="20"/>
        <v>6.8166876187462672E-2</v>
      </c>
      <c r="R95" s="37">
        <f t="shared" si="21"/>
        <v>4.6467230091568655E-3</v>
      </c>
      <c r="T95" s="31">
        <f t="shared" si="22"/>
        <v>8.6599408342284707E-3</v>
      </c>
      <c r="U95" s="31">
        <f t="shared" si="23"/>
        <v>4.6763680504833746E-2</v>
      </c>
      <c r="V95" s="31">
        <f t="shared" si="24"/>
        <v>3.2041781086645342E-2</v>
      </c>
      <c r="W95" s="31">
        <f t="shared" si="25"/>
        <v>1.2989911251342707E-2</v>
      </c>
      <c r="X95" s="31">
        <f t="shared" si="26"/>
        <v>1.7319881668456942E-3</v>
      </c>
    </row>
    <row r="96" spans="1:24" ht="14.25" customHeight="1" x14ac:dyDescent="0.25">
      <c r="A96" s="41"/>
      <c r="B96" s="38">
        <v>12</v>
      </c>
      <c r="C96" s="32">
        <v>4.8</v>
      </c>
      <c r="D96" s="32">
        <v>3.4</v>
      </c>
      <c r="E96" s="32">
        <v>1.6</v>
      </c>
      <c r="F96" s="32">
        <v>0.2</v>
      </c>
      <c r="G96" s="39">
        <v>0</v>
      </c>
      <c r="H96">
        <f t="shared" si="16"/>
        <v>1</v>
      </c>
      <c r="I96" s="38">
        <f t="shared" si="27"/>
        <v>0.28192777845055667</v>
      </c>
      <c r="J96" s="40">
        <f t="shared" si="28"/>
        <v>-0.50027533881851405</v>
      </c>
      <c r="K96" s="40">
        <f t="shared" si="29"/>
        <v>-0.24875312657732682</v>
      </c>
      <c r="L96" s="40">
        <f t="shared" si="30"/>
        <v>0.38577952462859744</v>
      </c>
      <c r="M96" s="40">
        <f t="shared" si="31"/>
        <v>0.53062189533800108</v>
      </c>
      <c r="N96" s="35">
        <f t="shared" si="17"/>
        <v>-2.2417828597678655</v>
      </c>
      <c r="O96" s="35">
        <f t="shared" si="18"/>
        <v>9.6060619161061914E-2</v>
      </c>
      <c r="P96" s="36">
        <f t="shared" si="19"/>
        <v>0</v>
      </c>
      <c r="Q96" s="36">
        <f t="shared" si="20"/>
        <v>9.6060619161061914E-2</v>
      </c>
      <c r="R96" s="37">
        <f t="shared" si="21"/>
        <v>9.227642553606575E-3</v>
      </c>
      <c r="T96" s="31">
        <f t="shared" si="22"/>
        <v>1.668245899302033E-2</v>
      </c>
      <c r="U96" s="31">
        <f t="shared" si="23"/>
        <v>8.0075803166497581E-2</v>
      </c>
      <c r="V96" s="31">
        <f t="shared" si="24"/>
        <v>5.672036057626912E-2</v>
      </c>
      <c r="W96" s="31">
        <f t="shared" si="25"/>
        <v>2.6691934388832529E-2</v>
      </c>
      <c r="X96" s="31">
        <f t="shared" si="26"/>
        <v>3.3364917986040661E-3</v>
      </c>
    </row>
    <row r="97" spans="1:24" ht="14.25" customHeight="1" x14ac:dyDescent="0.25">
      <c r="A97" s="41"/>
      <c r="B97" s="38">
        <v>13</v>
      </c>
      <c r="C97" s="32">
        <v>4.8</v>
      </c>
      <c r="D97" s="32">
        <v>3</v>
      </c>
      <c r="E97" s="32">
        <v>1.4</v>
      </c>
      <c r="F97" s="32">
        <v>0.1</v>
      </c>
      <c r="G97" s="39">
        <v>0</v>
      </c>
      <c r="H97">
        <f t="shared" si="16"/>
        <v>1</v>
      </c>
      <c r="I97" s="38">
        <f t="shared" si="27"/>
        <v>0.28025953255125463</v>
      </c>
      <c r="J97" s="40">
        <f t="shared" si="28"/>
        <v>-0.50828291913516377</v>
      </c>
      <c r="K97" s="40">
        <f t="shared" si="29"/>
        <v>-0.25442516263495374</v>
      </c>
      <c r="L97" s="40">
        <f t="shared" si="30"/>
        <v>0.38311033118971416</v>
      </c>
      <c r="M97" s="40">
        <f t="shared" si="31"/>
        <v>0.53028824615814063</v>
      </c>
      <c r="N97" s="35">
        <f t="shared" si="17"/>
        <v>-2.3333906789209782</v>
      </c>
      <c r="O97" s="35">
        <f t="shared" si="18"/>
        <v>8.8395056111959164E-2</v>
      </c>
      <c r="P97" s="36">
        <f t="shared" si="19"/>
        <v>0</v>
      </c>
      <c r="Q97" s="36">
        <f t="shared" si="20"/>
        <v>8.8395056111959164E-2</v>
      </c>
      <c r="R97" s="37">
        <f t="shared" si="21"/>
        <v>7.8136859450364093E-3</v>
      </c>
      <c r="T97" s="31">
        <f t="shared" si="22"/>
        <v>1.4245989474967378E-2</v>
      </c>
      <c r="U97" s="31">
        <f t="shared" si="23"/>
        <v>6.838074947984342E-2</v>
      </c>
      <c r="V97" s="31">
        <f t="shared" si="24"/>
        <v>4.2737968424902135E-2</v>
      </c>
      <c r="W97" s="31">
        <f t="shared" si="25"/>
        <v>1.9944385264954328E-2</v>
      </c>
      <c r="X97" s="31">
        <f t="shared" si="26"/>
        <v>1.424598947496738E-3</v>
      </c>
    </row>
    <row r="98" spans="1:24" ht="14.25" customHeight="1" x14ac:dyDescent="0.25">
      <c r="A98" s="41"/>
      <c r="B98" s="38">
        <v>14</v>
      </c>
      <c r="C98" s="32">
        <v>4.3</v>
      </c>
      <c r="D98" s="32">
        <v>3</v>
      </c>
      <c r="E98" s="32">
        <v>1.1000000000000001</v>
      </c>
      <c r="F98" s="32">
        <v>0.1</v>
      </c>
      <c r="G98" s="39">
        <v>0</v>
      </c>
      <c r="H98">
        <f t="shared" si="16"/>
        <v>1</v>
      </c>
      <c r="I98" s="38">
        <f t="shared" si="27"/>
        <v>0.27883493360375788</v>
      </c>
      <c r="J98" s="40">
        <f t="shared" si="28"/>
        <v>-0.51512099408314815</v>
      </c>
      <c r="K98" s="40">
        <f t="shared" si="29"/>
        <v>-0.25869895947744398</v>
      </c>
      <c r="L98" s="40">
        <f t="shared" si="30"/>
        <v>0.38111589266321871</v>
      </c>
      <c r="M98" s="40">
        <f t="shared" si="31"/>
        <v>0.53014578626339093</v>
      </c>
      <c r="N98" s="35">
        <f t="shared" si="17"/>
        <v>-2.2400401588302317</v>
      </c>
      <c r="O98" s="35">
        <f t="shared" si="18"/>
        <v>9.6212049631292457E-2</v>
      </c>
      <c r="P98" s="36">
        <f t="shared" si="19"/>
        <v>0</v>
      </c>
      <c r="Q98" s="36">
        <f t="shared" si="20"/>
        <v>9.6212049631292457E-2</v>
      </c>
      <c r="R98" s="37">
        <f t="shared" si="21"/>
        <v>9.2567584942542837E-3</v>
      </c>
      <c r="T98" s="31">
        <f t="shared" si="22"/>
        <v>1.6732293573160403E-2</v>
      </c>
      <c r="U98" s="31">
        <f t="shared" si="23"/>
        <v>7.1948862364589736E-2</v>
      </c>
      <c r="V98" s="31">
        <f t="shared" si="24"/>
        <v>5.019688071948121E-2</v>
      </c>
      <c r="W98" s="31">
        <f t="shared" si="25"/>
        <v>1.8405522930476446E-2</v>
      </c>
      <c r="X98" s="31">
        <f t="shared" si="26"/>
        <v>1.6732293573160405E-3</v>
      </c>
    </row>
    <row r="99" spans="1:24" ht="14.25" customHeight="1" x14ac:dyDescent="0.25">
      <c r="A99" s="41"/>
      <c r="B99" s="38">
        <v>15</v>
      </c>
      <c r="C99" s="32">
        <v>5.8</v>
      </c>
      <c r="D99" s="32">
        <v>4</v>
      </c>
      <c r="E99" s="32">
        <v>1.2</v>
      </c>
      <c r="F99" s="32">
        <v>0.2</v>
      </c>
      <c r="G99" s="39">
        <v>0</v>
      </c>
      <c r="H99">
        <f t="shared" si="16"/>
        <v>1</v>
      </c>
      <c r="I99" s="38">
        <f t="shared" si="27"/>
        <v>0.27716170424644182</v>
      </c>
      <c r="J99" s="40">
        <f t="shared" si="28"/>
        <v>-0.52231588031960707</v>
      </c>
      <c r="K99" s="40">
        <f t="shared" si="29"/>
        <v>-0.26371864754939212</v>
      </c>
      <c r="L99" s="40">
        <f t="shared" si="30"/>
        <v>0.37927534037017108</v>
      </c>
      <c r="M99" s="40">
        <f t="shared" si="31"/>
        <v>0.5299784633276593</v>
      </c>
      <c r="N99" s="35">
        <f t="shared" si="17"/>
        <v>-3.2460188906951108</v>
      </c>
      <c r="O99" s="35">
        <f t="shared" si="18"/>
        <v>3.7470206695029061E-2</v>
      </c>
      <c r="P99" s="36">
        <f t="shared" si="19"/>
        <v>0</v>
      </c>
      <c r="Q99" s="36">
        <f t="shared" si="20"/>
        <v>3.7470206695029061E-2</v>
      </c>
      <c r="R99" s="37">
        <f t="shared" si="21"/>
        <v>1.4040163897682007E-3</v>
      </c>
      <c r="T99" s="31">
        <f t="shared" si="22"/>
        <v>2.702815210880755E-3</v>
      </c>
      <c r="U99" s="31">
        <f t="shared" si="23"/>
        <v>1.5676328223108379E-2</v>
      </c>
      <c r="V99" s="31">
        <f t="shared" si="24"/>
        <v>1.081126084352302E-2</v>
      </c>
      <c r="W99" s="31">
        <f t="shared" si="25"/>
        <v>3.243378253056906E-3</v>
      </c>
      <c r="X99" s="31">
        <f t="shared" si="26"/>
        <v>5.4056304217615101E-4</v>
      </c>
    </row>
    <row r="100" spans="1:24" ht="14.25" customHeight="1" x14ac:dyDescent="0.25">
      <c r="A100" s="41"/>
      <c r="B100" s="38">
        <v>16</v>
      </c>
      <c r="C100" s="32">
        <v>5.7</v>
      </c>
      <c r="D100" s="32">
        <v>4.4000000000000004</v>
      </c>
      <c r="E100" s="32">
        <v>1.5</v>
      </c>
      <c r="F100" s="32">
        <v>0.4</v>
      </c>
      <c r="G100" s="39">
        <v>0</v>
      </c>
      <c r="H100">
        <f t="shared" si="16"/>
        <v>1</v>
      </c>
      <c r="I100" s="38">
        <f t="shared" si="27"/>
        <v>0.27689142272535372</v>
      </c>
      <c r="J100" s="40">
        <f t="shared" si="28"/>
        <v>-0.52388351314191794</v>
      </c>
      <c r="K100" s="40">
        <f t="shared" si="29"/>
        <v>-0.26479977363374441</v>
      </c>
      <c r="L100" s="40">
        <f t="shared" si="30"/>
        <v>0.37895100254486541</v>
      </c>
      <c r="M100" s="40">
        <f t="shared" si="31"/>
        <v>0.52992440702344168</v>
      </c>
      <c r="N100" s="35">
        <f t="shared" si="17"/>
        <v>-3.0939673395453791</v>
      </c>
      <c r="O100" s="35">
        <f t="shared" si="18"/>
        <v>4.3356783282811874E-2</v>
      </c>
      <c r="P100" s="36">
        <f t="shared" si="19"/>
        <v>0</v>
      </c>
      <c r="Q100" s="36">
        <f t="shared" si="20"/>
        <v>4.3356783282811874E-2</v>
      </c>
      <c r="R100" s="37">
        <f t="shared" si="21"/>
        <v>1.8798106566327152E-3</v>
      </c>
      <c r="T100" s="31">
        <f t="shared" si="22"/>
        <v>3.5966162267607404E-3</v>
      </c>
      <c r="U100" s="31">
        <f t="shared" si="23"/>
        <v>2.0500712492536221E-2</v>
      </c>
      <c r="V100" s="31">
        <f t="shared" si="24"/>
        <v>1.5825111397747258E-2</v>
      </c>
      <c r="W100" s="31">
        <f t="shared" si="25"/>
        <v>5.3949243401411103E-3</v>
      </c>
      <c r="X100" s="31">
        <f t="shared" si="26"/>
        <v>1.4386464907042962E-3</v>
      </c>
    </row>
    <row r="101" spans="1:24" ht="14.25" customHeight="1" x14ac:dyDescent="0.25">
      <c r="A101" s="41"/>
      <c r="B101" s="38">
        <v>17</v>
      </c>
      <c r="C101" s="32">
        <v>5.4</v>
      </c>
      <c r="D101" s="32">
        <v>3.9</v>
      </c>
      <c r="E101" s="32">
        <v>1.3</v>
      </c>
      <c r="F101" s="32">
        <v>0.4</v>
      </c>
      <c r="G101" s="39">
        <v>0</v>
      </c>
      <c r="H101">
        <f t="shared" si="16"/>
        <v>1</v>
      </c>
      <c r="I101" s="38">
        <f t="shared" si="27"/>
        <v>0.27653176110267763</v>
      </c>
      <c r="J101" s="40">
        <f t="shared" si="28"/>
        <v>-0.52593358439117155</v>
      </c>
      <c r="K101" s="40">
        <f t="shared" si="29"/>
        <v>-0.26638228477351911</v>
      </c>
      <c r="L101" s="40">
        <f t="shared" si="30"/>
        <v>0.37841151011085128</v>
      </c>
      <c r="M101" s="40">
        <f t="shared" si="31"/>
        <v>0.52978054237437122</v>
      </c>
      <c r="N101" s="35">
        <f t="shared" si="17"/>
        <v>-2.898553325132518</v>
      </c>
      <c r="O101" s="35">
        <f t="shared" si="18"/>
        <v>5.2225123731029062E-2</v>
      </c>
      <c r="P101" s="36">
        <f t="shared" si="19"/>
        <v>0</v>
      </c>
      <c r="Q101" s="36">
        <f t="shared" si="20"/>
        <v>5.2225123731029062E-2</v>
      </c>
      <c r="R101" s="37">
        <f t="shared" si="21"/>
        <v>2.7274635487212948E-3</v>
      </c>
      <c r="T101" s="31">
        <f t="shared" si="22"/>
        <v>5.1700428548349074E-3</v>
      </c>
      <c r="U101" s="31">
        <f t="shared" si="23"/>
        <v>2.7918231416108504E-2</v>
      </c>
      <c r="V101" s="31">
        <f t="shared" si="24"/>
        <v>2.0163167133856137E-2</v>
      </c>
      <c r="W101" s="31">
        <f t="shared" si="25"/>
        <v>6.7210557112853796E-3</v>
      </c>
      <c r="X101" s="31">
        <f t="shared" si="26"/>
        <v>2.068017141933963E-3</v>
      </c>
    </row>
    <row r="102" spans="1:24" ht="14.25" customHeight="1" x14ac:dyDescent="0.25">
      <c r="A102" s="41"/>
      <c r="B102" s="38">
        <v>18</v>
      </c>
      <c r="C102" s="32">
        <v>5.0999999999999996</v>
      </c>
      <c r="D102" s="32">
        <v>3.5</v>
      </c>
      <c r="E102" s="32">
        <v>1.4</v>
      </c>
      <c r="F102" s="32">
        <v>0.3</v>
      </c>
      <c r="G102" s="39">
        <v>0</v>
      </c>
      <c r="H102">
        <f t="shared" si="16"/>
        <v>1</v>
      </c>
      <c r="I102" s="38">
        <f t="shared" si="27"/>
        <v>0.27601475681719412</v>
      </c>
      <c r="J102" s="40">
        <f t="shared" si="28"/>
        <v>-0.52872540753278241</v>
      </c>
      <c r="K102" s="40">
        <f t="shared" si="29"/>
        <v>-0.2683986014869047</v>
      </c>
      <c r="L102" s="40">
        <f t="shared" si="30"/>
        <v>0.37773940453972277</v>
      </c>
      <c r="M102" s="40">
        <f t="shared" si="31"/>
        <v>0.52957374066017782</v>
      </c>
      <c r="N102" s="35">
        <f t="shared" si="17"/>
        <v>-2.6721726382504971</v>
      </c>
      <c r="O102" s="35">
        <f t="shared" si="18"/>
        <v>6.4635491486932498E-2</v>
      </c>
      <c r="P102" s="36">
        <f t="shared" si="19"/>
        <v>0</v>
      </c>
      <c r="Q102" s="36">
        <f t="shared" si="20"/>
        <v>6.4635491486932498E-2</v>
      </c>
      <c r="R102" s="37">
        <f t="shared" si="21"/>
        <v>4.1777467597573234E-3</v>
      </c>
      <c r="T102" s="31">
        <f t="shared" si="22"/>
        <v>7.8154320892649381E-3</v>
      </c>
      <c r="U102" s="31">
        <f t="shared" si="23"/>
        <v>3.9858703655251182E-2</v>
      </c>
      <c r="V102" s="31">
        <f t="shared" si="24"/>
        <v>2.7354012312427282E-2</v>
      </c>
      <c r="W102" s="31">
        <f t="shared" si="25"/>
        <v>1.0941604924970913E-2</v>
      </c>
      <c r="X102" s="31">
        <f t="shared" si="26"/>
        <v>2.3446296267794812E-3</v>
      </c>
    </row>
    <row r="103" spans="1:24" ht="14.25" customHeight="1" x14ac:dyDescent="0.25">
      <c r="A103" s="41"/>
      <c r="B103" s="38">
        <v>19</v>
      </c>
      <c r="C103" s="32">
        <v>5.7</v>
      </c>
      <c r="D103" s="32">
        <v>3.8</v>
      </c>
      <c r="E103" s="32">
        <v>1.7</v>
      </c>
      <c r="F103" s="32">
        <v>0.3</v>
      </c>
      <c r="G103" s="39">
        <v>0</v>
      </c>
      <c r="H103">
        <f t="shared" si="16"/>
        <v>1</v>
      </c>
      <c r="I103" s="38">
        <f t="shared" si="27"/>
        <v>0.27523321360826764</v>
      </c>
      <c r="J103" s="40">
        <f t="shared" si="28"/>
        <v>-0.53271127789830752</v>
      </c>
      <c r="K103" s="40">
        <f t="shared" si="29"/>
        <v>-0.27113400271814742</v>
      </c>
      <c r="L103" s="40">
        <f t="shared" si="30"/>
        <v>0.37664524404722566</v>
      </c>
      <c r="M103" s="40">
        <f t="shared" si="31"/>
        <v>0.52933927769749989</v>
      </c>
      <c r="N103" s="35">
        <f t="shared" si="17"/>
        <v>-2.9924315825515118</v>
      </c>
      <c r="O103" s="35">
        <f t="shared" si="18"/>
        <v>4.7768962533282763E-2</v>
      </c>
      <c r="P103" s="36">
        <f t="shared" si="19"/>
        <v>0</v>
      </c>
      <c r="Q103" s="36">
        <f t="shared" si="20"/>
        <v>4.7768962533282763E-2</v>
      </c>
      <c r="R103" s="37">
        <f t="shared" si="21"/>
        <v>2.2818737815061725E-3</v>
      </c>
      <c r="T103" s="31">
        <f t="shared" si="22"/>
        <v>4.345742076663447E-3</v>
      </c>
      <c r="U103" s="31">
        <f t="shared" si="23"/>
        <v>2.4770729836981649E-2</v>
      </c>
      <c r="V103" s="31">
        <f t="shared" si="24"/>
        <v>1.6513819891321099E-2</v>
      </c>
      <c r="W103" s="31">
        <f t="shared" si="25"/>
        <v>7.3877615303278594E-3</v>
      </c>
      <c r="X103" s="31">
        <f t="shared" si="26"/>
        <v>1.3037226229990341E-3</v>
      </c>
    </row>
    <row r="104" spans="1:24" ht="14.25" customHeight="1" x14ac:dyDescent="0.25">
      <c r="A104" s="41"/>
      <c r="B104" s="38">
        <v>20</v>
      </c>
      <c r="C104" s="32">
        <v>5.0999999999999996</v>
      </c>
      <c r="D104" s="32">
        <v>3.8</v>
      </c>
      <c r="E104" s="32">
        <v>1.5</v>
      </c>
      <c r="F104" s="32">
        <v>0.3</v>
      </c>
      <c r="G104" s="39">
        <v>0</v>
      </c>
      <c r="H104">
        <f t="shared" si="16"/>
        <v>1</v>
      </c>
      <c r="I104" s="38">
        <f t="shared" si="27"/>
        <v>0.27479863940060129</v>
      </c>
      <c r="J104" s="40">
        <f t="shared" si="28"/>
        <v>-0.53518835088200567</v>
      </c>
      <c r="K104" s="40">
        <f t="shared" si="29"/>
        <v>-0.27278538470727953</v>
      </c>
      <c r="L104" s="40">
        <f t="shared" si="30"/>
        <v>0.37590646789419285</v>
      </c>
      <c r="M104" s="40">
        <f t="shared" si="31"/>
        <v>0.52920890543519994</v>
      </c>
      <c r="N104" s="35">
        <f t="shared" si="17"/>
        <v>-2.7686240385134404</v>
      </c>
      <c r="O104" s="35">
        <f t="shared" si="18"/>
        <v>5.9043411786513122E-2</v>
      </c>
      <c r="P104" s="36">
        <f t="shared" si="19"/>
        <v>0</v>
      </c>
      <c r="Q104" s="36">
        <f t="shared" si="20"/>
        <v>5.9043411786513122E-2</v>
      </c>
      <c r="R104" s="37">
        <f t="shared" si="21"/>
        <v>3.4861244753917565E-3</v>
      </c>
      <c r="T104" s="31">
        <f t="shared" si="22"/>
        <v>6.5605835849043186E-3</v>
      </c>
      <c r="U104" s="31">
        <f t="shared" si="23"/>
        <v>3.3458976283012025E-2</v>
      </c>
      <c r="V104" s="31">
        <f t="shared" si="24"/>
        <v>2.4930217622636409E-2</v>
      </c>
      <c r="W104" s="31">
        <f t="shared" si="25"/>
        <v>9.8408753773564783E-3</v>
      </c>
      <c r="X104" s="31">
        <f t="shared" si="26"/>
        <v>1.9681750754712954E-3</v>
      </c>
    </row>
    <row r="105" spans="1:24" ht="14.25" customHeight="1" x14ac:dyDescent="0.25">
      <c r="A105" s="41"/>
      <c r="B105" s="38">
        <v>21</v>
      </c>
      <c r="C105" s="32">
        <v>5.4</v>
      </c>
      <c r="D105" s="32">
        <v>3.4</v>
      </c>
      <c r="E105" s="32">
        <v>1.7</v>
      </c>
      <c r="F105" s="32">
        <v>0.2</v>
      </c>
      <c r="G105" s="39">
        <v>0</v>
      </c>
      <c r="H105">
        <f t="shared" si="16"/>
        <v>1</v>
      </c>
      <c r="I105" s="38">
        <f t="shared" si="27"/>
        <v>0.27414258104211087</v>
      </c>
      <c r="J105" s="40">
        <f t="shared" si="28"/>
        <v>-0.53853424851030685</v>
      </c>
      <c r="K105" s="40">
        <f t="shared" si="29"/>
        <v>-0.27527840646954316</v>
      </c>
      <c r="L105" s="40">
        <f t="shared" si="30"/>
        <v>0.3749223803564572</v>
      </c>
      <c r="M105" s="40">
        <f t="shared" si="31"/>
        <v>0.52901208792765286</v>
      </c>
      <c r="N105" s="35">
        <f t="shared" si="17"/>
        <v>-2.8267184787184854</v>
      </c>
      <c r="O105" s="35">
        <f t="shared" si="18"/>
        <v>5.5897320867661839E-2</v>
      </c>
      <c r="P105" s="36">
        <f t="shared" si="19"/>
        <v>0</v>
      </c>
      <c r="Q105" s="36">
        <f t="shared" si="20"/>
        <v>5.5897320867661839E-2</v>
      </c>
      <c r="R105" s="37">
        <f t="shared" si="21"/>
        <v>3.1245104801823436E-3</v>
      </c>
      <c r="T105" s="31">
        <f t="shared" si="22"/>
        <v>5.8997174306344383E-3</v>
      </c>
      <c r="U105" s="31">
        <f t="shared" si="23"/>
        <v>3.1858474125425966E-2</v>
      </c>
      <c r="V105" s="31">
        <f t="shared" si="24"/>
        <v>2.0059039264157089E-2</v>
      </c>
      <c r="W105" s="31">
        <f t="shared" si="25"/>
        <v>1.0029519632078545E-2</v>
      </c>
      <c r="X105" s="31">
        <f t="shared" si="26"/>
        <v>1.1799434861268878E-3</v>
      </c>
    </row>
    <row r="106" spans="1:24" ht="14.25" customHeight="1" x14ac:dyDescent="0.25">
      <c r="A106" s="41"/>
      <c r="B106" s="38">
        <v>22</v>
      </c>
      <c r="C106" s="32">
        <v>5.0999999999999996</v>
      </c>
      <c r="D106" s="32">
        <v>3.7</v>
      </c>
      <c r="E106" s="32">
        <v>1.5</v>
      </c>
      <c r="F106" s="32">
        <v>0.4</v>
      </c>
      <c r="G106" s="39">
        <v>0</v>
      </c>
      <c r="H106">
        <f t="shared" si="16"/>
        <v>1</v>
      </c>
      <c r="I106" s="38">
        <f t="shared" si="27"/>
        <v>0.2735526092990474</v>
      </c>
      <c r="J106" s="40">
        <f t="shared" si="28"/>
        <v>-0.54172009592284942</v>
      </c>
      <c r="K106" s="40">
        <f t="shared" si="29"/>
        <v>-0.27728431039595886</v>
      </c>
      <c r="L106" s="40">
        <f t="shared" si="30"/>
        <v>0.37391942839324932</v>
      </c>
      <c r="M106" s="40">
        <f t="shared" si="31"/>
        <v>0.52889409357904016</v>
      </c>
      <c r="N106" s="35">
        <f t="shared" si="17"/>
        <v>-2.7427350483510424</v>
      </c>
      <c r="O106" s="35">
        <f t="shared" si="18"/>
        <v>6.0498261037700729E-2</v>
      </c>
      <c r="P106" s="36">
        <f t="shared" si="19"/>
        <v>0</v>
      </c>
      <c r="Q106" s="36">
        <f t="shared" si="20"/>
        <v>6.0498261037700729E-2</v>
      </c>
      <c r="R106" s="37">
        <f t="shared" si="21"/>
        <v>3.6600395885857781E-3</v>
      </c>
      <c r="T106" s="31">
        <f t="shared" si="22"/>
        <v>6.877227116294393E-3</v>
      </c>
      <c r="U106" s="31">
        <f t="shared" si="23"/>
        <v>3.5073858293101404E-2</v>
      </c>
      <c r="V106" s="31">
        <f t="shared" si="24"/>
        <v>2.5445740330289256E-2</v>
      </c>
      <c r="W106" s="31">
        <f t="shared" si="25"/>
        <v>1.0315840674441589E-2</v>
      </c>
      <c r="X106" s="31">
        <f t="shared" si="26"/>
        <v>2.7508908465177576E-3</v>
      </c>
    </row>
    <row r="107" spans="1:24" ht="14.25" customHeight="1" x14ac:dyDescent="0.25">
      <c r="A107" s="41"/>
      <c r="B107" s="38">
        <v>23</v>
      </c>
      <c r="C107" s="32">
        <v>4.5999999999999996</v>
      </c>
      <c r="D107" s="32">
        <v>3.6</v>
      </c>
      <c r="E107" s="32">
        <v>1</v>
      </c>
      <c r="F107" s="32">
        <v>0.2</v>
      </c>
      <c r="G107" s="39">
        <v>0</v>
      </c>
      <c r="H107">
        <f t="shared" si="16"/>
        <v>1</v>
      </c>
      <c r="I107" s="38">
        <f t="shared" si="27"/>
        <v>0.27286488658741798</v>
      </c>
      <c r="J107" s="40">
        <f t="shared" si="28"/>
        <v>-0.54522748175215952</v>
      </c>
      <c r="K107" s="40">
        <f t="shared" si="29"/>
        <v>-0.27982888442898779</v>
      </c>
      <c r="L107" s="40">
        <f t="shared" si="30"/>
        <v>0.37288784432580518</v>
      </c>
      <c r="M107" s="40">
        <f t="shared" si="31"/>
        <v>0.52861900449438837</v>
      </c>
      <c r="N107" s="35">
        <f t="shared" si="17"/>
        <v>-2.7639538681921887</v>
      </c>
      <c r="O107" s="35">
        <f t="shared" si="18"/>
        <v>5.9303408731012072E-2</v>
      </c>
      <c r="P107" s="36">
        <f t="shared" si="19"/>
        <v>0</v>
      </c>
      <c r="Q107" s="36">
        <f t="shared" si="20"/>
        <v>5.9303408731012072E-2</v>
      </c>
      <c r="R107" s="37">
        <f t="shared" si="21"/>
        <v>3.5168942871174787E-3</v>
      </c>
      <c r="T107" s="31">
        <f t="shared" si="22"/>
        <v>6.6166609354895798E-3</v>
      </c>
      <c r="U107" s="31">
        <f t="shared" si="23"/>
        <v>3.0436640303252063E-2</v>
      </c>
      <c r="V107" s="31">
        <f t="shared" si="24"/>
        <v>2.3819979367762489E-2</v>
      </c>
      <c r="W107" s="31">
        <f t="shared" si="25"/>
        <v>6.6166609354895798E-3</v>
      </c>
      <c r="X107" s="31">
        <f t="shared" si="26"/>
        <v>1.3233321870979161E-3</v>
      </c>
    </row>
    <row r="108" spans="1:24" ht="14.25" customHeight="1" x14ac:dyDescent="0.25">
      <c r="A108" s="41"/>
      <c r="B108" s="38">
        <v>24</v>
      </c>
      <c r="C108" s="32">
        <v>5.0999999999999996</v>
      </c>
      <c r="D108" s="32">
        <v>3.3</v>
      </c>
      <c r="E108" s="32">
        <v>1.7</v>
      </c>
      <c r="F108" s="32">
        <v>0.5</v>
      </c>
      <c r="G108" s="39">
        <v>0</v>
      </c>
      <c r="H108">
        <f t="shared" si="16"/>
        <v>1</v>
      </c>
      <c r="I108" s="38">
        <f t="shared" si="27"/>
        <v>0.27220322049386902</v>
      </c>
      <c r="J108" s="40">
        <f t="shared" si="28"/>
        <v>-0.5482711457824847</v>
      </c>
      <c r="K108" s="40">
        <f t="shared" si="29"/>
        <v>-0.28221088236576403</v>
      </c>
      <c r="L108" s="40">
        <f t="shared" si="30"/>
        <v>0.37222617823225623</v>
      </c>
      <c r="M108" s="40">
        <f t="shared" si="31"/>
        <v>0.52848667127567861</v>
      </c>
      <c r="N108" s="35">
        <f t="shared" si="17"/>
        <v>-2.5582476961711489</v>
      </c>
      <c r="O108" s="35">
        <f t="shared" si="18"/>
        <v>7.1874348035971133E-2</v>
      </c>
      <c r="P108" s="36">
        <f t="shared" si="19"/>
        <v>0</v>
      </c>
      <c r="Q108" s="36">
        <f t="shared" si="20"/>
        <v>7.1874348035971133E-2</v>
      </c>
      <c r="R108" s="37">
        <f t="shared" si="21"/>
        <v>5.1659219055959077E-3</v>
      </c>
      <c r="T108" s="31">
        <f t="shared" si="22"/>
        <v>9.5892492732529196E-3</v>
      </c>
      <c r="U108" s="31">
        <f t="shared" si="23"/>
        <v>4.8905171293589886E-2</v>
      </c>
      <c r="V108" s="31">
        <f t="shared" si="24"/>
        <v>3.1644522601734636E-2</v>
      </c>
      <c r="W108" s="31">
        <f t="shared" si="25"/>
        <v>1.6301723764529964E-2</v>
      </c>
      <c r="X108" s="31">
        <f t="shared" si="26"/>
        <v>4.7946246366264598E-3</v>
      </c>
    </row>
    <row r="109" spans="1:24" ht="14.25" customHeight="1" x14ac:dyDescent="0.25">
      <c r="A109" s="41"/>
      <c r="B109" s="38">
        <v>25</v>
      </c>
      <c r="C109" s="32">
        <v>4.8</v>
      </c>
      <c r="D109" s="32">
        <v>3.4</v>
      </c>
      <c r="E109" s="32">
        <v>1.9</v>
      </c>
      <c r="F109" s="32">
        <v>0.2</v>
      </c>
      <c r="G109" s="39">
        <v>0</v>
      </c>
      <c r="H109">
        <f t="shared" si="16"/>
        <v>1</v>
      </c>
      <c r="I109" s="38">
        <f t="shared" si="27"/>
        <v>0.27124429556654372</v>
      </c>
      <c r="J109" s="40">
        <f t="shared" si="28"/>
        <v>-0.55316166291184365</v>
      </c>
      <c r="K109" s="40">
        <f t="shared" si="29"/>
        <v>-0.2853753346259375</v>
      </c>
      <c r="L109" s="40">
        <f t="shared" si="30"/>
        <v>0.37059600585580321</v>
      </c>
      <c r="M109" s="40">
        <f t="shared" si="31"/>
        <v>0.52800720881201602</v>
      </c>
      <c r="N109" s="35">
        <f t="shared" si="17"/>
        <v>-2.5444739712500639</v>
      </c>
      <c r="O109" s="35">
        <f t="shared" si="18"/>
        <v>7.2798607185142791E-2</v>
      </c>
      <c r="P109" s="36">
        <f t="shared" si="19"/>
        <v>0</v>
      </c>
      <c r="Q109" s="36">
        <f t="shared" si="20"/>
        <v>7.2798607185142791E-2</v>
      </c>
      <c r="R109" s="37">
        <f t="shared" si="21"/>
        <v>5.2996372080967233E-3</v>
      </c>
      <c r="T109" s="31">
        <f t="shared" si="22"/>
        <v>9.8276620015214471E-3</v>
      </c>
      <c r="U109" s="31">
        <f t="shared" si="23"/>
        <v>4.7172777607302943E-2</v>
      </c>
      <c r="V109" s="31">
        <f t="shared" si="24"/>
        <v>3.3414050805172922E-2</v>
      </c>
      <c r="W109" s="31">
        <f t="shared" si="25"/>
        <v>1.867255780289075E-2</v>
      </c>
      <c r="X109" s="31">
        <f t="shared" si="26"/>
        <v>1.9655324003042896E-3</v>
      </c>
    </row>
    <row r="110" spans="1:24" ht="14.25" customHeight="1" x14ac:dyDescent="0.25">
      <c r="A110" s="41"/>
      <c r="B110" s="38">
        <v>26</v>
      </c>
      <c r="C110" s="32">
        <v>5</v>
      </c>
      <c r="D110" s="32">
        <v>3</v>
      </c>
      <c r="E110" s="32">
        <v>1.6</v>
      </c>
      <c r="F110" s="32">
        <v>0.2</v>
      </c>
      <c r="G110" s="39">
        <v>0</v>
      </c>
      <c r="H110">
        <f t="shared" si="16"/>
        <v>1</v>
      </c>
      <c r="I110" s="38">
        <f t="shared" si="27"/>
        <v>0.27026152936639158</v>
      </c>
      <c r="J110" s="40">
        <f t="shared" si="28"/>
        <v>-0.55787894067257393</v>
      </c>
      <c r="K110" s="40">
        <f t="shared" si="29"/>
        <v>-0.28871673970645478</v>
      </c>
      <c r="L110" s="40">
        <f t="shared" si="30"/>
        <v>0.36872875007551414</v>
      </c>
      <c r="M110" s="40">
        <f t="shared" si="31"/>
        <v>0.52781065557198559</v>
      </c>
      <c r="N110" s="35">
        <f t="shared" si="17"/>
        <v>-2.6897552618806224</v>
      </c>
      <c r="O110" s="35">
        <f t="shared" si="18"/>
        <v>6.3580588020670584E-2</v>
      </c>
      <c r="P110" s="36">
        <f t="shared" si="19"/>
        <v>0</v>
      </c>
      <c r="Q110" s="36">
        <f t="shared" si="20"/>
        <v>6.3580588020670584E-2</v>
      </c>
      <c r="R110" s="37">
        <f t="shared" si="21"/>
        <v>4.0424911730542398E-3</v>
      </c>
      <c r="T110" s="31">
        <f t="shared" si="22"/>
        <v>7.5709344144061618E-3</v>
      </c>
      <c r="U110" s="31">
        <f t="shared" si="23"/>
        <v>3.7854672072030811E-2</v>
      </c>
      <c r="V110" s="31">
        <f t="shared" si="24"/>
        <v>2.2712803243218484E-2</v>
      </c>
      <c r="W110" s="31">
        <f t="shared" si="25"/>
        <v>1.2113495063049859E-2</v>
      </c>
      <c r="X110" s="31">
        <f t="shared" si="26"/>
        <v>1.5141868828812324E-3</v>
      </c>
    </row>
    <row r="111" spans="1:24" ht="14.25" customHeight="1" x14ac:dyDescent="0.25">
      <c r="A111" s="41"/>
      <c r="B111" s="38">
        <v>27</v>
      </c>
      <c r="C111" s="32">
        <v>5</v>
      </c>
      <c r="D111" s="32">
        <v>3.4</v>
      </c>
      <c r="E111" s="32">
        <v>1.6</v>
      </c>
      <c r="F111" s="32">
        <v>0.4</v>
      </c>
      <c r="G111" s="39">
        <v>0</v>
      </c>
      <c r="H111">
        <f t="shared" si="16"/>
        <v>1</v>
      </c>
      <c r="I111" s="38">
        <f t="shared" si="27"/>
        <v>0.26950443592495099</v>
      </c>
      <c r="J111" s="40">
        <f t="shared" si="28"/>
        <v>-0.56166440787977701</v>
      </c>
      <c r="K111" s="40">
        <f t="shared" si="29"/>
        <v>-0.29098802003077662</v>
      </c>
      <c r="L111" s="40">
        <f t="shared" si="30"/>
        <v>0.36751740056920917</v>
      </c>
      <c r="M111" s="40">
        <f t="shared" si="31"/>
        <v>0.52765923688369742</v>
      </c>
      <c r="N111" s="35">
        <f t="shared" si="17"/>
        <v>-2.7290853359143608</v>
      </c>
      <c r="O111" s="35">
        <f t="shared" si="18"/>
        <v>6.1278756546815402E-2</v>
      </c>
      <c r="P111" s="36">
        <f t="shared" si="19"/>
        <v>0</v>
      </c>
      <c r="Q111" s="36">
        <f t="shared" si="20"/>
        <v>6.1278756546815402E-2</v>
      </c>
      <c r="R111" s="37">
        <f t="shared" si="21"/>
        <v>3.7550860039238716E-3</v>
      </c>
      <c r="T111" s="31">
        <f t="shared" si="22"/>
        <v>7.0499580057541344E-3</v>
      </c>
      <c r="U111" s="31">
        <f t="shared" si="23"/>
        <v>3.5249790028770669E-2</v>
      </c>
      <c r="V111" s="31">
        <f t="shared" si="24"/>
        <v>2.3969857219564055E-2</v>
      </c>
      <c r="W111" s="31">
        <f t="shared" si="25"/>
        <v>1.1279932809206616E-2</v>
      </c>
      <c r="X111" s="31">
        <f t="shared" si="26"/>
        <v>2.819983202301654E-3</v>
      </c>
    </row>
    <row r="112" spans="1:24" ht="14.25" customHeight="1" x14ac:dyDescent="0.25">
      <c r="A112" s="41"/>
      <c r="B112" s="38">
        <v>28</v>
      </c>
      <c r="C112" s="32">
        <v>5.2</v>
      </c>
      <c r="D112" s="32">
        <v>3.5</v>
      </c>
      <c r="E112" s="32">
        <v>1.5</v>
      </c>
      <c r="F112" s="32">
        <v>0.2</v>
      </c>
      <c r="G112" s="39">
        <v>0</v>
      </c>
      <c r="H112">
        <f t="shared" si="16"/>
        <v>1</v>
      </c>
      <c r="I112" s="38">
        <f t="shared" si="27"/>
        <v>0.26879944012437557</v>
      </c>
      <c r="J112" s="40">
        <f t="shared" si="28"/>
        <v>-0.56518938688265408</v>
      </c>
      <c r="K112" s="40">
        <f t="shared" si="29"/>
        <v>-0.29338500575273302</v>
      </c>
      <c r="L112" s="40">
        <f t="shared" si="30"/>
        <v>0.3663894072882885</v>
      </c>
      <c r="M112" s="40">
        <f t="shared" si="31"/>
        <v>0.5273772385634673</v>
      </c>
      <c r="N112" s="35">
        <f t="shared" si="17"/>
        <v>-3.0419733331548651</v>
      </c>
      <c r="O112" s="35">
        <f t="shared" si="18"/>
        <v>4.5565275340024358E-2</v>
      </c>
      <c r="P112" s="36">
        <f t="shared" si="19"/>
        <v>0</v>
      </c>
      <c r="Q112" s="36">
        <f t="shared" si="20"/>
        <v>4.5565275340024358E-2</v>
      </c>
      <c r="R112" s="37">
        <f t="shared" si="21"/>
        <v>2.0761943168122318E-3</v>
      </c>
      <c r="T112" s="31">
        <f t="shared" si="22"/>
        <v>3.9631839022145777E-3</v>
      </c>
      <c r="U112" s="31">
        <f t="shared" si="23"/>
        <v>2.0608556291515805E-2</v>
      </c>
      <c r="V112" s="31">
        <f t="shared" si="24"/>
        <v>1.3871143657751023E-2</v>
      </c>
      <c r="W112" s="31">
        <f t="shared" si="25"/>
        <v>5.9447758533218665E-3</v>
      </c>
      <c r="X112" s="31">
        <f t="shared" si="26"/>
        <v>7.9263678044291558E-4</v>
      </c>
    </row>
    <row r="113" spans="1:24" ht="14.25" customHeight="1" x14ac:dyDescent="0.25">
      <c r="A113" s="41"/>
      <c r="B113" s="38">
        <v>29</v>
      </c>
      <c r="C113" s="32">
        <v>5.2</v>
      </c>
      <c r="D113" s="32">
        <v>3.4</v>
      </c>
      <c r="E113" s="32">
        <v>1.4</v>
      </c>
      <c r="F113" s="32">
        <v>0.2</v>
      </c>
      <c r="G113" s="39">
        <v>0</v>
      </c>
      <c r="H113">
        <f t="shared" si="16"/>
        <v>1</v>
      </c>
      <c r="I113" s="38">
        <f t="shared" si="27"/>
        <v>0.26840312173415409</v>
      </c>
      <c r="J113" s="40">
        <f t="shared" si="28"/>
        <v>-0.56725024251180567</v>
      </c>
      <c r="K113" s="40">
        <f t="shared" si="29"/>
        <v>-0.29477212011850812</v>
      </c>
      <c r="L113" s="40">
        <f t="shared" si="30"/>
        <v>0.3657949297029563</v>
      </c>
      <c r="M113" s="40">
        <f t="shared" si="31"/>
        <v>0.52729797488542296</v>
      </c>
      <c r="N113" s="35">
        <f t="shared" si="17"/>
        <v>-3.0659508511689393</v>
      </c>
      <c r="O113" s="35">
        <f t="shared" si="18"/>
        <v>4.4533803672733102E-2</v>
      </c>
      <c r="P113" s="36">
        <f t="shared" si="19"/>
        <v>0</v>
      </c>
      <c r="Q113" s="36">
        <f t="shared" si="20"/>
        <v>4.4533803672733102E-2</v>
      </c>
      <c r="R113" s="37">
        <f t="shared" si="21"/>
        <v>1.9832596695615362E-3</v>
      </c>
      <c r="T113" s="31">
        <f t="shared" si="22"/>
        <v>3.7898751456104671E-3</v>
      </c>
      <c r="U113" s="31">
        <f t="shared" si="23"/>
        <v>1.9707350757174429E-2</v>
      </c>
      <c r="V113" s="31">
        <f t="shared" si="24"/>
        <v>1.2885575495075588E-2</v>
      </c>
      <c r="W113" s="31">
        <f t="shared" si="25"/>
        <v>5.3058252038546538E-3</v>
      </c>
      <c r="X113" s="31">
        <f t="shared" si="26"/>
        <v>7.5797502912209344E-4</v>
      </c>
    </row>
    <row r="114" spans="1:24" ht="14.25" customHeight="1" x14ac:dyDescent="0.25">
      <c r="A114" s="41"/>
      <c r="B114" s="38">
        <v>30</v>
      </c>
      <c r="C114" s="32">
        <v>4.7</v>
      </c>
      <c r="D114" s="32">
        <v>3.2</v>
      </c>
      <c r="E114" s="32">
        <v>1.6</v>
      </c>
      <c r="F114" s="32">
        <v>0.2</v>
      </c>
      <c r="G114" s="39">
        <v>0</v>
      </c>
      <c r="H114">
        <f t="shared" si="16"/>
        <v>1</v>
      </c>
      <c r="I114" s="38">
        <f t="shared" si="27"/>
        <v>0.26802413421959304</v>
      </c>
      <c r="J114" s="40">
        <f t="shared" si="28"/>
        <v>-0.5692209775875231</v>
      </c>
      <c r="K114" s="40">
        <f t="shared" si="29"/>
        <v>-0.29606067766801569</v>
      </c>
      <c r="L114" s="40">
        <f t="shared" si="30"/>
        <v>0.36526434718257084</v>
      </c>
      <c r="M114" s="40">
        <f t="shared" si="31"/>
        <v>0.52722217738251076</v>
      </c>
      <c r="N114" s="35">
        <f t="shared" si="17"/>
        <v>-2.6648412380108004</v>
      </c>
      <c r="O114" s="35">
        <f t="shared" si="18"/>
        <v>6.5080148690297573E-2</v>
      </c>
      <c r="P114" s="36">
        <f t="shared" si="19"/>
        <v>0</v>
      </c>
      <c r="Q114" s="36">
        <f t="shared" si="20"/>
        <v>6.5080148690297573E-2</v>
      </c>
      <c r="R114" s="37">
        <f t="shared" si="21"/>
        <v>4.2354257535512406E-3</v>
      </c>
      <c r="T114" s="31">
        <f t="shared" si="22"/>
        <v>7.9195672314868217E-3</v>
      </c>
      <c r="U114" s="31">
        <f t="shared" si="23"/>
        <v>3.7221965987988062E-2</v>
      </c>
      <c r="V114" s="31">
        <f t="shared" si="24"/>
        <v>2.5342615140757831E-2</v>
      </c>
      <c r="W114" s="31">
        <f t="shared" si="25"/>
        <v>1.2671307570378916E-2</v>
      </c>
      <c r="X114" s="31">
        <f t="shared" si="26"/>
        <v>1.5839134462973645E-3</v>
      </c>
    </row>
    <row r="115" spans="1:24" ht="14.25" customHeight="1" x14ac:dyDescent="0.25">
      <c r="A115" s="41"/>
      <c r="B115" s="38">
        <v>31</v>
      </c>
      <c r="C115" s="32">
        <v>4.8</v>
      </c>
      <c r="D115" s="32">
        <v>3.1</v>
      </c>
      <c r="E115" s="32">
        <v>1.6</v>
      </c>
      <c r="F115" s="32">
        <v>0.2</v>
      </c>
      <c r="G115" s="39">
        <v>0</v>
      </c>
      <c r="H115">
        <f t="shared" si="16"/>
        <v>1</v>
      </c>
      <c r="I115" s="38">
        <f t="shared" si="27"/>
        <v>0.26723217749644435</v>
      </c>
      <c r="J115" s="40">
        <f t="shared" si="28"/>
        <v>-0.5729431741863219</v>
      </c>
      <c r="K115" s="40">
        <f t="shared" si="29"/>
        <v>-0.29859493918209146</v>
      </c>
      <c r="L115" s="40">
        <f t="shared" si="30"/>
        <v>0.36399721642553295</v>
      </c>
      <c r="M115" s="40">
        <f t="shared" si="31"/>
        <v>0.52706378603788107</v>
      </c>
      <c r="N115" s="35">
        <f t="shared" si="17"/>
        <v>-2.7207310665739559</v>
      </c>
      <c r="O115" s="35">
        <f t="shared" si="18"/>
        <v>6.1761089824385558E-2</v>
      </c>
      <c r="P115" s="36">
        <f t="shared" si="19"/>
        <v>0</v>
      </c>
      <c r="Q115" s="36">
        <f t="shared" si="20"/>
        <v>6.1761089824385558E-2</v>
      </c>
      <c r="R115" s="37">
        <f t="shared" si="21"/>
        <v>3.8144322162958215E-3</v>
      </c>
      <c r="T115" s="31">
        <f t="shared" si="22"/>
        <v>7.1576974511122901E-3</v>
      </c>
      <c r="U115" s="31">
        <f t="shared" si="23"/>
        <v>3.4356947765338992E-2</v>
      </c>
      <c r="V115" s="31">
        <f t="shared" si="24"/>
        <v>2.2188862098448101E-2</v>
      </c>
      <c r="W115" s="31">
        <f t="shared" si="25"/>
        <v>1.1452315921779664E-2</v>
      </c>
      <c r="X115" s="31">
        <f t="shared" si="26"/>
        <v>1.431539490222458E-3</v>
      </c>
    </row>
    <row r="116" spans="1:24" ht="14.25" customHeight="1" x14ac:dyDescent="0.25">
      <c r="A116" s="41"/>
      <c r="B116" s="38">
        <v>32</v>
      </c>
      <c r="C116" s="32">
        <v>5.4</v>
      </c>
      <c r="D116" s="32">
        <v>3.4</v>
      </c>
      <c r="E116" s="32">
        <v>1.5</v>
      </c>
      <c r="F116" s="32">
        <v>0.4</v>
      </c>
      <c r="G116" s="39">
        <v>0</v>
      </c>
      <c r="H116">
        <f t="shared" si="16"/>
        <v>1</v>
      </c>
      <c r="I116" s="38">
        <f t="shared" si="27"/>
        <v>0.26651640775133312</v>
      </c>
      <c r="J116" s="40">
        <f t="shared" si="28"/>
        <v>-0.57637886896285584</v>
      </c>
      <c r="K116" s="40">
        <f t="shared" si="29"/>
        <v>-0.30081382539193624</v>
      </c>
      <c r="L116" s="40">
        <f t="shared" si="30"/>
        <v>0.36285198483335501</v>
      </c>
      <c r="M116" s="40">
        <f t="shared" si="31"/>
        <v>0.52692063208885886</v>
      </c>
      <c r="N116" s="35">
        <f t="shared" si="17"/>
        <v>-3.113650260895096</v>
      </c>
      <c r="O116" s="35">
        <f t="shared" si="18"/>
        <v>4.2547693570908721E-2</v>
      </c>
      <c r="P116" s="36">
        <f t="shared" si="19"/>
        <v>0</v>
      </c>
      <c r="Q116" s="36">
        <f t="shared" si="20"/>
        <v>4.2547693570908721E-2</v>
      </c>
      <c r="R116" s="37">
        <f t="shared" si="21"/>
        <v>1.8103062282039473E-3</v>
      </c>
      <c r="T116" s="31">
        <f t="shared" si="22"/>
        <v>3.4665637470736362E-3</v>
      </c>
      <c r="U116" s="31">
        <f t="shared" si="23"/>
        <v>1.8719444234197635E-2</v>
      </c>
      <c r="V116" s="31">
        <f t="shared" si="24"/>
        <v>1.1786316740050363E-2</v>
      </c>
      <c r="W116" s="31">
        <f t="shared" si="25"/>
        <v>5.1998456206104543E-3</v>
      </c>
      <c r="X116" s="31">
        <f t="shared" si="26"/>
        <v>1.3866254988294546E-3</v>
      </c>
    </row>
    <row r="117" spans="1:24" ht="14.25" customHeight="1" x14ac:dyDescent="0.25">
      <c r="A117" s="41"/>
      <c r="B117" s="38">
        <v>33</v>
      </c>
      <c r="C117" s="32">
        <v>5.2</v>
      </c>
      <c r="D117" s="32">
        <v>4.0999999999999996</v>
      </c>
      <c r="E117" s="32">
        <v>1.5</v>
      </c>
      <c r="F117" s="32">
        <v>0.1</v>
      </c>
      <c r="G117" s="39">
        <v>0</v>
      </c>
      <c r="H117">
        <f t="shared" si="16"/>
        <v>1</v>
      </c>
      <c r="I117" s="38">
        <f t="shared" si="27"/>
        <v>0.26616975137662574</v>
      </c>
      <c r="J117" s="40">
        <f t="shared" si="28"/>
        <v>-0.5782508133862756</v>
      </c>
      <c r="K117" s="40">
        <f t="shared" si="29"/>
        <v>-0.3019924570659413</v>
      </c>
      <c r="L117" s="40">
        <f t="shared" si="30"/>
        <v>0.36233200027129397</v>
      </c>
      <c r="M117" s="40">
        <f t="shared" si="31"/>
        <v>0.52678196953897594</v>
      </c>
      <c r="N117" s="35">
        <f t="shared" si="17"/>
        <v>-3.3827273548415282</v>
      </c>
      <c r="O117" s="35">
        <f t="shared" si="18"/>
        <v>3.2839660233530306E-2</v>
      </c>
      <c r="P117" s="36">
        <f t="shared" si="19"/>
        <v>0</v>
      </c>
      <c r="Q117" s="36">
        <f t="shared" si="20"/>
        <v>3.2839660233530306E-2</v>
      </c>
      <c r="R117" s="37">
        <f t="shared" si="21"/>
        <v>1.0784432842537118E-3</v>
      </c>
      <c r="T117" s="31">
        <f t="shared" si="22"/>
        <v>2.0860551464353745E-3</v>
      </c>
      <c r="U117" s="31">
        <f t="shared" si="23"/>
        <v>1.0847486761463947E-2</v>
      </c>
      <c r="V117" s="31">
        <f t="shared" si="24"/>
        <v>8.5528261003850348E-3</v>
      </c>
      <c r="W117" s="31">
        <f t="shared" si="25"/>
        <v>3.129082719653062E-3</v>
      </c>
      <c r="X117" s="31">
        <f t="shared" si="26"/>
        <v>2.0860551464353747E-4</v>
      </c>
    </row>
    <row r="118" spans="1:24" ht="14.25" customHeight="1" x14ac:dyDescent="0.25">
      <c r="A118" s="41"/>
      <c r="B118" s="38">
        <v>34</v>
      </c>
      <c r="C118" s="32">
        <v>5.5</v>
      </c>
      <c r="D118" s="32">
        <v>4.2</v>
      </c>
      <c r="E118" s="32">
        <v>1.4</v>
      </c>
      <c r="F118" s="32">
        <v>0.2</v>
      </c>
      <c r="G118" s="39">
        <v>0</v>
      </c>
      <c r="H118">
        <f t="shared" si="16"/>
        <v>1</v>
      </c>
      <c r="I118" s="38">
        <f t="shared" si="27"/>
        <v>0.26596114586198222</v>
      </c>
      <c r="J118" s="40">
        <f t="shared" si="28"/>
        <v>-0.57933556206242198</v>
      </c>
      <c r="K118" s="40">
        <f t="shared" si="29"/>
        <v>-0.30284773967597978</v>
      </c>
      <c r="L118" s="40">
        <f t="shared" si="30"/>
        <v>0.36201909199932869</v>
      </c>
      <c r="M118" s="40">
        <f t="shared" si="31"/>
        <v>0.52676110898751161</v>
      </c>
      <c r="N118" s="35">
        <f t="shared" si="17"/>
        <v>-3.5801660015238914</v>
      </c>
      <c r="O118" s="35">
        <f t="shared" si="18"/>
        <v>2.7115337721819163E-2</v>
      </c>
      <c r="P118" s="36">
        <f t="shared" si="19"/>
        <v>0</v>
      </c>
      <c r="Q118" s="36">
        <f t="shared" si="20"/>
        <v>2.7115337721819163E-2</v>
      </c>
      <c r="R118" s="37">
        <f t="shared" si="21"/>
        <v>7.3524153976830924E-4</v>
      </c>
      <c r="T118" s="31">
        <f t="shared" si="22"/>
        <v>1.4306104342207623E-3</v>
      </c>
      <c r="U118" s="31">
        <f t="shared" si="23"/>
        <v>7.8683573882141929E-3</v>
      </c>
      <c r="V118" s="31">
        <f t="shared" si="24"/>
        <v>6.0085638237272017E-3</v>
      </c>
      <c r="W118" s="31">
        <f t="shared" si="25"/>
        <v>2.0028546079090674E-3</v>
      </c>
      <c r="X118" s="31">
        <f t="shared" si="26"/>
        <v>2.8612208684415246E-4</v>
      </c>
    </row>
    <row r="119" spans="1:24" ht="14.25" customHeight="1" x14ac:dyDescent="0.25">
      <c r="A119" s="41"/>
      <c r="B119" s="38">
        <v>35</v>
      </c>
      <c r="C119" s="32">
        <v>4.9000000000000004</v>
      </c>
      <c r="D119" s="32">
        <v>3.1</v>
      </c>
      <c r="E119" s="32">
        <v>1.5</v>
      </c>
      <c r="F119" s="32">
        <v>0.1</v>
      </c>
      <c r="G119" s="39">
        <v>0</v>
      </c>
      <c r="H119">
        <f t="shared" si="16"/>
        <v>1</v>
      </c>
      <c r="I119" s="38">
        <f t="shared" si="27"/>
        <v>0.26581808481856012</v>
      </c>
      <c r="J119" s="40">
        <f t="shared" si="28"/>
        <v>-0.58012239780124342</v>
      </c>
      <c r="K119" s="40">
        <f t="shared" si="29"/>
        <v>-0.3034485960583525</v>
      </c>
      <c r="L119" s="40">
        <f t="shared" si="30"/>
        <v>0.36181880653853776</v>
      </c>
      <c r="M119" s="40">
        <f t="shared" si="31"/>
        <v>0.52673249677882716</v>
      </c>
      <c r="N119" s="35">
        <f t="shared" si="17"/>
        <v>-2.9220708527027366</v>
      </c>
      <c r="O119" s="35">
        <f t="shared" si="18"/>
        <v>5.107324416666318E-2</v>
      </c>
      <c r="P119" s="36">
        <f t="shared" si="19"/>
        <v>0</v>
      </c>
      <c r="Q119" s="36">
        <f t="shared" si="20"/>
        <v>5.107324416666318E-2</v>
      </c>
      <c r="R119" s="37">
        <f t="shared" si="21"/>
        <v>2.6084762697075946E-3</v>
      </c>
      <c r="T119" s="31">
        <f t="shared" si="22"/>
        <v>4.9505058485637436E-3</v>
      </c>
      <c r="U119" s="31">
        <f t="shared" si="23"/>
        <v>2.4257478657962347E-2</v>
      </c>
      <c r="V119" s="31">
        <f t="shared" si="24"/>
        <v>1.5346568130547605E-2</v>
      </c>
      <c r="W119" s="31">
        <f t="shared" si="25"/>
        <v>7.4257587728456149E-3</v>
      </c>
      <c r="X119" s="31">
        <f t="shared" si="26"/>
        <v>4.950505848563744E-4</v>
      </c>
    </row>
    <row r="120" spans="1:24" ht="14.25" customHeight="1" x14ac:dyDescent="0.25">
      <c r="A120" s="41"/>
      <c r="B120" s="38">
        <v>36</v>
      </c>
      <c r="C120" s="32">
        <v>5</v>
      </c>
      <c r="D120" s="32">
        <v>3.2</v>
      </c>
      <c r="E120" s="32">
        <v>1.2</v>
      </c>
      <c r="F120" s="32">
        <v>0.2</v>
      </c>
      <c r="G120" s="39">
        <v>0</v>
      </c>
      <c r="H120">
        <f t="shared" si="16"/>
        <v>1</v>
      </c>
      <c r="I120" s="38">
        <f t="shared" si="27"/>
        <v>0.26532303423370374</v>
      </c>
      <c r="J120" s="40">
        <f t="shared" si="28"/>
        <v>-0.58254814566703961</v>
      </c>
      <c r="K120" s="40">
        <f t="shared" si="29"/>
        <v>-0.30498325287140726</v>
      </c>
      <c r="L120" s="40">
        <f t="shared" si="30"/>
        <v>0.36107623066125322</v>
      </c>
      <c r="M120" s="40">
        <f t="shared" si="31"/>
        <v>0.5266829917203415</v>
      </c>
      <c r="N120" s="35">
        <f t="shared" si="17"/>
        <v>-3.0847360281524252</v>
      </c>
      <c r="O120" s="35">
        <f t="shared" si="18"/>
        <v>4.3741288250520281E-2</v>
      </c>
      <c r="P120" s="36">
        <f t="shared" si="19"/>
        <v>0</v>
      </c>
      <c r="Q120" s="36">
        <f t="shared" si="20"/>
        <v>4.3741288250520281E-2</v>
      </c>
      <c r="R120" s="37">
        <f t="shared" si="21"/>
        <v>1.9133002978151037E-3</v>
      </c>
      <c r="T120" s="31">
        <f t="shared" si="22"/>
        <v>3.6592201559571334E-3</v>
      </c>
      <c r="U120" s="31">
        <f t="shared" si="23"/>
        <v>1.8296100779785666E-2</v>
      </c>
      <c r="V120" s="31">
        <f t="shared" si="24"/>
        <v>1.1709504499062828E-2</v>
      </c>
      <c r="W120" s="31">
        <f t="shared" si="25"/>
        <v>4.3910641871485597E-3</v>
      </c>
      <c r="X120" s="31">
        <f t="shared" si="26"/>
        <v>7.3184403119142677E-4</v>
      </c>
    </row>
    <row r="121" spans="1:24" ht="14.25" customHeight="1" x14ac:dyDescent="0.25">
      <c r="A121" s="41"/>
      <c r="B121" s="38">
        <v>37</v>
      </c>
      <c r="C121" s="32">
        <v>5.5</v>
      </c>
      <c r="D121" s="32">
        <v>3.5</v>
      </c>
      <c r="E121" s="32">
        <v>1.3</v>
      </c>
      <c r="F121" s="32">
        <v>0.2</v>
      </c>
      <c r="G121" s="39">
        <v>0</v>
      </c>
      <c r="H121">
        <f t="shared" si="16"/>
        <v>1</v>
      </c>
      <c r="I121" s="38">
        <f t="shared" si="27"/>
        <v>0.26495711221810803</v>
      </c>
      <c r="J121" s="40">
        <f t="shared" si="28"/>
        <v>-0.58437775574501816</v>
      </c>
      <c r="K121" s="40">
        <f t="shared" si="29"/>
        <v>-0.30615420332131354</v>
      </c>
      <c r="L121" s="40">
        <f t="shared" si="30"/>
        <v>0.36063712424253835</v>
      </c>
      <c r="M121" s="40">
        <f t="shared" si="31"/>
        <v>0.5266098073172224</v>
      </c>
      <c r="N121" s="35">
        <f t="shared" si="17"/>
        <v>-3.4465100330253451</v>
      </c>
      <c r="O121" s="35">
        <f t="shared" si="18"/>
        <v>3.087310824145862E-2</v>
      </c>
      <c r="P121" s="36">
        <f t="shared" si="19"/>
        <v>0</v>
      </c>
      <c r="Q121" s="36">
        <f t="shared" si="20"/>
        <v>3.087310824145862E-2</v>
      </c>
      <c r="R121" s="37">
        <f t="shared" si="21"/>
        <v>9.5314881248882016E-4</v>
      </c>
      <c r="T121" s="31">
        <f t="shared" si="22"/>
        <v>1.8474442920612701E-3</v>
      </c>
      <c r="U121" s="31">
        <f t="shared" si="23"/>
        <v>1.0160943606336986E-2</v>
      </c>
      <c r="V121" s="31">
        <f t="shared" si="24"/>
        <v>6.4660550222144456E-3</v>
      </c>
      <c r="W121" s="31">
        <f t="shared" si="25"/>
        <v>2.4016775796796511E-3</v>
      </c>
      <c r="X121" s="31">
        <f t="shared" si="26"/>
        <v>3.6948885841225405E-4</v>
      </c>
    </row>
    <row r="122" spans="1:24" ht="14.25" customHeight="1" x14ac:dyDescent="0.25">
      <c r="A122" s="41"/>
      <c r="B122" s="38">
        <v>38</v>
      </c>
      <c r="C122" s="32">
        <v>4.9000000000000004</v>
      </c>
      <c r="D122" s="32">
        <v>3.1</v>
      </c>
      <c r="E122" s="32">
        <v>1.5</v>
      </c>
      <c r="F122" s="32">
        <v>0.1</v>
      </c>
      <c r="G122" s="39">
        <v>0</v>
      </c>
      <c r="H122">
        <f t="shared" si="16"/>
        <v>1</v>
      </c>
      <c r="I122" s="38">
        <f t="shared" si="27"/>
        <v>0.2647723677889019</v>
      </c>
      <c r="J122" s="40">
        <f t="shared" si="28"/>
        <v>-0.58539385010565181</v>
      </c>
      <c r="K122" s="40">
        <f t="shared" si="29"/>
        <v>-0.306800808823535</v>
      </c>
      <c r="L122" s="40">
        <f t="shared" si="30"/>
        <v>0.36039695648457037</v>
      </c>
      <c r="M122" s="40">
        <f t="shared" si="31"/>
        <v>0.52657285843138113</v>
      </c>
      <c r="N122" s="35">
        <f t="shared" si="17"/>
        <v>-2.9614872845117572</v>
      </c>
      <c r="O122" s="35">
        <f t="shared" si="18"/>
        <v>4.919639004430848E-2</v>
      </c>
      <c r="P122" s="36">
        <f t="shared" si="19"/>
        <v>0</v>
      </c>
      <c r="Q122" s="36">
        <f t="shared" si="20"/>
        <v>4.919639004430848E-2</v>
      </c>
      <c r="R122" s="37">
        <f t="shared" si="21"/>
        <v>2.4202847933917347E-3</v>
      </c>
      <c r="T122" s="31">
        <f t="shared" si="22"/>
        <v>4.6024310373554526E-3</v>
      </c>
      <c r="U122" s="31">
        <f t="shared" si="23"/>
        <v>2.255191208304172E-2</v>
      </c>
      <c r="V122" s="31">
        <f t="shared" si="24"/>
        <v>1.4267536215801903E-2</v>
      </c>
      <c r="W122" s="31">
        <f t="shared" si="25"/>
        <v>6.903646556033179E-3</v>
      </c>
      <c r="X122" s="31">
        <f t="shared" si="26"/>
        <v>4.6024310373554526E-4</v>
      </c>
    </row>
    <row r="123" spans="1:24" ht="14.25" customHeight="1" x14ac:dyDescent="0.25">
      <c r="A123" s="41"/>
      <c r="B123" s="38">
        <v>39</v>
      </c>
      <c r="C123" s="32">
        <v>4.4000000000000004</v>
      </c>
      <c r="D123" s="32">
        <v>3</v>
      </c>
      <c r="E123" s="32">
        <v>1.3</v>
      </c>
      <c r="F123" s="32">
        <v>0.2</v>
      </c>
      <c r="G123" s="39">
        <v>0</v>
      </c>
      <c r="H123">
        <f t="shared" si="16"/>
        <v>1</v>
      </c>
      <c r="I123" s="38">
        <f t="shared" si="27"/>
        <v>0.26431212468516635</v>
      </c>
      <c r="J123" s="40">
        <f t="shared" si="28"/>
        <v>-0.58764904131395601</v>
      </c>
      <c r="K123" s="40">
        <f t="shared" si="29"/>
        <v>-0.30822756244511518</v>
      </c>
      <c r="L123" s="40">
        <f t="shared" si="30"/>
        <v>0.35970659182896708</v>
      </c>
      <c r="M123" s="40">
        <f t="shared" si="31"/>
        <v>0.52652683412100754</v>
      </c>
      <c r="N123" s="35">
        <f t="shared" si="17"/>
        <v>-2.673102408229727</v>
      </c>
      <c r="O123" s="35">
        <f t="shared" si="18"/>
        <v>6.45793024396209E-2</v>
      </c>
      <c r="P123" s="36">
        <f t="shared" si="19"/>
        <v>0</v>
      </c>
      <c r="Q123" s="36">
        <f t="shared" si="20"/>
        <v>6.45793024396209E-2</v>
      </c>
      <c r="R123" s="37">
        <f t="shared" si="21"/>
        <v>4.1704863035880255E-3</v>
      </c>
      <c r="T123" s="31">
        <f t="shared" si="22"/>
        <v>7.8023184145366367E-3</v>
      </c>
      <c r="U123" s="31">
        <f t="shared" si="23"/>
        <v>3.4330201023961206E-2</v>
      </c>
      <c r="V123" s="31">
        <f t="shared" si="24"/>
        <v>2.340695524360991E-2</v>
      </c>
      <c r="W123" s="31">
        <f t="shared" si="25"/>
        <v>1.0143013938897627E-2</v>
      </c>
      <c r="X123" s="31">
        <f t="shared" si="26"/>
        <v>1.5604636829073275E-3</v>
      </c>
    </row>
    <row r="124" spans="1:24" ht="14.25" customHeight="1" x14ac:dyDescent="0.25">
      <c r="A124" s="41"/>
      <c r="B124" s="38">
        <v>40</v>
      </c>
      <c r="C124" s="32">
        <v>5.0999999999999996</v>
      </c>
      <c r="D124" s="32">
        <v>3.4</v>
      </c>
      <c r="E124" s="32">
        <v>1.5</v>
      </c>
      <c r="F124" s="32">
        <v>0.2</v>
      </c>
      <c r="G124" s="39">
        <v>0</v>
      </c>
      <c r="H124">
        <f t="shared" si="16"/>
        <v>1</v>
      </c>
      <c r="I124" s="38">
        <f t="shared" si="27"/>
        <v>0.2635318928437127</v>
      </c>
      <c r="J124" s="40">
        <f t="shared" si="28"/>
        <v>-0.59108206141635211</v>
      </c>
      <c r="K124" s="40">
        <f t="shared" si="29"/>
        <v>-0.31056825796947618</v>
      </c>
      <c r="L124" s="40">
        <f t="shared" si="30"/>
        <v>0.35869229043507733</v>
      </c>
      <c r="M124" s="40">
        <f t="shared" si="31"/>
        <v>0.52637078775271684</v>
      </c>
      <c r="N124" s="35">
        <f t="shared" si="17"/>
        <v>-3.1636061042727426</v>
      </c>
      <c r="O124" s="35">
        <f t="shared" si="18"/>
        <v>4.0558494696515068E-2</v>
      </c>
      <c r="P124" s="36">
        <f t="shared" si="19"/>
        <v>0</v>
      </c>
      <c r="Q124" s="36">
        <f t="shared" si="20"/>
        <v>4.0558494696515068E-2</v>
      </c>
      <c r="R124" s="37">
        <f t="shared" si="21"/>
        <v>1.644991492047241E-3</v>
      </c>
      <c r="T124" s="31">
        <f t="shared" si="22"/>
        <v>3.1565462266824611E-3</v>
      </c>
      <c r="U124" s="31">
        <f t="shared" si="23"/>
        <v>1.6098385756080552E-2</v>
      </c>
      <c r="V124" s="31">
        <f t="shared" si="24"/>
        <v>1.0732257170720367E-2</v>
      </c>
      <c r="W124" s="31">
        <f t="shared" si="25"/>
        <v>4.7348193400236918E-3</v>
      </c>
      <c r="X124" s="31">
        <f t="shared" si="26"/>
        <v>6.3130924533649226E-4</v>
      </c>
    </row>
    <row r="125" spans="1:24" ht="14.25" customHeight="1" x14ac:dyDescent="0.25">
      <c r="A125" s="41"/>
      <c r="B125" s="38">
        <v>41</v>
      </c>
      <c r="C125" s="32">
        <v>7</v>
      </c>
      <c r="D125" s="32">
        <v>3.2</v>
      </c>
      <c r="E125" s="32">
        <v>4.7</v>
      </c>
      <c r="F125" s="32">
        <v>1.4</v>
      </c>
      <c r="G125" s="39">
        <v>1</v>
      </c>
      <c r="H125">
        <f t="shared" si="16"/>
        <v>0</v>
      </c>
      <c r="I125" s="38">
        <f t="shared" si="27"/>
        <v>0.26321623822104445</v>
      </c>
      <c r="J125" s="40">
        <f t="shared" si="28"/>
        <v>-0.59269189999196015</v>
      </c>
      <c r="K125" s="40">
        <f t="shared" si="29"/>
        <v>-0.3116414836865482</v>
      </c>
      <c r="L125" s="40">
        <f t="shared" si="30"/>
        <v>0.35821880850107496</v>
      </c>
      <c r="M125" s="40">
        <f t="shared" si="31"/>
        <v>0.52630765682818315</v>
      </c>
      <c r="N125" s="35">
        <f t="shared" si="17"/>
        <v>-2.4624206900051222</v>
      </c>
      <c r="O125" s="35">
        <f t="shared" si="18"/>
        <v>7.8534979703638166E-2</v>
      </c>
      <c r="P125" s="36">
        <f t="shared" si="19"/>
        <v>0</v>
      </c>
      <c r="Q125" s="36">
        <f t="shared" si="20"/>
        <v>-0.92146502029636179</v>
      </c>
      <c r="R125" s="37">
        <f t="shared" si="21"/>
        <v>0.84909778362977439</v>
      </c>
      <c r="T125" s="31">
        <f t="shared" si="22"/>
        <v>-0.13336775440753695</v>
      </c>
      <c r="U125" s="31">
        <f t="shared" si="23"/>
        <v>-0.93357428085275873</v>
      </c>
      <c r="V125" s="31">
        <f t="shared" si="24"/>
        <v>-0.42677681410411827</v>
      </c>
      <c r="W125" s="31">
        <f t="shared" si="25"/>
        <v>-0.62682844571542373</v>
      </c>
      <c r="X125" s="31">
        <f t="shared" si="26"/>
        <v>-0.18671485617055172</v>
      </c>
    </row>
    <row r="126" spans="1:24" ht="14.25" customHeight="1" x14ac:dyDescent="0.25">
      <c r="A126" s="41"/>
      <c r="B126" s="38">
        <v>42</v>
      </c>
      <c r="C126" s="32">
        <v>6.4</v>
      </c>
      <c r="D126" s="32">
        <v>3.2</v>
      </c>
      <c r="E126" s="32">
        <v>4.5</v>
      </c>
      <c r="F126" s="32">
        <v>1.5</v>
      </c>
      <c r="G126" s="39">
        <v>1</v>
      </c>
      <c r="H126">
        <f t="shared" si="16"/>
        <v>0</v>
      </c>
      <c r="I126" s="38">
        <f t="shared" si="27"/>
        <v>0.27655301366179813</v>
      </c>
      <c r="J126" s="40">
        <f t="shared" si="28"/>
        <v>-0.49933447190668429</v>
      </c>
      <c r="K126" s="40">
        <f t="shared" si="29"/>
        <v>-0.26896380227613637</v>
      </c>
      <c r="L126" s="40">
        <f t="shared" si="30"/>
        <v>0.42090165307261734</v>
      </c>
      <c r="M126" s="40">
        <f t="shared" si="31"/>
        <v>0.54497914244523837</v>
      </c>
      <c r="N126" s="35">
        <f t="shared" si="17"/>
        <v>-1.068345621329982</v>
      </c>
      <c r="O126" s="35">
        <f t="shared" si="18"/>
        <v>0.25571782854133762</v>
      </c>
      <c r="P126" s="36">
        <f t="shared" si="19"/>
        <v>0</v>
      </c>
      <c r="Q126" s="36">
        <f t="shared" si="20"/>
        <v>-0.74428217145866238</v>
      </c>
      <c r="R126" s="37">
        <f t="shared" si="21"/>
        <v>0.55395595075122173</v>
      </c>
      <c r="T126" s="31">
        <f t="shared" si="22"/>
        <v>-0.28331282566730914</v>
      </c>
      <c r="U126" s="31">
        <f t="shared" si="23"/>
        <v>-1.8132020842707786</v>
      </c>
      <c r="V126" s="31">
        <f t="shared" si="24"/>
        <v>-0.90660104213538928</v>
      </c>
      <c r="W126" s="31">
        <f t="shared" si="25"/>
        <v>-1.2749077155028912</v>
      </c>
      <c r="X126" s="31">
        <f t="shared" si="26"/>
        <v>-0.42496923850096369</v>
      </c>
    </row>
    <row r="127" spans="1:24" ht="14.25" customHeight="1" x14ac:dyDescent="0.25">
      <c r="A127" s="41"/>
      <c r="B127" s="38">
        <v>43</v>
      </c>
      <c r="C127" s="32">
        <v>6.9</v>
      </c>
      <c r="D127" s="32">
        <v>3.1</v>
      </c>
      <c r="E127" s="32">
        <v>4.9000000000000004</v>
      </c>
      <c r="F127" s="32">
        <v>1.5</v>
      </c>
      <c r="G127" s="39">
        <v>1</v>
      </c>
      <c r="H127">
        <f t="shared" si="16"/>
        <v>1</v>
      </c>
      <c r="I127" s="38">
        <f t="shared" si="27"/>
        <v>0.30488429622852903</v>
      </c>
      <c r="J127" s="40">
        <f t="shared" si="28"/>
        <v>-0.31801426347960643</v>
      </c>
      <c r="K127" s="40">
        <f t="shared" si="29"/>
        <v>-0.17830369806259744</v>
      </c>
      <c r="L127" s="40">
        <f t="shared" si="30"/>
        <v>0.54839242462290649</v>
      </c>
      <c r="M127" s="40">
        <f t="shared" si="31"/>
        <v>0.58747606629533478</v>
      </c>
      <c r="N127" s="35">
        <f t="shared" si="17"/>
        <v>1.1261813943204366</v>
      </c>
      <c r="O127" s="35">
        <f t="shared" si="18"/>
        <v>0.75513350066290641</v>
      </c>
      <c r="P127" s="36">
        <f t="shared" si="19"/>
        <v>1</v>
      </c>
      <c r="Q127" s="36">
        <f t="shared" si="20"/>
        <v>-0.24486649933709359</v>
      </c>
      <c r="R127" s="37">
        <f t="shared" si="21"/>
        <v>5.9959602497602855E-2</v>
      </c>
      <c r="T127" s="31">
        <f t="shared" si="22"/>
        <v>-9.0555009064742384E-2</v>
      </c>
      <c r="U127" s="31">
        <f t="shared" si="23"/>
        <v>-0.62482956254672251</v>
      </c>
      <c r="V127" s="31">
        <f t="shared" si="24"/>
        <v>-0.28072052810070142</v>
      </c>
      <c r="W127" s="31">
        <f t="shared" si="25"/>
        <v>-0.44371954441723771</v>
      </c>
      <c r="X127" s="31">
        <f t="shared" si="26"/>
        <v>-0.13583251359711357</v>
      </c>
    </row>
    <row r="128" spans="1:24" ht="14.25" customHeight="1" x14ac:dyDescent="0.25">
      <c r="A128" s="41"/>
      <c r="B128" s="38">
        <v>44</v>
      </c>
      <c r="C128" s="32">
        <v>5.5</v>
      </c>
      <c r="D128" s="32">
        <v>2.2999999999999998</v>
      </c>
      <c r="E128" s="32">
        <v>4</v>
      </c>
      <c r="F128" s="32">
        <v>1.3</v>
      </c>
      <c r="G128" s="39">
        <v>1</v>
      </c>
      <c r="H128">
        <f t="shared" si="16"/>
        <v>1</v>
      </c>
      <c r="I128" s="38">
        <f t="shared" si="27"/>
        <v>0.31393979713500325</v>
      </c>
      <c r="J128" s="40">
        <f t="shared" si="28"/>
        <v>-0.25553130722493417</v>
      </c>
      <c r="K128" s="40">
        <f t="shared" si="29"/>
        <v>-0.1502316452525273</v>
      </c>
      <c r="L128" s="40">
        <f t="shared" si="30"/>
        <v>0.59276437906463031</v>
      </c>
      <c r="M128" s="40">
        <f t="shared" si="31"/>
        <v>0.60105931765504617</v>
      </c>
      <c r="N128" s="35">
        <f t="shared" si="17"/>
        <v>1.7154194525271338</v>
      </c>
      <c r="O128" s="35">
        <f t="shared" si="18"/>
        <v>0.84753789161099424</v>
      </c>
      <c r="P128" s="36">
        <f t="shared" si="19"/>
        <v>1</v>
      </c>
      <c r="Q128" s="36">
        <f t="shared" si="20"/>
        <v>-0.15246210838900576</v>
      </c>
      <c r="R128" s="37">
        <f t="shared" si="21"/>
        <v>2.3244694494420938E-2</v>
      </c>
      <c r="T128" s="31">
        <f t="shared" si="22"/>
        <v>-3.9401518725886417E-2</v>
      </c>
      <c r="U128" s="31">
        <f t="shared" si="23"/>
        <v>-0.21670835299237529</v>
      </c>
      <c r="V128" s="31">
        <f t="shared" si="24"/>
        <v>-9.0623493069538749E-2</v>
      </c>
      <c r="W128" s="31">
        <f t="shared" si="25"/>
        <v>-0.15760607490354567</v>
      </c>
      <c r="X128" s="31">
        <f t="shared" si="26"/>
        <v>-5.1221974343652346E-2</v>
      </c>
    </row>
    <row r="129" spans="1:24" ht="14.25" customHeight="1" x14ac:dyDescent="0.25">
      <c r="A129" s="41"/>
      <c r="B129" s="38">
        <v>45</v>
      </c>
      <c r="C129" s="32">
        <v>6.5</v>
      </c>
      <c r="D129" s="32">
        <v>2.8</v>
      </c>
      <c r="E129" s="32">
        <v>4.5999999999999996</v>
      </c>
      <c r="F129" s="32">
        <v>1.5</v>
      </c>
      <c r="G129" s="39">
        <v>1</v>
      </c>
      <c r="H129">
        <f t="shared" si="16"/>
        <v>1</v>
      </c>
      <c r="I129" s="38">
        <f t="shared" si="27"/>
        <v>0.31787994900759187</v>
      </c>
      <c r="J129" s="40">
        <f t="shared" si="28"/>
        <v>-0.23386047192569664</v>
      </c>
      <c r="K129" s="40">
        <f t="shared" si="29"/>
        <v>-0.14116929594557343</v>
      </c>
      <c r="L129" s="40">
        <f t="shared" si="30"/>
        <v>0.60852498655498488</v>
      </c>
      <c r="M129" s="40">
        <f t="shared" si="31"/>
        <v>0.60618151508941143</v>
      </c>
      <c r="N129" s="35">
        <f t="shared" si="17"/>
        <v>2.1110000636300055</v>
      </c>
      <c r="O129" s="35">
        <f t="shared" si="18"/>
        <v>0.89196773844358546</v>
      </c>
      <c r="P129" s="36">
        <f t="shared" si="19"/>
        <v>1</v>
      </c>
      <c r="Q129" s="36">
        <f t="shared" si="20"/>
        <v>-0.10803226155641454</v>
      </c>
      <c r="R129" s="37">
        <f t="shared" si="21"/>
        <v>1.1670969536993564E-2</v>
      </c>
      <c r="T129" s="31">
        <f t="shared" si="22"/>
        <v>-2.0820256606712259E-2</v>
      </c>
      <c r="U129" s="31">
        <f t="shared" si="23"/>
        <v>-0.13533166794362969</v>
      </c>
      <c r="V129" s="31">
        <f t="shared" si="24"/>
        <v>-5.8296718498794323E-2</v>
      </c>
      <c r="W129" s="31">
        <f t="shared" si="25"/>
        <v>-9.5773180390876386E-2</v>
      </c>
      <c r="X129" s="31">
        <f t="shared" si="26"/>
        <v>-3.1230384910068389E-2</v>
      </c>
    </row>
    <row r="130" spans="1:24" ht="14.25" customHeight="1" x14ac:dyDescent="0.25">
      <c r="A130" s="41"/>
      <c r="B130" s="38">
        <v>46</v>
      </c>
      <c r="C130" s="32">
        <v>5.7</v>
      </c>
      <c r="D130" s="32">
        <v>2.8</v>
      </c>
      <c r="E130" s="32">
        <v>4.5</v>
      </c>
      <c r="F130" s="32">
        <v>1.3</v>
      </c>
      <c r="G130" s="39">
        <v>1</v>
      </c>
      <c r="H130">
        <f t="shared" si="16"/>
        <v>1</v>
      </c>
      <c r="I130" s="38">
        <f t="shared" si="27"/>
        <v>0.31996197466826309</v>
      </c>
      <c r="J130" s="40">
        <f t="shared" si="28"/>
        <v>-0.22032730513133367</v>
      </c>
      <c r="K130" s="40">
        <f t="shared" si="29"/>
        <v>-0.135339624095694</v>
      </c>
      <c r="L130" s="40">
        <f t="shared" si="30"/>
        <v>0.61810230459407256</v>
      </c>
      <c r="M130" s="40">
        <f t="shared" si="31"/>
        <v>0.60930455358041824</v>
      </c>
      <c r="N130" s="35">
        <f t="shared" si="17"/>
        <v>2.2587016782795888</v>
      </c>
      <c r="O130" s="35">
        <f t="shared" si="18"/>
        <v>0.90539848562538461</v>
      </c>
      <c r="P130" s="36">
        <f t="shared" si="19"/>
        <v>1</v>
      </c>
      <c r="Q130" s="36">
        <f t="shared" si="20"/>
        <v>-9.4601514374615392E-2</v>
      </c>
      <c r="R130" s="37">
        <f t="shared" si="21"/>
        <v>8.949446521970562E-3</v>
      </c>
      <c r="T130" s="31">
        <f t="shared" si="22"/>
        <v>-1.6205630656355025E-2</v>
      </c>
      <c r="U130" s="31">
        <f t="shared" si="23"/>
        <v>-9.237209474122364E-2</v>
      </c>
      <c r="V130" s="31">
        <f t="shared" si="24"/>
        <v>-4.5375765837794069E-2</v>
      </c>
      <c r="W130" s="31">
        <f t="shared" si="25"/>
        <v>-7.292533795359761E-2</v>
      </c>
      <c r="X130" s="31">
        <f t="shared" si="26"/>
        <v>-2.1067319853261532E-2</v>
      </c>
    </row>
    <row r="131" spans="1:24" ht="14.25" customHeight="1" x14ac:dyDescent="0.25">
      <c r="A131" s="41"/>
      <c r="B131" s="38">
        <v>47</v>
      </c>
      <c r="C131" s="32">
        <v>6.3</v>
      </c>
      <c r="D131" s="32">
        <v>3.3</v>
      </c>
      <c r="E131" s="32">
        <v>4.7</v>
      </c>
      <c r="F131" s="32">
        <v>1.6</v>
      </c>
      <c r="G131" s="39">
        <v>1</v>
      </c>
      <c r="H131">
        <f t="shared" si="16"/>
        <v>1</v>
      </c>
      <c r="I131" s="38">
        <f t="shared" si="27"/>
        <v>0.32158253773389861</v>
      </c>
      <c r="J131" s="40">
        <f t="shared" si="28"/>
        <v>-0.21109009565721129</v>
      </c>
      <c r="K131" s="40">
        <f t="shared" si="29"/>
        <v>-0.1308020475119146</v>
      </c>
      <c r="L131" s="40">
        <f t="shared" si="30"/>
        <v>0.62539483838943233</v>
      </c>
      <c r="M131" s="40">
        <f t="shared" si="31"/>
        <v>0.61141128556574442</v>
      </c>
      <c r="N131" s="35">
        <f t="shared" si="17"/>
        <v>2.4776819756396726</v>
      </c>
      <c r="O131" s="35">
        <f t="shared" si="18"/>
        <v>0.92256235788470453</v>
      </c>
      <c r="P131" s="36">
        <f t="shared" si="19"/>
        <v>1</v>
      </c>
      <c r="Q131" s="36">
        <f t="shared" si="20"/>
        <v>-7.7437642115295469E-2</v>
      </c>
      <c r="R131" s="37">
        <f t="shared" si="21"/>
        <v>5.9965884163765823E-3</v>
      </c>
      <c r="T131" s="31">
        <f t="shared" si="22"/>
        <v>-1.1064453497352971E-2</v>
      </c>
      <c r="U131" s="31">
        <f t="shared" si="23"/>
        <v>-6.9706057033323721E-2</v>
      </c>
      <c r="V131" s="31">
        <f t="shared" si="24"/>
        <v>-3.6512696541264801E-2</v>
      </c>
      <c r="W131" s="31">
        <f t="shared" si="25"/>
        <v>-5.200293143755897E-2</v>
      </c>
      <c r="X131" s="31">
        <f t="shared" si="26"/>
        <v>-1.7703125595764754E-2</v>
      </c>
    </row>
    <row r="132" spans="1:24" ht="14.25" customHeight="1" x14ac:dyDescent="0.25">
      <c r="A132" s="41"/>
      <c r="B132" s="38">
        <v>48</v>
      </c>
      <c r="C132" s="32">
        <v>4.9000000000000004</v>
      </c>
      <c r="D132" s="32">
        <v>2.4</v>
      </c>
      <c r="E132" s="32">
        <v>3.3</v>
      </c>
      <c r="F132" s="32">
        <v>1</v>
      </c>
      <c r="G132" s="39">
        <v>1</v>
      </c>
      <c r="H132">
        <f t="shared" si="16"/>
        <v>1</v>
      </c>
      <c r="I132" s="38">
        <f t="shared" si="27"/>
        <v>0.32268898308363392</v>
      </c>
      <c r="J132" s="40">
        <f t="shared" si="28"/>
        <v>-0.20411948995387891</v>
      </c>
      <c r="K132" s="40">
        <f t="shared" si="29"/>
        <v>-0.12715077785778811</v>
      </c>
      <c r="L132" s="40">
        <f t="shared" si="30"/>
        <v>0.63059513153318825</v>
      </c>
      <c r="M132" s="40">
        <f t="shared" si="31"/>
        <v>0.61318159812532091</v>
      </c>
      <c r="N132" s="35">
        <f t="shared" si="17"/>
        <v>1.7114871476357774</v>
      </c>
      <c r="O132" s="35">
        <f t="shared" si="18"/>
        <v>0.84702907463596844</v>
      </c>
      <c r="P132" s="36">
        <f t="shared" si="19"/>
        <v>1</v>
      </c>
      <c r="Q132" s="36">
        <f t="shared" si="20"/>
        <v>-0.15297092536403156</v>
      </c>
      <c r="R132" s="37">
        <f t="shared" si="21"/>
        <v>2.3400104006728116E-2</v>
      </c>
      <c r="T132" s="31">
        <f t="shared" si="22"/>
        <v>-3.9641136886408669E-2</v>
      </c>
      <c r="U132" s="31">
        <f t="shared" si="23"/>
        <v>-0.19424157074340248</v>
      </c>
      <c r="V132" s="31">
        <f t="shared" si="24"/>
        <v>-9.5138728527380798E-2</v>
      </c>
      <c r="W132" s="31">
        <f t="shared" si="25"/>
        <v>-0.13081575172514859</v>
      </c>
      <c r="X132" s="31">
        <f t="shared" si="26"/>
        <v>-3.9641136886408669E-2</v>
      </c>
    </row>
    <row r="133" spans="1:24" ht="14.25" customHeight="1" x14ac:dyDescent="0.25">
      <c r="A133" s="41"/>
      <c r="B133" s="38">
        <v>49</v>
      </c>
      <c r="C133" s="32">
        <v>6.6</v>
      </c>
      <c r="D133" s="32">
        <v>2.9</v>
      </c>
      <c r="E133" s="32">
        <v>4.5999999999999996</v>
      </c>
      <c r="F133" s="32">
        <v>1.3</v>
      </c>
      <c r="G133" s="39">
        <v>1</v>
      </c>
      <c r="H133">
        <f t="shared" ref="H133:H196" si="32">IF(G133=P133, 1, 0)</f>
        <v>1</v>
      </c>
      <c r="I133" s="38">
        <f t="shared" si="27"/>
        <v>0.32665309677227478</v>
      </c>
      <c r="J133" s="40">
        <f t="shared" si="28"/>
        <v>-0.18469533287953865</v>
      </c>
      <c r="K133" s="40">
        <f t="shared" si="29"/>
        <v>-0.11763690500505003</v>
      </c>
      <c r="L133" s="40">
        <f t="shared" si="30"/>
        <v>0.64367670670570309</v>
      </c>
      <c r="M133" s="40">
        <f t="shared" si="31"/>
        <v>0.61714571181396183</v>
      </c>
      <c r="N133" s="35">
        <f t="shared" ref="N133:N196" si="33">I133+J133*C133+K133*D133+L133*E133+F133*M133</f>
        <v>2.5297191514570589</v>
      </c>
      <c r="O133" s="35">
        <f t="shared" ref="O133:O196" si="34">1/(1+EXP(-N133))</f>
        <v>0.92619915849605827</v>
      </c>
      <c r="P133" s="36">
        <f t="shared" ref="P133:P196" si="35">IF(O133&gt;0.5,1,0)</f>
        <v>1</v>
      </c>
      <c r="Q133" s="36">
        <f t="shared" ref="Q133:Q196" si="36">O133-G133</f>
        <v>-7.3800841503941728E-2</v>
      </c>
      <c r="R133" s="37">
        <f t="shared" ref="R133:R196" si="37">Q133^2</f>
        <v>5.4465642066899283E-3</v>
      </c>
      <c r="T133" s="31">
        <f t="shared" ref="T133:T196" si="38">2*(O133-G133)*(1-O133)*O133</f>
        <v>-1.0089206369861926E-2</v>
      </c>
      <c r="U133" s="31">
        <f t="shared" ref="U133:U196" si="39">2*(O133-G133)*(1-O133)*O133*C133</f>
        <v>-6.6588762041088712E-2</v>
      </c>
      <c r="V133" s="31">
        <f t="shared" ref="V133:V196" si="40">2*(O133-G133)*(1-O133)*O133*D133</f>
        <v>-2.9258698472599584E-2</v>
      </c>
      <c r="W133" s="31">
        <f t="shared" ref="W133:W196" si="41">2*(O133-G133)*(1-O133)*O133*E133</f>
        <v>-4.6410349301364853E-2</v>
      </c>
      <c r="X133" s="31">
        <f t="shared" ref="X133:X196" si="42">2*(O133-G133)*(1-O133)*O133*F133</f>
        <v>-1.3115968280820504E-2</v>
      </c>
    </row>
    <row r="134" spans="1:24" ht="14.25" customHeight="1" x14ac:dyDescent="0.25">
      <c r="A134" s="41"/>
      <c r="B134" s="38">
        <v>50</v>
      </c>
      <c r="C134" s="32">
        <v>5.2</v>
      </c>
      <c r="D134" s="32">
        <v>2.7</v>
      </c>
      <c r="E134" s="32">
        <v>3.9</v>
      </c>
      <c r="F134" s="32">
        <v>1.4</v>
      </c>
      <c r="G134" s="39">
        <v>1</v>
      </c>
      <c r="H134">
        <f t="shared" si="32"/>
        <v>1</v>
      </c>
      <c r="I134" s="38">
        <f t="shared" ref="I134:I197" si="43">I133-0.1*T133</f>
        <v>0.32766201740926099</v>
      </c>
      <c r="J134" s="40">
        <f t="shared" ref="J134:J197" si="44">J133-0.1*U133</f>
        <v>-0.17803645667542978</v>
      </c>
      <c r="K134" s="40">
        <f t="shared" ref="K134:K197" si="45">K133-0.1*V133</f>
        <v>-0.11471103515779008</v>
      </c>
      <c r="L134" s="40">
        <f t="shared" ref="L134:L197" si="46">L133-0.1*W133</f>
        <v>0.64831774163583955</v>
      </c>
      <c r="M134" s="40">
        <f t="shared" ref="M134:M197" si="47">M133-0.1*X133</f>
        <v>0.61845730864204385</v>
      </c>
      <c r="N134" s="35">
        <f t="shared" si="33"/>
        <v>2.4864320722496283</v>
      </c>
      <c r="O134" s="35">
        <f t="shared" si="34"/>
        <v>0.92318516721924271</v>
      </c>
      <c r="P134" s="36">
        <f t="shared" si="35"/>
        <v>1</v>
      </c>
      <c r="Q134" s="36">
        <f t="shared" si="36"/>
        <v>-7.6814832780757292E-2</v>
      </c>
      <c r="R134" s="37">
        <f t="shared" si="37"/>
        <v>5.9005185351357053E-3</v>
      </c>
      <c r="T134" s="31">
        <f t="shared" si="38"/>
        <v>-1.0894542381078995E-2</v>
      </c>
      <c r="U134" s="31">
        <f t="shared" si="39"/>
        <v>-5.6651620381610777E-2</v>
      </c>
      <c r="V134" s="31">
        <f t="shared" si="40"/>
        <v>-2.9415264428913287E-2</v>
      </c>
      <c r="W134" s="31">
        <f t="shared" si="41"/>
        <v>-4.2488715286208081E-2</v>
      </c>
      <c r="X134" s="31">
        <f t="shared" si="42"/>
        <v>-1.5252359333510592E-2</v>
      </c>
    </row>
    <row r="135" spans="1:24" ht="14.25" customHeight="1" x14ac:dyDescent="0.25">
      <c r="A135" s="41"/>
      <c r="B135" s="38">
        <v>51</v>
      </c>
      <c r="C135" s="32">
        <v>5</v>
      </c>
      <c r="D135" s="32">
        <v>2</v>
      </c>
      <c r="E135" s="32">
        <v>3.5</v>
      </c>
      <c r="F135" s="32">
        <v>1</v>
      </c>
      <c r="G135" s="39">
        <v>1</v>
      </c>
      <c r="H135">
        <f t="shared" si="32"/>
        <v>1</v>
      </c>
      <c r="I135" s="38">
        <f t="shared" si="43"/>
        <v>0.3287514716473689</v>
      </c>
      <c r="J135" s="40">
        <f t="shared" si="44"/>
        <v>-0.17237129463726869</v>
      </c>
      <c r="K135" s="40">
        <f t="shared" si="45"/>
        <v>-0.11176950871489874</v>
      </c>
      <c r="L135" s="40">
        <f t="shared" si="46"/>
        <v>0.65256661316446041</v>
      </c>
      <c r="M135" s="40">
        <f t="shared" si="47"/>
        <v>0.61998254457539492</v>
      </c>
      <c r="N135" s="35">
        <f t="shared" si="33"/>
        <v>2.1473216716822341</v>
      </c>
      <c r="O135" s="35">
        <f t="shared" si="34"/>
        <v>0.89541823186593972</v>
      </c>
      <c r="P135" s="36">
        <f t="shared" si="35"/>
        <v>1</v>
      </c>
      <c r="Q135" s="36">
        <f t="shared" si="36"/>
        <v>-0.10458176813406028</v>
      </c>
      <c r="R135" s="37">
        <f t="shared" si="37"/>
        <v>1.0937346226046347E-2</v>
      </c>
      <c r="T135" s="31">
        <f t="shared" si="38"/>
        <v>-1.9586998438064059E-2</v>
      </c>
      <c r="U135" s="31">
        <f t="shared" si="39"/>
        <v>-9.7934992190320286E-2</v>
      </c>
      <c r="V135" s="31">
        <f t="shared" si="40"/>
        <v>-3.9173996876128117E-2</v>
      </c>
      <c r="W135" s="31">
        <f t="shared" si="41"/>
        <v>-6.8554494533224208E-2</v>
      </c>
      <c r="X135" s="31">
        <f t="shared" si="42"/>
        <v>-1.9586998438064059E-2</v>
      </c>
    </row>
    <row r="136" spans="1:24" ht="14.25" customHeight="1" x14ac:dyDescent="0.25">
      <c r="A136" s="41"/>
      <c r="B136" s="38">
        <v>52</v>
      </c>
      <c r="C136" s="32">
        <v>5.9</v>
      </c>
      <c r="D136" s="32">
        <v>3</v>
      </c>
      <c r="E136" s="32">
        <v>4.2</v>
      </c>
      <c r="F136" s="32">
        <v>1.5</v>
      </c>
      <c r="G136" s="39">
        <v>1</v>
      </c>
      <c r="H136">
        <f t="shared" si="32"/>
        <v>1</v>
      </c>
      <c r="I136" s="38">
        <f t="shared" si="43"/>
        <v>0.33071017149117532</v>
      </c>
      <c r="J136" s="40">
        <f t="shared" si="44"/>
        <v>-0.16257779541823666</v>
      </c>
      <c r="K136" s="40">
        <f t="shared" si="45"/>
        <v>-0.10785210902728593</v>
      </c>
      <c r="L136" s="40">
        <f t="shared" si="46"/>
        <v>0.6594220626177828</v>
      </c>
      <c r="M136" s="40">
        <f t="shared" si="47"/>
        <v>0.62194124441920129</v>
      </c>
      <c r="N136" s="35">
        <f t="shared" si="33"/>
        <v>2.750429381065211</v>
      </c>
      <c r="O136" s="35">
        <f t="shared" si="34"/>
        <v>0.93993759507600805</v>
      </c>
      <c r="P136" s="36">
        <f t="shared" si="35"/>
        <v>1</v>
      </c>
      <c r="Q136" s="36">
        <f t="shared" si="36"/>
        <v>-6.0062404923991952E-2</v>
      </c>
      <c r="R136" s="37">
        <f t="shared" si="37"/>
        <v>3.6074924852535729E-3</v>
      </c>
      <c r="T136" s="31">
        <f t="shared" si="38"/>
        <v>-6.7816356216880294E-3</v>
      </c>
      <c r="U136" s="31">
        <f t="shared" si="39"/>
        <v>-4.0011650167959378E-2</v>
      </c>
      <c r="V136" s="31">
        <f t="shared" si="40"/>
        <v>-2.0344906865064089E-2</v>
      </c>
      <c r="W136" s="31">
        <f t="shared" si="41"/>
        <v>-2.8482869611089725E-2</v>
      </c>
      <c r="X136" s="31">
        <f t="shared" si="42"/>
        <v>-1.0172453432532045E-2</v>
      </c>
    </row>
    <row r="137" spans="1:24" ht="14.25" customHeight="1" x14ac:dyDescent="0.25">
      <c r="A137" s="41"/>
      <c r="B137" s="38">
        <v>53</v>
      </c>
      <c r="C137" s="32">
        <v>6</v>
      </c>
      <c r="D137" s="32">
        <v>2.2000000000000002</v>
      </c>
      <c r="E137" s="32">
        <v>4</v>
      </c>
      <c r="F137" s="32">
        <v>1</v>
      </c>
      <c r="G137" s="39">
        <v>1</v>
      </c>
      <c r="H137">
        <f t="shared" si="32"/>
        <v>1</v>
      </c>
      <c r="I137" s="38">
        <f t="shared" si="43"/>
        <v>0.33138833505334414</v>
      </c>
      <c r="J137" s="40">
        <f t="shared" si="44"/>
        <v>-0.15857663040144074</v>
      </c>
      <c r="K137" s="40">
        <f t="shared" si="45"/>
        <v>-0.10581761834077952</v>
      </c>
      <c r="L137" s="40">
        <f t="shared" si="46"/>
        <v>0.66227034957889175</v>
      </c>
      <c r="M137" s="40">
        <f t="shared" si="47"/>
        <v>0.62295848976245449</v>
      </c>
      <c r="N137" s="35">
        <f t="shared" si="33"/>
        <v>2.4191696803730061</v>
      </c>
      <c r="O137" s="35">
        <f t="shared" si="34"/>
        <v>0.91827745569392083</v>
      </c>
      <c r="P137" s="36">
        <f t="shared" si="35"/>
        <v>1</v>
      </c>
      <c r="Q137" s="36">
        <f t="shared" si="36"/>
        <v>-8.172254430607917E-2</v>
      </c>
      <c r="R137" s="37">
        <f t="shared" si="37"/>
        <v>6.6785742478590732E-3</v>
      </c>
      <c r="T137" s="31">
        <f t="shared" si="38"/>
        <v>-1.2265568335973941E-2</v>
      </c>
      <c r="U137" s="31">
        <f t="shared" si="39"/>
        <v>-7.3593410015843644E-2</v>
      </c>
      <c r="V137" s="31">
        <f t="shared" si="40"/>
        <v>-2.698425033914267E-2</v>
      </c>
      <c r="W137" s="31">
        <f t="shared" si="41"/>
        <v>-4.9062273343895763E-2</v>
      </c>
      <c r="X137" s="31">
        <f t="shared" si="42"/>
        <v>-1.2265568335973941E-2</v>
      </c>
    </row>
    <row r="138" spans="1:24" ht="14.25" customHeight="1" x14ac:dyDescent="0.25">
      <c r="A138" s="41"/>
      <c r="B138" s="38">
        <v>54</v>
      </c>
      <c r="C138" s="32">
        <v>6.1</v>
      </c>
      <c r="D138" s="32">
        <v>2.9</v>
      </c>
      <c r="E138" s="32">
        <v>4.7</v>
      </c>
      <c r="F138" s="32">
        <v>1.4</v>
      </c>
      <c r="G138" s="39">
        <v>1</v>
      </c>
      <c r="H138">
        <f t="shared" si="32"/>
        <v>1</v>
      </c>
      <c r="I138" s="38">
        <f t="shared" si="43"/>
        <v>0.33261489188694154</v>
      </c>
      <c r="J138" s="40">
        <f t="shared" si="44"/>
        <v>-0.15121728939985637</v>
      </c>
      <c r="K138" s="40">
        <f t="shared" si="45"/>
        <v>-0.10311919330686525</v>
      </c>
      <c r="L138" s="40">
        <f t="shared" si="46"/>
        <v>0.66717657691328136</v>
      </c>
      <c r="M138" s="40">
        <f t="shared" si="47"/>
        <v>0.6241850465960519</v>
      </c>
      <c r="N138" s="35">
        <f t="shared" si="33"/>
        <v>3.1207327426848037</v>
      </c>
      <c r="O138" s="35">
        <f t="shared" si="34"/>
        <v>0.95773989527253656</v>
      </c>
      <c r="P138" s="36">
        <f t="shared" si="35"/>
        <v>1</v>
      </c>
      <c r="Q138" s="36">
        <f t="shared" si="36"/>
        <v>-4.2260104727463443E-2</v>
      </c>
      <c r="R138" s="37">
        <f t="shared" si="37"/>
        <v>1.7859164515761782E-3</v>
      </c>
      <c r="T138" s="31">
        <f t="shared" si="38"/>
        <v>-3.4208868705961379E-3</v>
      </c>
      <c r="U138" s="31">
        <f t="shared" si="39"/>
        <v>-2.0867409910636441E-2</v>
      </c>
      <c r="V138" s="31">
        <f t="shared" si="40"/>
        <v>-9.9205719247288E-3</v>
      </c>
      <c r="W138" s="31">
        <f t="shared" si="41"/>
        <v>-1.6078168291801847E-2</v>
      </c>
      <c r="X138" s="31">
        <f t="shared" si="42"/>
        <v>-4.7892416188345926E-3</v>
      </c>
    </row>
    <row r="139" spans="1:24" ht="14.25" customHeight="1" x14ac:dyDescent="0.25">
      <c r="A139" s="41"/>
      <c r="B139" s="38">
        <v>55</v>
      </c>
      <c r="C139" s="32">
        <v>5.6</v>
      </c>
      <c r="D139" s="32">
        <v>2.9</v>
      </c>
      <c r="E139" s="32">
        <v>3.6</v>
      </c>
      <c r="F139" s="32">
        <v>1.3</v>
      </c>
      <c r="G139" s="39">
        <v>1</v>
      </c>
      <c r="H139">
        <f t="shared" si="32"/>
        <v>1</v>
      </c>
      <c r="I139" s="38">
        <f t="shared" si="43"/>
        <v>0.33295698057400114</v>
      </c>
      <c r="J139" s="40">
        <f t="shared" si="44"/>
        <v>-0.14913054840879272</v>
      </c>
      <c r="K139" s="40">
        <f t="shared" si="45"/>
        <v>-0.10212713611439238</v>
      </c>
      <c r="L139" s="40">
        <f t="shared" si="46"/>
        <v>0.66878439374246157</v>
      </c>
      <c r="M139" s="40">
        <f t="shared" si="47"/>
        <v>0.62466397075793534</v>
      </c>
      <c r="N139" s="35">
        <f t="shared" si="33"/>
        <v>2.4213441942112017</v>
      </c>
      <c r="O139" s="35">
        <f t="shared" si="34"/>
        <v>0.91844049149181362</v>
      </c>
      <c r="P139" s="36">
        <f t="shared" si="35"/>
        <v>1</v>
      </c>
      <c r="Q139" s="36">
        <f t="shared" si="36"/>
        <v>-8.1559508508186385E-2</v>
      </c>
      <c r="R139" s="37">
        <f t="shared" si="37"/>
        <v>6.6519534280969272E-3</v>
      </c>
      <c r="T139" s="31">
        <f t="shared" si="38"/>
        <v>-1.2218846751763993E-2</v>
      </c>
      <c r="U139" s="31">
        <f t="shared" si="39"/>
        <v>-6.8425541809878351E-2</v>
      </c>
      <c r="V139" s="31">
        <f t="shared" si="40"/>
        <v>-3.5434655580115576E-2</v>
      </c>
      <c r="W139" s="31">
        <f t="shared" si="41"/>
        <v>-4.3987848306350379E-2</v>
      </c>
      <c r="X139" s="31">
        <f t="shared" si="42"/>
        <v>-1.5884500777293191E-2</v>
      </c>
    </row>
    <row r="140" spans="1:24" ht="14.25" customHeight="1" x14ac:dyDescent="0.25">
      <c r="A140" s="41"/>
      <c r="B140" s="38">
        <v>56</v>
      </c>
      <c r="C140" s="32">
        <v>6.7</v>
      </c>
      <c r="D140" s="32">
        <v>3.1</v>
      </c>
      <c r="E140" s="32">
        <v>4.4000000000000004</v>
      </c>
      <c r="F140" s="32">
        <v>1.4</v>
      </c>
      <c r="G140" s="39">
        <v>1</v>
      </c>
      <c r="H140">
        <f t="shared" si="32"/>
        <v>1</v>
      </c>
      <c r="I140" s="38">
        <f t="shared" si="43"/>
        <v>0.33417886524917756</v>
      </c>
      <c r="J140" s="40">
        <f t="shared" si="44"/>
        <v>-0.14228799422780489</v>
      </c>
      <c r="K140" s="40">
        <f t="shared" si="45"/>
        <v>-9.8583670556380815E-2</v>
      </c>
      <c r="L140" s="40">
        <f t="shared" si="46"/>
        <v>0.67318317857309662</v>
      </c>
      <c r="M140" s="40">
        <f t="shared" si="47"/>
        <v>0.62625242083566468</v>
      </c>
      <c r="N140" s="35">
        <f t="shared" si="33"/>
        <v>2.9139993000896598</v>
      </c>
      <c r="O140" s="35">
        <f t="shared" si="34"/>
        <v>0.94853414941744418</v>
      </c>
      <c r="P140" s="36">
        <f t="shared" si="35"/>
        <v>1</v>
      </c>
      <c r="Q140" s="36">
        <f t="shared" si="36"/>
        <v>-5.1465850582555817E-2</v>
      </c>
      <c r="R140" s="37">
        <f t="shared" si="37"/>
        <v>2.6487337761859609E-3</v>
      </c>
      <c r="T140" s="31">
        <f t="shared" si="38"/>
        <v>-5.024828878855611E-3</v>
      </c>
      <c r="U140" s="31">
        <f t="shared" si="39"/>
        <v>-3.3666353488332593E-2</v>
      </c>
      <c r="V140" s="31">
        <f t="shared" si="40"/>
        <v>-1.5576969524452394E-2</v>
      </c>
      <c r="W140" s="31">
        <f t="shared" si="41"/>
        <v>-2.2109247066964689E-2</v>
      </c>
      <c r="X140" s="31">
        <f t="shared" si="42"/>
        <v>-7.0347604303978547E-3</v>
      </c>
    </row>
    <row r="141" spans="1:24" ht="14.25" customHeight="1" x14ac:dyDescent="0.25">
      <c r="A141" s="41"/>
      <c r="B141" s="38">
        <v>57</v>
      </c>
      <c r="C141" s="32">
        <v>5.6</v>
      </c>
      <c r="D141" s="32">
        <v>3</v>
      </c>
      <c r="E141" s="32">
        <v>4.5</v>
      </c>
      <c r="F141" s="32">
        <v>1.5</v>
      </c>
      <c r="G141" s="39">
        <v>1</v>
      </c>
      <c r="H141">
        <f t="shared" si="32"/>
        <v>1</v>
      </c>
      <c r="I141" s="38">
        <f t="shared" si="43"/>
        <v>0.33468134813706313</v>
      </c>
      <c r="J141" s="40">
        <f t="shared" si="44"/>
        <v>-0.13892135887897164</v>
      </c>
      <c r="K141" s="40">
        <f t="shared" si="45"/>
        <v>-9.702597360393557E-2</v>
      </c>
      <c r="L141" s="40">
        <f t="shared" si="46"/>
        <v>0.6753941032797931</v>
      </c>
      <c r="M141" s="40">
        <f t="shared" si="47"/>
        <v>0.62695589687870446</v>
      </c>
      <c r="N141" s="35">
        <f t="shared" si="33"/>
        <v>3.2453511276801414</v>
      </c>
      <c r="O141" s="35">
        <f t="shared" si="34"/>
        <v>0.96250570219710274</v>
      </c>
      <c r="P141" s="36">
        <f t="shared" si="35"/>
        <v>1</v>
      </c>
      <c r="Q141" s="36">
        <f t="shared" si="36"/>
        <v>-3.7494297802897258E-2</v>
      </c>
      <c r="R141" s="37">
        <f t="shared" si="37"/>
        <v>1.4058223677323462E-3</v>
      </c>
      <c r="T141" s="31">
        <f t="shared" si="38"/>
        <v>-2.7062240904372312E-3</v>
      </c>
      <c r="U141" s="31">
        <f t="shared" si="39"/>
        <v>-1.5154854906448493E-2</v>
      </c>
      <c r="V141" s="31">
        <f t="shared" si="40"/>
        <v>-8.118672271311694E-3</v>
      </c>
      <c r="W141" s="31">
        <f t="shared" si="41"/>
        <v>-1.217800840696754E-2</v>
      </c>
      <c r="X141" s="31">
        <f t="shared" si="42"/>
        <v>-4.059336135655847E-3</v>
      </c>
    </row>
    <row r="142" spans="1:24" ht="14.25" customHeight="1" x14ac:dyDescent="0.25">
      <c r="A142" s="41"/>
      <c r="B142" s="38">
        <v>58</v>
      </c>
      <c r="C142" s="32">
        <v>5.8</v>
      </c>
      <c r="D142" s="32">
        <v>2.7</v>
      </c>
      <c r="E142" s="32">
        <v>4.0999999999999996</v>
      </c>
      <c r="F142" s="32">
        <v>1</v>
      </c>
      <c r="G142" s="39">
        <v>1</v>
      </c>
      <c r="H142">
        <f t="shared" si="32"/>
        <v>1</v>
      </c>
      <c r="I142" s="38">
        <f t="shared" si="43"/>
        <v>0.33495197054610687</v>
      </c>
      <c r="J142" s="40">
        <f t="shared" si="44"/>
        <v>-0.1374058733883268</v>
      </c>
      <c r="K142" s="40">
        <f t="shared" si="45"/>
        <v>-9.6214106376804401E-2</v>
      </c>
      <c r="L142" s="40">
        <f t="shared" si="46"/>
        <v>0.67661190412048988</v>
      </c>
      <c r="M142" s="40">
        <f t="shared" si="47"/>
        <v>0.62736183049227001</v>
      </c>
      <c r="N142" s="35">
        <f t="shared" si="33"/>
        <v>2.6796904550627176</v>
      </c>
      <c r="O142" s="35">
        <f t="shared" si="34"/>
        <v>0.9358175338813689</v>
      </c>
      <c r="P142" s="36">
        <f t="shared" si="35"/>
        <v>1</v>
      </c>
      <c r="Q142" s="36">
        <f t="shared" si="36"/>
        <v>-6.4182466118631099E-2</v>
      </c>
      <c r="R142" s="37">
        <f t="shared" si="37"/>
        <v>4.1193889570692293E-3</v>
      </c>
      <c r="T142" s="31">
        <f t="shared" si="38"/>
        <v>-7.7099928298053405E-3</v>
      </c>
      <c r="U142" s="31">
        <f t="shared" si="39"/>
        <v>-4.4717958412870976E-2</v>
      </c>
      <c r="V142" s="31">
        <f t="shared" si="40"/>
        <v>-2.0816980640474422E-2</v>
      </c>
      <c r="W142" s="31">
        <f t="shared" si="41"/>
        <v>-3.1610970602201895E-2</v>
      </c>
      <c r="X142" s="31">
        <f t="shared" si="42"/>
        <v>-7.7099928298053405E-3</v>
      </c>
    </row>
    <row r="143" spans="1:24" ht="14.25" customHeight="1" x14ac:dyDescent="0.25">
      <c r="A143" s="41"/>
      <c r="B143" s="38">
        <v>59</v>
      </c>
      <c r="C143" s="32">
        <v>6.2</v>
      </c>
      <c r="D143" s="32">
        <v>2.2000000000000002</v>
      </c>
      <c r="E143" s="32">
        <v>4.5</v>
      </c>
      <c r="F143" s="32">
        <v>1.5</v>
      </c>
      <c r="G143" s="39">
        <v>1</v>
      </c>
      <c r="H143">
        <f t="shared" si="32"/>
        <v>1</v>
      </c>
      <c r="I143" s="38">
        <f t="shared" si="43"/>
        <v>0.33572296982908739</v>
      </c>
      <c r="J143" s="40">
        <f t="shared" si="44"/>
        <v>-0.1329340775470397</v>
      </c>
      <c r="K143" s="40">
        <f t="shared" si="45"/>
        <v>-9.413240831275696E-2</v>
      </c>
      <c r="L143" s="40">
        <f t="shared" si="46"/>
        <v>0.67977300118071005</v>
      </c>
      <c r="M143" s="40">
        <f t="shared" si="47"/>
        <v>0.62813282977525053</v>
      </c>
      <c r="N143" s="35">
        <f t="shared" si="33"/>
        <v>3.3056181407254468</v>
      </c>
      <c r="O143" s="35">
        <f t="shared" si="34"/>
        <v>0.9646210439020948</v>
      </c>
      <c r="P143" s="36">
        <f t="shared" si="35"/>
        <v>1</v>
      </c>
      <c r="Q143" s="36">
        <f t="shared" si="36"/>
        <v>-3.5378956097905201E-2</v>
      </c>
      <c r="R143" s="37">
        <f t="shared" si="37"/>
        <v>1.2516705345775037E-3</v>
      </c>
      <c r="T143" s="31">
        <f t="shared" si="38"/>
        <v>-2.4147754753712893E-3</v>
      </c>
      <c r="U143" s="31">
        <f t="shared" si="39"/>
        <v>-1.4971607947301993E-2</v>
      </c>
      <c r="V143" s="31">
        <f t="shared" si="40"/>
        <v>-5.3125060458168371E-3</v>
      </c>
      <c r="W143" s="31">
        <f t="shared" si="41"/>
        <v>-1.0866489639170801E-2</v>
      </c>
      <c r="X143" s="31">
        <f t="shared" si="42"/>
        <v>-3.6221632130569339E-3</v>
      </c>
    </row>
    <row r="144" spans="1:24" ht="14.25" customHeight="1" x14ac:dyDescent="0.25">
      <c r="A144" s="41"/>
      <c r="B144" s="38">
        <v>60</v>
      </c>
      <c r="C144" s="32">
        <v>5.6</v>
      </c>
      <c r="D144" s="32">
        <v>2.5</v>
      </c>
      <c r="E144" s="32">
        <v>3.9</v>
      </c>
      <c r="F144" s="32">
        <v>1.1000000000000001</v>
      </c>
      <c r="G144" s="39">
        <v>1</v>
      </c>
      <c r="H144">
        <f t="shared" si="32"/>
        <v>1</v>
      </c>
      <c r="I144" s="38">
        <f t="shared" si="43"/>
        <v>0.33596444737662451</v>
      </c>
      <c r="J144" s="40">
        <f t="shared" si="44"/>
        <v>-0.13143691675230951</v>
      </c>
      <c r="K144" s="40">
        <f t="shared" si="45"/>
        <v>-9.3601157708175273E-2</v>
      </c>
      <c r="L144" s="40">
        <f t="shared" si="46"/>
        <v>0.68085965014462713</v>
      </c>
      <c r="M144" s="40">
        <f t="shared" si="47"/>
        <v>0.62849504609655626</v>
      </c>
      <c r="N144" s="35">
        <f t="shared" si="33"/>
        <v>2.7126120055635106</v>
      </c>
      <c r="O144" s="35">
        <f t="shared" si="34"/>
        <v>0.93776676037001361</v>
      </c>
      <c r="P144" s="36">
        <f t="shared" si="35"/>
        <v>1</v>
      </c>
      <c r="Q144" s="36">
        <f t="shared" si="36"/>
        <v>-6.2233239629986392E-2</v>
      </c>
      <c r="R144" s="37">
        <f t="shared" si="37"/>
        <v>3.8729761148433087E-3</v>
      </c>
      <c r="T144" s="31">
        <f t="shared" si="38"/>
        <v>-7.263896528414103E-3</v>
      </c>
      <c r="U144" s="31">
        <f t="shared" si="39"/>
        <v>-4.0677820559118977E-2</v>
      </c>
      <c r="V144" s="31">
        <f t="shared" si="40"/>
        <v>-1.8159741321035257E-2</v>
      </c>
      <c r="W144" s="31">
        <f t="shared" si="41"/>
        <v>-2.8329196460815002E-2</v>
      </c>
      <c r="X144" s="31">
        <f t="shared" si="42"/>
        <v>-7.9902861812555133E-3</v>
      </c>
    </row>
    <row r="145" spans="1:24" ht="14.25" customHeight="1" x14ac:dyDescent="0.25">
      <c r="A145" s="41"/>
      <c r="B145" s="38">
        <v>61</v>
      </c>
      <c r="C145" s="32">
        <v>5.9</v>
      </c>
      <c r="D145" s="32">
        <v>3.2</v>
      </c>
      <c r="E145" s="32">
        <v>4.8</v>
      </c>
      <c r="F145" s="32">
        <v>1.8</v>
      </c>
      <c r="G145" s="39">
        <v>1</v>
      </c>
      <c r="H145">
        <f t="shared" si="32"/>
        <v>1</v>
      </c>
      <c r="I145" s="38">
        <f t="shared" si="43"/>
        <v>0.33669083702946589</v>
      </c>
      <c r="J145" s="40">
        <f t="shared" si="44"/>
        <v>-0.1273691346963976</v>
      </c>
      <c r="K145" s="40">
        <f t="shared" si="45"/>
        <v>-9.1785183576071752E-2</v>
      </c>
      <c r="L145" s="40">
        <f t="shared" si="46"/>
        <v>0.68369256979070858</v>
      </c>
      <c r="M145" s="40">
        <f t="shared" si="47"/>
        <v>0.62929407471468179</v>
      </c>
      <c r="N145" s="35">
        <f t="shared" si="33"/>
        <v>3.7059540243591189</v>
      </c>
      <c r="O145" s="35">
        <f t="shared" si="34"/>
        <v>0.97601276905002399</v>
      </c>
      <c r="P145" s="36">
        <f t="shared" si="35"/>
        <v>1</v>
      </c>
      <c r="Q145" s="36">
        <f t="shared" si="36"/>
        <v>-2.3987230949976013E-2</v>
      </c>
      <c r="R145" s="37">
        <f t="shared" si="37"/>
        <v>5.7538724864748716E-4</v>
      </c>
      <c r="T145" s="31">
        <f t="shared" si="38"/>
        <v>-1.1231706036570173E-3</v>
      </c>
      <c r="U145" s="31">
        <f t="shared" si="39"/>
        <v>-6.626706561576403E-3</v>
      </c>
      <c r="V145" s="31">
        <f t="shared" si="40"/>
        <v>-3.5941459317024556E-3</v>
      </c>
      <c r="W145" s="31">
        <f t="shared" si="41"/>
        <v>-5.391218897553683E-3</v>
      </c>
      <c r="X145" s="31">
        <f t="shared" si="42"/>
        <v>-2.0217070865826314E-3</v>
      </c>
    </row>
    <row r="146" spans="1:24" ht="14.25" customHeight="1" x14ac:dyDescent="0.25">
      <c r="A146" s="41"/>
      <c r="B146" s="38">
        <v>62</v>
      </c>
      <c r="C146" s="32">
        <v>6.1</v>
      </c>
      <c r="D146" s="32">
        <v>2.8</v>
      </c>
      <c r="E146" s="32">
        <v>4</v>
      </c>
      <c r="F146" s="32">
        <v>1.3</v>
      </c>
      <c r="G146" s="39">
        <v>1</v>
      </c>
      <c r="H146">
        <f t="shared" si="32"/>
        <v>1</v>
      </c>
      <c r="I146" s="38">
        <f t="shared" si="43"/>
        <v>0.33680315408983158</v>
      </c>
      <c r="J146" s="40">
        <f t="shared" si="44"/>
        <v>-0.12670646404023997</v>
      </c>
      <c r="K146" s="40">
        <f t="shared" si="45"/>
        <v>-9.1425768982901501E-2</v>
      </c>
      <c r="L146" s="40">
        <f t="shared" si="46"/>
        <v>0.68423169168046394</v>
      </c>
      <c r="M146" s="40">
        <f t="shared" si="47"/>
        <v>0.62949624542334004</v>
      </c>
      <c r="N146" s="35">
        <f t="shared" si="33"/>
        <v>2.8631734560644411</v>
      </c>
      <c r="O146" s="35">
        <f t="shared" si="34"/>
        <v>0.94599565430196753</v>
      </c>
      <c r="P146" s="36">
        <f t="shared" si="35"/>
        <v>1</v>
      </c>
      <c r="Q146" s="36">
        <f t="shared" si="36"/>
        <v>-5.4004345698032474E-2</v>
      </c>
      <c r="R146" s="37">
        <f t="shared" si="37"/>
        <v>2.9164693542725988E-3</v>
      </c>
      <c r="T146" s="31">
        <f t="shared" si="38"/>
        <v>-5.517934670093488E-3</v>
      </c>
      <c r="U146" s="31">
        <f t="shared" si="39"/>
        <v>-3.3659401487570274E-2</v>
      </c>
      <c r="V146" s="31">
        <f t="shared" si="40"/>
        <v>-1.5450217076261765E-2</v>
      </c>
      <c r="W146" s="31">
        <f t="shared" si="41"/>
        <v>-2.2071738680373952E-2</v>
      </c>
      <c r="X146" s="31">
        <f t="shared" si="42"/>
        <v>-7.1733150711215344E-3</v>
      </c>
    </row>
    <row r="147" spans="1:24" ht="14.25" customHeight="1" x14ac:dyDescent="0.25">
      <c r="A147" s="41"/>
      <c r="B147" s="38">
        <v>63</v>
      </c>
      <c r="C147" s="32">
        <v>6.3</v>
      </c>
      <c r="D147" s="32">
        <v>2.5</v>
      </c>
      <c r="E147" s="32">
        <v>4.9000000000000004</v>
      </c>
      <c r="F147" s="32">
        <v>1.5</v>
      </c>
      <c r="G147" s="39">
        <v>1</v>
      </c>
      <c r="H147">
        <f t="shared" si="32"/>
        <v>1</v>
      </c>
      <c r="I147" s="38">
        <f t="shared" si="43"/>
        <v>0.33735494755684092</v>
      </c>
      <c r="J147" s="40">
        <f t="shared" si="44"/>
        <v>-0.12334052389148294</v>
      </c>
      <c r="K147" s="40">
        <f t="shared" si="45"/>
        <v>-8.9880747275275327E-2</v>
      </c>
      <c r="L147" s="40">
        <f t="shared" si="46"/>
        <v>0.68643886554850131</v>
      </c>
      <c r="M147" s="40">
        <f t="shared" si="47"/>
        <v>0.63021357693045221</v>
      </c>
      <c r="N147" s="35">
        <f t="shared" si="33"/>
        <v>3.6444785854356452</v>
      </c>
      <c r="O147" s="35">
        <f t="shared" si="34"/>
        <v>0.97453060987493167</v>
      </c>
      <c r="P147" s="36">
        <f t="shared" si="35"/>
        <v>1</v>
      </c>
      <c r="Q147" s="36">
        <f t="shared" si="36"/>
        <v>-2.5469390125068325E-2</v>
      </c>
      <c r="R147" s="37">
        <f t="shared" si="37"/>
        <v>6.486898333429279E-4</v>
      </c>
      <c r="T147" s="31">
        <f t="shared" si="38"/>
        <v>-1.2643361978147026E-3</v>
      </c>
      <c r="U147" s="31">
        <f t="shared" si="39"/>
        <v>-7.9653180462326261E-3</v>
      </c>
      <c r="V147" s="31">
        <f t="shared" si="40"/>
        <v>-3.1608404945367564E-3</v>
      </c>
      <c r="W147" s="31">
        <f t="shared" si="41"/>
        <v>-6.1952473692920432E-3</v>
      </c>
      <c r="X147" s="31">
        <f t="shared" si="42"/>
        <v>-1.8965042967220539E-3</v>
      </c>
    </row>
    <row r="148" spans="1:24" ht="14.25" customHeight="1" x14ac:dyDescent="0.25">
      <c r="A148" s="41"/>
      <c r="B148" s="38">
        <v>64</v>
      </c>
      <c r="C148" s="32">
        <v>6.1</v>
      </c>
      <c r="D148" s="32">
        <v>2.8</v>
      </c>
      <c r="E148" s="32">
        <v>4.7</v>
      </c>
      <c r="F148" s="32">
        <v>1.2</v>
      </c>
      <c r="G148" s="39">
        <v>1</v>
      </c>
      <c r="H148">
        <f t="shared" si="32"/>
        <v>1</v>
      </c>
      <c r="I148" s="38">
        <f t="shared" si="43"/>
        <v>0.33748138117662241</v>
      </c>
      <c r="J148" s="40">
        <f t="shared" si="44"/>
        <v>-0.12254399208685968</v>
      </c>
      <c r="K148" s="40">
        <f t="shared" si="45"/>
        <v>-8.9564663225821656E-2</v>
      </c>
      <c r="L148" s="40">
        <f t="shared" si="46"/>
        <v>0.68705839028543048</v>
      </c>
      <c r="M148" s="40">
        <f t="shared" si="47"/>
        <v>0.63040322736012444</v>
      </c>
      <c r="N148" s="35">
        <f t="shared" si="33"/>
        <v>3.3248402795881504</v>
      </c>
      <c r="O148" s="35">
        <f t="shared" si="34"/>
        <v>0.96527121660586557</v>
      </c>
      <c r="P148" s="36">
        <f t="shared" si="35"/>
        <v>1</v>
      </c>
      <c r="Q148" s="36">
        <f t="shared" si="36"/>
        <v>-3.4728783394134433E-2</v>
      </c>
      <c r="R148" s="37">
        <f t="shared" si="37"/>
        <v>1.2060883960367075E-3</v>
      </c>
      <c r="T148" s="31">
        <f t="shared" si="38"/>
        <v>-2.3284048267531391E-3</v>
      </c>
      <c r="U148" s="31">
        <f t="shared" si="39"/>
        <v>-1.4203269443194147E-2</v>
      </c>
      <c r="V148" s="31">
        <f t="shared" si="40"/>
        <v>-6.5195335149087893E-3</v>
      </c>
      <c r="W148" s="31">
        <f t="shared" si="41"/>
        <v>-1.0943502685739754E-2</v>
      </c>
      <c r="X148" s="31">
        <f t="shared" si="42"/>
        <v>-2.7940857921037667E-3</v>
      </c>
    </row>
    <row r="149" spans="1:24" ht="14.25" customHeight="1" x14ac:dyDescent="0.25">
      <c r="A149" s="41"/>
      <c r="B149" s="38">
        <v>65</v>
      </c>
      <c r="C149" s="32">
        <v>6.4</v>
      </c>
      <c r="D149" s="32">
        <v>2.9</v>
      </c>
      <c r="E149" s="32">
        <v>4.3</v>
      </c>
      <c r="F149" s="32">
        <v>1.3</v>
      </c>
      <c r="G149" s="39">
        <v>1</v>
      </c>
      <c r="H149">
        <f t="shared" si="32"/>
        <v>1</v>
      </c>
      <c r="I149" s="38">
        <f t="shared" si="43"/>
        <v>0.33771422165929771</v>
      </c>
      <c r="J149" s="40">
        <f t="shared" si="44"/>
        <v>-0.12112366514254026</v>
      </c>
      <c r="K149" s="40">
        <f t="shared" si="45"/>
        <v>-8.8912709874330781E-2</v>
      </c>
      <c r="L149" s="40">
        <f t="shared" si="46"/>
        <v>0.68815274055400444</v>
      </c>
      <c r="M149" s="40">
        <f t="shared" si="47"/>
        <v>0.63068263593933482</v>
      </c>
      <c r="N149" s="35">
        <f t="shared" si="33"/>
        <v>3.083620117214835</v>
      </c>
      <c r="O149" s="35">
        <f t="shared" si="34"/>
        <v>0.95621201166800163</v>
      </c>
      <c r="P149" s="36">
        <f t="shared" si="35"/>
        <v>1</v>
      </c>
      <c r="Q149" s="36">
        <f t="shared" si="36"/>
        <v>-4.3787988331998373E-2</v>
      </c>
      <c r="R149" s="37">
        <f t="shared" si="37"/>
        <v>1.9173879221632258E-3</v>
      </c>
      <c r="T149" s="31">
        <f t="shared" si="38"/>
        <v>-3.6668587243992557E-3</v>
      </c>
      <c r="U149" s="31">
        <f t="shared" si="39"/>
        <v>-2.3467895836155238E-2</v>
      </c>
      <c r="V149" s="31">
        <f t="shared" si="40"/>
        <v>-1.0633890300757841E-2</v>
      </c>
      <c r="W149" s="31">
        <f t="shared" si="41"/>
        <v>-1.5767492514916798E-2</v>
      </c>
      <c r="X149" s="31">
        <f t="shared" si="42"/>
        <v>-4.7669163417190328E-3</v>
      </c>
    </row>
    <row r="150" spans="1:24" ht="14.25" customHeight="1" x14ac:dyDescent="0.25">
      <c r="A150" s="41"/>
      <c r="B150" s="38">
        <v>66</v>
      </c>
      <c r="C150" s="32">
        <v>6.6</v>
      </c>
      <c r="D150" s="32">
        <v>3</v>
      </c>
      <c r="E150" s="32">
        <v>4.4000000000000004</v>
      </c>
      <c r="F150" s="32">
        <v>1.4</v>
      </c>
      <c r="G150" s="39">
        <v>1</v>
      </c>
      <c r="H150">
        <f t="shared" si="32"/>
        <v>1</v>
      </c>
      <c r="I150" s="38">
        <f t="shared" si="43"/>
        <v>0.33808090753173764</v>
      </c>
      <c r="J150" s="40">
        <f t="shared" si="44"/>
        <v>-0.11877687555892474</v>
      </c>
      <c r="K150" s="40">
        <f t="shared" si="45"/>
        <v>-8.7849320844254994E-2</v>
      </c>
      <c r="L150" s="40">
        <f t="shared" si="46"/>
        <v>0.68972948980549609</v>
      </c>
      <c r="M150" s="40">
        <f t="shared" si="47"/>
        <v>0.63115932757350668</v>
      </c>
      <c r="N150" s="35">
        <f t="shared" si="33"/>
        <v>3.2090383800571614</v>
      </c>
      <c r="O150" s="35">
        <f t="shared" si="34"/>
        <v>0.96117299430449943</v>
      </c>
      <c r="P150" s="36">
        <f t="shared" si="35"/>
        <v>1</v>
      </c>
      <c r="Q150" s="36">
        <f t="shared" si="36"/>
        <v>-3.8827005695500572E-2</v>
      </c>
      <c r="R150" s="37">
        <f t="shared" si="37"/>
        <v>1.5075363712784339E-3</v>
      </c>
      <c r="T150" s="31">
        <f t="shared" si="38"/>
        <v>-2.8980064960092639E-3</v>
      </c>
      <c r="U150" s="31">
        <f t="shared" si="39"/>
        <v>-1.9126842873661141E-2</v>
      </c>
      <c r="V150" s="31">
        <f t="shared" si="40"/>
        <v>-8.6940194880277925E-3</v>
      </c>
      <c r="W150" s="31">
        <f t="shared" si="41"/>
        <v>-1.2751228582440762E-2</v>
      </c>
      <c r="X150" s="31">
        <f t="shared" si="42"/>
        <v>-4.0572090944129696E-3</v>
      </c>
    </row>
    <row r="151" spans="1:24" ht="14.25" customHeight="1" x14ac:dyDescent="0.25">
      <c r="A151" s="41"/>
      <c r="B151" s="38">
        <v>67</v>
      </c>
      <c r="C151" s="32">
        <v>6.8</v>
      </c>
      <c r="D151" s="32">
        <v>2.8</v>
      </c>
      <c r="E151" s="32">
        <v>4.8</v>
      </c>
      <c r="F151" s="32">
        <v>1.4</v>
      </c>
      <c r="G151" s="39">
        <v>1</v>
      </c>
      <c r="H151">
        <f t="shared" si="32"/>
        <v>1</v>
      </c>
      <c r="I151" s="38">
        <f t="shared" si="43"/>
        <v>0.33837070818133858</v>
      </c>
      <c r="J151" s="40">
        <f t="shared" si="44"/>
        <v>-0.11686419127155863</v>
      </c>
      <c r="K151" s="40">
        <f t="shared" si="45"/>
        <v>-8.6979918895452216E-2</v>
      </c>
      <c r="L151" s="40">
        <f t="shared" si="46"/>
        <v>0.69100461266374014</v>
      </c>
      <c r="M151" s="40">
        <f t="shared" si="47"/>
        <v>0.63156504848294792</v>
      </c>
      <c r="N151" s="35">
        <f t="shared" si="33"/>
        <v>3.5011636432895528</v>
      </c>
      <c r="O151" s="35">
        <f t="shared" si="34"/>
        <v>0.97072086029083204</v>
      </c>
      <c r="P151" s="36">
        <f t="shared" si="35"/>
        <v>1</v>
      </c>
      <c r="Q151" s="36">
        <f t="shared" si="36"/>
        <v>-2.9279139709167956E-2</v>
      </c>
      <c r="R151" s="37">
        <f t="shared" si="37"/>
        <v>8.5726802210897579E-4</v>
      </c>
      <c r="T151" s="31">
        <f t="shared" si="38"/>
        <v>-1.6643359038428899E-3</v>
      </c>
      <c r="U151" s="31">
        <f t="shared" si="39"/>
        <v>-1.1317484146131651E-2</v>
      </c>
      <c r="V151" s="31">
        <f t="shared" si="40"/>
        <v>-4.6601405307600914E-3</v>
      </c>
      <c r="W151" s="31">
        <f t="shared" si="41"/>
        <v>-7.9888123384458717E-3</v>
      </c>
      <c r="X151" s="31">
        <f t="shared" si="42"/>
        <v>-2.3300702653800457E-3</v>
      </c>
    </row>
    <row r="152" spans="1:24" ht="14.25" customHeight="1" x14ac:dyDescent="0.25">
      <c r="A152" s="41"/>
      <c r="B152" s="38">
        <v>68</v>
      </c>
      <c r="C152" s="32">
        <v>6.7</v>
      </c>
      <c r="D152" s="32">
        <v>3</v>
      </c>
      <c r="E152" s="32">
        <v>5</v>
      </c>
      <c r="F152" s="32">
        <v>1.7</v>
      </c>
      <c r="G152" s="39">
        <v>1</v>
      </c>
      <c r="H152">
        <f t="shared" si="32"/>
        <v>1</v>
      </c>
      <c r="I152" s="38">
        <f t="shared" si="43"/>
        <v>0.33853714177172284</v>
      </c>
      <c r="J152" s="40">
        <f t="shared" si="44"/>
        <v>-0.11573244285694546</v>
      </c>
      <c r="K152" s="40">
        <f t="shared" si="45"/>
        <v>-8.6513904842376213E-2</v>
      </c>
      <c r="L152" s="40">
        <f t="shared" si="46"/>
        <v>0.69180349389758478</v>
      </c>
      <c r="M152" s="40">
        <f t="shared" si="47"/>
        <v>0.63179805550948598</v>
      </c>
      <c r="N152" s="35">
        <f t="shared" si="33"/>
        <v>3.8366622239571093</v>
      </c>
      <c r="O152" s="35">
        <f t="shared" si="34"/>
        <v>0.97888978941150262</v>
      </c>
      <c r="P152" s="36">
        <f t="shared" si="35"/>
        <v>1</v>
      </c>
      <c r="Q152" s="36">
        <f t="shared" si="36"/>
        <v>-2.111021058849738E-2</v>
      </c>
      <c r="R152" s="37">
        <f t="shared" si="37"/>
        <v>4.4564099109070692E-4</v>
      </c>
      <c r="T152" s="31">
        <f t="shared" si="38"/>
        <v>-8.7246683184383082E-4</v>
      </c>
      <c r="U152" s="31">
        <f t="shared" si="39"/>
        <v>-5.8455277733536664E-3</v>
      </c>
      <c r="V152" s="31">
        <f t="shared" si="40"/>
        <v>-2.6174004955314923E-3</v>
      </c>
      <c r="W152" s="31">
        <f t="shared" si="41"/>
        <v>-4.3623341592191542E-3</v>
      </c>
      <c r="X152" s="31">
        <f t="shared" si="42"/>
        <v>-1.4831936141345124E-3</v>
      </c>
    </row>
    <row r="153" spans="1:24" ht="14.25" customHeight="1" x14ac:dyDescent="0.25">
      <c r="A153" s="41"/>
      <c r="B153" s="38">
        <v>69</v>
      </c>
      <c r="C153" s="32">
        <v>6</v>
      </c>
      <c r="D153" s="32">
        <v>2.9</v>
      </c>
      <c r="E153" s="32">
        <v>4.5</v>
      </c>
      <c r="F153" s="32">
        <v>1.5</v>
      </c>
      <c r="G153" s="39">
        <v>1</v>
      </c>
      <c r="H153">
        <f t="shared" si="32"/>
        <v>1</v>
      </c>
      <c r="I153" s="38">
        <f t="shared" si="43"/>
        <v>0.33862438845490722</v>
      </c>
      <c r="J153" s="40">
        <f t="shared" si="44"/>
        <v>-0.1151478900796101</v>
      </c>
      <c r="K153" s="40">
        <f t="shared" si="45"/>
        <v>-8.6252164792823063E-2</v>
      </c>
      <c r="L153" s="40">
        <f t="shared" si="46"/>
        <v>0.69223972731350669</v>
      </c>
      <c r="M153" s="40">
        <f t="shared" si="47"/>
        <v>0.63194637487089944</v>
      </c>
      <c r="N153" s="35">
        <f t="shared" si="33"/>
        <v>3.460604105295189</v>
      </c>
      <c r="O153" s="35">
        <f t="shared" si="34"/>
        <v>0.96954580905175447</v>
      </c>
      <c r="P153" s="36">
        <f t="shared" si="35"/>
        <v>1</v>
      </c>
      <c r="Q153" s="36">
        <f t="shared" si="36"/>
        <v>-3.045419094824553E-2</v>
      </c>
      <c r="R153" s="37">
        <f t="shared" si="37"/>
        <v>9.2745774631219999E-4</v>
      </c>
      <c r="T153" s="31">
        <f t="shared" si="38"/>
        <v>-1.7984255420191576E-3</v>
      </c>
      <c r="U153" s="31">
        <f t="shared" si="39"/>
        <v>-1.0790553252114945E-2</v>
      </c>
      <c r="V153" s="31">
        <f t="shared" si="40"/>
        <v>-5.2154340718555568E-3</v>
      </c>
      <c r="W153" s="31">
        <f t="shared" si="41"/>
        <v>-8.0929149390862095E-3</v>
      </c>
      <c r="X153" s="31">
        <f t="shared" si="42"/>
        <v>-2.6976383130287362E-3</v>
      </c>
    </row>
    <row r="154" spans="1:24" ht="14.25" customHeight="1" x14ac:dyDescent="0.25">
      <c r="A154" s="41"/>
      <c r="B154" s="38">
        <v>70</v>
      </c>
      <c r="C154" s="32">
        <v>5.7</v>
      </c>
      <c r="D154" s="32">
        <v>2.6</v>
      </c>
      <c r="E154" s="32">
        <v>3.5</v>
      </c>
      <c r="F154" s="32">
        <v>1</v>
      </c>
      <c r="G154" s="39">
        <v>1</v>
      </c>
      <c r="H154">
        <f t="shared" si="32"/>
        <v>1</v>
      </c>
      <c r="I154" s="38">
        <f t="shared" si="43"/>
        <v>0.33880423100910911</v>
      </c>
      <c r="J154" s="40">
        <f t="shared" si="44"/>
        <v>-0.11406883475439861</v>
      </c>
      <c r="K154" s="40">
        <f t="shared" si="45"/>
        <v>-8.5730621385637501E-2</v>
      </c>
      <c r="L154" s="40">
        <f t="shared" si="46"/>
        <v>0.69304901880741532</v>
      </c>
      <c r="M154" s="40">
        <f t="shared" si="47"/>
        <v>0.63221613870220228</v>
      </c>
      <c r="N154" s="35">
        <f t="shared" si="33"/>
        <v>2.5235999618345355</v>
      </c>
      <c r="O154" s="35">
        <f t="shared" si="34"/>
        <v>0.92577979331869775</v>
      </c>
      <c r="P154" s="36">
        <f t="shared" si="35"/>
        <v>1</v>
      </c>
      <c r="Q154" s="36">
        <f t="shared" si="36"/>
        <v>-7.4220206681302248E-2</v>
      </c>
      <c r="R154" s="37">
        <f t="shared" si="37"/>
        <v>5.5086390798152231E-3</v>
      </c>
      <c r="T154" s="31">
        <f t="shared" si="38"/>
        <v>-1.0199573497557277E-2</v>
      </c>
      <c r="U154" s="31">
        <f t="shared" si="39"/>
        <v>-5.8137568936076481E-2</v>
      </c>
      <c r="V154" s="31">
        <f t="shared" si="40"/>
        <v>-2.6518891093648921E-2</v>
      </c>
      <c r="W154" s="31">
        <f t="shared" si="41"/>
        <v>-3.5698507241450468E-2</v>
      </c>
      <c r="X154" s="31">
        <f t="shared" si="42"/>
        <v>-1.0199573497557277E-2</v>
      </c>
    </row>
    <row r="155" spans="1:24" ht="14.25" customHeight="1" x14ac:dyDescent="0.25">
      <c r="A155" s="41"/>
      <c r="B155" s="38">
        <v>71</v>
      </c>
      <c r="C155" s="32">
        <v>5.5</v>
      </c>
      <c r="D155" s="32">
        <v>2.4</v>
      </c>
      <c r="E155" s="32">
        <v>3.8</v>
      </c>
      <c r="F155" s="32">
        <v>1.1000000000000001</v>
      </c>
      <c r="G155" s="39">
        <v>1</v>
      </c>
      <c r="H155">
        <f t="shared" si="32"/>
        <v>1</v>
      </c>
      <c r="I155" s="38">
        <f t="shared" si="43"/>
        <v>0.33982418835886485</v>
      </c>
      <c r="J155" s="40">
        <f t="shared" si="44"/>
        <v>-0.10825507786079096</v>
      </c>
      <c r="K155" s="40">
        <f t="shared" si="45"/>
        <v>-8.3078732276272604E-2</v>
      </c>
      <c r="L155" s="40">
        <f t="shared" si="46"/>
        <v>0.69661886953156038</v>
      </c>
      <c r="M155" s="40">
        <f t="shared" si="47"/>
        <v>0.63323609605195796</v>
      </c>
      <c r="N155" s="35">
        <f t="shared" si="33"/>
        <v>2.8887437125385436</v>
      </c>
      <c r="O155" s="35">
        <f t="shared" si="34"/>
        <v>0.94728718512668442</v>
      </c>
      <c r="P155" s="36">
        <f t="shared" si="35"/>
        <v>1</v>
      </c>
      <c r="Q155" s="36">
        <f t="shared" si="36"/>
        <v>-5.2712814873315583E-2</v>
      </c>
      <c r="R155" s="37">
        <f t="shared" si="37"/>
        <v>2.7786408518684406E-3</v>
      </c>
      <c r="T155" s="31">
        <f t="shared" si="38"/>
        <v>-5.2643417420889351E-3</v>
      </c>
      <c r="U155" s="31">
        <f t="shared" si="39"/>
        <v>-2.8953879581489143E-2</v>
      </c>
      <c r="V155" s="31">
        <f t="shared" si="40"/>
        <v>-1.2634420181013444E-2</v>
      </c>
      <c r="W155" s="31">
        <f t="shared" si="41"/>
        <v>-2.0004498619937951E-2</v>
      </c>
      <c r="X155" s="31">
        <f t="shared" si="42"/>
        <v>-5.790775916297829E-3</v>
      </c>
    </row>
    <row r="156" spans="1:24" ht="14.25" customHeight="1" x14ac:dyDescent="0.25">
      <c r="A156" s="41"/>
      <c r="B156" s="38">
        <v>72</v>
      </c>
      <c r="C156" s="32">
        <v>5.5</v>
      </c>
      <c r="D156" s="32">
        <v>2.4</v>
      </c>
      <c r="E156" s="32">
        <v>3.7</v>
      </c>
      <c r="F156" s="32">
        <v>1</v>
      </c>
      <c r="G156" s="39">
        <v>1</v>
      </c>
      <c r="H156">
        <f t="shared" si="32"/>
        <v>1</v>
      </c>
      <c r="I156" s="38">
        <f t="shared" si="43"/>
        <v>0.34035062253307374</v>
      </c>
      <c r="J156" s="40">
        <f t="shared" si="44"/>
        <v>-0.10535968990264204</v>
      </c>
      <c r="K156" s="40">
        <f t="shared" si="45"/>
        <v>-8.1815290258171261E-2</v>
      </c>
      <c r="L156" s="40">
        <f t="shared" si="46"/>
        <v>0.69861931939355415</v>
      </c>
      <c r="M156" s="40">
        <f t="shared" si="47"/>
        <v>0.63381517364358775</v>
      </c>
      <c r="N156" s="35">
        <f t="shared" si="33"/>
        <v>2.7832222868486696</v>
      </c>
      <c r="O156" s="35">
        <f t="shared" si="34"/>
        <v>0.94176242564789259</v>
      </c>
      <c r="P156" s="36">
        <f t="shared" si="35"/>
        <v>1</v>
      </c>
      <c r="Q156" s="36">
        <f t="shared" si="36"/>
        <v>-5.8237574352107413E-2</v>
      </c>
      <c r="R156" s="37">
        <f t="shared" si="37"/>
        <v>3.3916150664172391E-3</v>
      </c>
      <c r="T156" s="31">
        <f t="shared" si="38"/>
        <v>-6.3881912636260746E-3</v>
      </c>
      <c r="U156" s="31">
        <f t="shared" si="39"/>
        <v>-3.5135051949943409E-2</v>
      </c>
      <c r="V156" s="31">
        <f t="shared" si="40"/>
        <v>-1.5331659032702578E-2</v>
      </c>
      <c r="W156" s="31">
        <f t="shared" si="41"/>
        <v>-2.3636307675416478E-2</v>
      </c>
      <c r="X156" s="31">
        <f t="shared" si="42"/>
        <v>-6.3881912636260746E-3</v>
      </c>
    </row>
    <row r="157" spans="1:24" ht="14.25" customHeight="1" x14ac:dyDescent="0.25">
      <c r="A157" s="41"/>
      <c r="B157" s="38">
        <v>73</v>
      </c>
      <c r="C157" s="32">
        <v>5.8</v>
      </c>
      <c r="D157" s="32">
        <v>2.7</v>
      </c>
      <c r="E157" s="32">
        <v>3.9</v>
      </c>
      <c r="F157" s="32">
        <v>1.2</v>
      </c>
      <c r="G157" s="39">
        <v>1</v>
      </c>
      <c r="H157">
        <f t="shared" si="32"/>
        <v>1</v>
      </c>
      <c r="I157" s="38">
        <f t="shared" si="43"/>
        <v>0.34098944165943634</v>
      </c>
      <c r="J157" s="40">
        <f t="shared" si="44"/>
        <v>-0.1018461847076477</v>
      </c>
      <c r="K157" s="40">
        <f t="shared" si="45"/>
        <v>-8.0282124354901008E-2</v>
      </c>
      <c r="L157" s="40">
        <f t="shared" si="46"/>
        <v>0.7009829501610958</v>
      </c>
      <c r="M157" s="40">
        <f t="shared" si="47"/>
        <v>0.6344539927699504</v>
      </c>
      <c r="N157" s="35">
        <f t="shared" si="33"/>
        <v>3.0286981315490609</v>
      </c>
      <c r="O157" s="35">
        <f t="shared" si="34"/>
        <v>0.95385390294112071</v>
      </c>
      <c r="P157" s="36">
        <f t="shared" si="35"/>
        <v>1</v>
      </c>
      <c r="Q157" s="36">
        <f t="shared" si="36"/>
        <v>-4.6146097058879287E-2</v>
      </c>
      <c r="R157" s="37">
        <f t="shared" si="37"/>
        <v>2.1294622737675077E-3</v>
      </c>
      <c r="T157" s="31">
        <f t="shared" si="38"/>
        <v>-4.0623918019980212E-3</v>
      </c>
      <c r="U157" s="31">
        <f t="shared" si="39"/>
        <v>-2.3561872451588521E-2</v>
      </c>
      <c r="V157" s="31">
        <f t="shared" si="40"/>
        <v>-1.0968457865394658E-2</v>
      </c>
      <c r="W157" s="31">
        <f t="shared" si="41"/>
        <v>-1.5843328027792283E-2</v>
      </c>
      <c r="X157" s="31">
        <f t="shared" si="42"/>
        <v>-4.8748701623976256E-3</v>
      </c>
    </row>
    <row r="158" spans="1:24" ht="14.25" customHeight="1" x14ac:dyDescent="0.25">
      <c r="A158" s="41"/>
      <c r="B158" s="38">
        <v>74</v>
      </c>
      <c r="C158" s="32">
        <v>6</v>
      </c>
      <c r="D158" s="32">
        <v>2.7</v>
      </c>
      <c r="E158" s="32">
        <v>5.0999999999999996</v>
      </c>
      <c r="F158" s="32">
        <v>1.6</v>
      </c>
      <c r="G158" s="39">
        <v>1</v>
      </c>
      <c r="H158">
        <f t="shared" si="32"/>
        <v>1</v>
      </c>
      <c r="I158" s="38">
        <f t="shared" si="43"/>
        <v>0.34139568083963612</v>
      </c>
      <c r="J158" s="40">
        <f t="shared" si="44"/>
        <v>-9.9489997462488849E-2</v>
      </c>
      <c r="K158" s="40">
        <f t="shared" si="45"/>
        <v>-7.9185278568361536E-2</v>
      </c>
      <c r="L158" s="40">
        <f t="shared" si="46"/>
        <v>0.70256728296387505</v>
      </c>
      <c r="M158" s="40">
        <f t="shared" si="47"/>
        <v>0.6349414797861902</v>
      </c>
      <c r="N158" s="35">
        <f t="shared" si="33"/>
        <v>4.1296549547037937</v>
      </c>
      <c r="O158" s="35">
        <f t="shared" si="34"/>
        <v>0.98416631009567579</v>
      </c>
      <c r="P158" s="36">
        <f t="shared" si="35"/>
        <v>1</v>
      </c>
      <c r="Q158" s="36">
        <f t="shared" si="36"/>
        <v>-1.5833689904324211E-2</v>
      </c>
      <c r="R158" s="37">
        <f t="shared" si="37"/>
        <v>2.5070573598629843E-4</v>
      </c>
      <c r="T158" s="31">
        <f t="shared" si="38"/>
        <v>-4.93472278210912E-4</v>
      </c>
      <c r="U158" s="31">
        <f t="shared" si="39"/>
        <v>-2.960833669265472E-3</v>
      </c>
      <c r="V158" s="31">
        <f t="shared" si="40"/>
        <v>-1.3323751511694626E-3</v>
      </c>
      <c r="W158" s="31">
        <f t="shared" si="41"/>
        <v>-2.5167086188756511E-3</v>
      </c>
      <c r="X158" s="31">
        <f t="shared" si="42"/>
        <v>-7.8955564513745924E-4</v>
      </c>
    </row>
    <row r="159" spans="1:24" ht="14.25" customHeight="1" x14ac:dyDescent="0.25">
      <c r="A159" s="41"/>
      <c r="B159" s="38">
        <v>75</v>
      </c>
      <c r="C159" s="32">
        <v>5.4</v>
      </c>
      <c r="D159" s="32">
        <v>3</v>
      </c>
      <c r="E159" s="32">
        <v>4.5</v>
      </c>
      <c r="F159" s="32">
        <v>1.5</v>
      </c>
      <c r="G159" s="39">
        <v>1</v>
      </c>
      <c r="H159">
        <f t="shared" si="32"/>
        <v>1</v>
      </c>
      <c r="I159" s="38">
        <f t="shared" si="43"/>
        <v>0.34144502806745719</v>
      </c>
      <c r="J159" s="40">
        <f t="shared" si="44"/>
        <v>-9.9193914095562302E-2</v>
      </c>
      <c r="K159" s="40">
        <f t="shared" si="45"/>
        <v>-7.9052041053244593E-2</v>
      </c>
      <c r="L159" s="40">
        <f t="shared" si="46"/>
        <v>0.70281895382576265</v>
      </c>
      <c r="M159" s="40">
        <f t="shared" si="47"/>
        <v>0.63502043535070396</v>
      </c>
      <c r="N159" s="35">
        <f t="shared" si="33"/>
        <v>3.6838577140336755</v>
      </c>
      <c r="O159" s="35">
        <f t="shared" si="34"/>
        <v>0.97548997615567423</v>
      </c>
      <c r="P159" s="36">
        <f t="shared" si="35"/>
        <v>1</v>
      </c>
      <c r="Q159" s="36">
        <f t="shared" si="36"/>
        <v>-2.4510023844325768E-2</v>
      </c>
      <c r="R159" s="37">
        <f t="shared" si="37"/>
        <v>6.0074126884941768E-4</v>
      </c>
      <c r="T159" s="31">
        <f t="shared" si="38"/>
        <v>-1.1720341720512959E-3</v>
      </c>
      <c r="U159" s="31">
        <f t="shared" si="39"/>
        <v>-6.3289845290769985E-3</v>
      </c>
      <c r="V159" s="31">
        <f t="shared" si="40"/>
        <v>-3.516102516153888E-3</v>
      </c>
      <c r="W159" s="31">
        <f t="shared" si="41"/>
        <v>-5.2741537742308315E-3</v>
      </c>
      <c r="X159" s="31">
        <f t="shared" si="42"/>
        <v>-1.758051258076944E-3</v>
      </c>
    </row>
    <row r="160" spans="1:24" ht="14.25" customHeight="1" x14ac:dyDescent="0.25">
      <c r="A160" s="41"/>
      <c r="B160" s="38">
        <v>76</v>
      </c>
      <c r="C160" s="32">
        <v>6</v>
      </c>
      <c r="D160" s="32">
        <v>3.4</v>
      </c>
      <c r="E160" s="32">
        <v>4.5</v>
      </c>
      <c r="F160" s="32">
        <v>1.6</v>
      </c>
      <c r="G160" s="39">
        <v>1</v>
      </c>
      <c r="H160">
        <f t="shared" si="32"/>
        <v>1</v>
      </c>
      <c r="I160" s="38">
        <f t="shared" si="43"/>
        <v>0.3415622314846623</v>
      </c>
      <c r="J160" s="40">
        <f t="shared" si="44"/>
        <v>-9.8561015642654598E-2</v>
      </c>
      <c r="K160" s="40">
        <f t="shared" si="45"/>
        <v>-7.8700430801629209E-2</v>
      </c>
      <c r="L160" s="40">
        <f t="shared" si="46"/>
        <v>0.70334636920318572</v>
      </c>
      <c r="M160" s="40">
        <f t="shared" si="47"/>
        <v>0.63519624047651169</v>
      </c>
      <c r="N160" s="35">
        <f t="shared" si="33"/>
        <v>3.6639873190799497</v>
      </c>
      <c r="O160" s="35">
        <f t="shared" si="34"/>
        <v>0.97501037368050425</v>
      </c>
      <c r="P160" s="36">
        <f t="shared" si="35"/>
        <v>1</v>
      </c>
      <c r="Q160" s="36">
        <f t="shared" si="36"/>
        <v>-2.498962631949575E-2</v>
      </c>
      <c r="R160" s="37">
        <f t="shared" si="37"/>
        <v>6.2448142358803474E-4</v>
      </c>
      <c r="T160" s="31">
        <f t="shared" si="38"/>
        <v>-1.2177517323382061E-3</v>
      </c>
      <c r="U160" s="31">
        <f t="shared" si="39"/>
        <v>-7.3065103940292368E-3</v>
      </c>
      <c r="V160" s="31">
        <f t="shared" si="40"/>
        <v>-4.1403558899499003E-3</v>
      </c>
      <c r="W160" s="31">
        <f t="shared" si="41"/>
        <v>-5.479882795521928E-3</v>
      </c>
      <c r="X160" s="31">
        <f t="shared" si="42"/>
        <v>-1.9484027717411299E-3</v>
      </c>
    </row>
    <row r="161" spans="1:24" ht="14.25" customHeight="1" x14ac:dyDescent="0.25">
      <c r="A161" s="41"/>
      <c r="B161" s="38">
        <v>77</v>
      </c>
      <c r="C161" s="32">
        <v>6.7</v>
      </c>
      <c r="D161" s="32">
        <v>3.1</v>
      </c>
      <c r="E161" s="32">
        <v>4.7</v>
      </c>
      <c r="F161" s="32">
        <v>1.5</v>
      </c>
      <c r="G161" s="39">
        <v>1</v>
      </c>
      <c r="H161">
        <f t="shared" si="32"/>
        <v>1</v>
      </c>
      <c r="I161" s="38">
        <f t="shared" si="43"/>
        <v>0.34168400665789611</v>
      </c>
      <c r="J161" s="40">
        <f t="shared" si="44"/>
        <v>-9.7830364603251674E-2</v>
      </c>
      <c r="K161" s="40">
        <f t="shared" si="45"/>
        <v>-7.8286395212634224E-2</v>
      </c>
      <c r="L161" s="40">
        <f t="shared" si="46"/>
        <v>0.70389435748273788</v>
      </c>
      <c r="M161" s="40">
        <f t="shared" si="47"/>
        <v>0.63539108075368578</v>
      </c>
      <c r="N161" s="35">
        <f t="shared" si="33"/>
        <v>3.7049228399563408</v>
      </c>
      <c r="O161" s="35">
        <f t="shared" si="34"/>
        <v>0.97598861526804759</v>
      </c>
      <c r="P161" s="36">
        <f t="shared" si="35"/>
        <v>1</v>
      </c>
      <c r="Q161" s="36">
        <f t="shared" si="36"/>
        <v>-2.4011384731952412E-2</v>
      </c>
      <c r="R161" s="37">
        <f t="shared" si="37"/>
        <v>5.7654659674583736E-4</v>
      </c>
      <c r="T161" s="31">
        <f t="shared" si="38"/>
        <v>-1.1254058291909504E-3</v>
      </c>
      <c r="U161" s="31">
        <f t="shared" si="39"/>
        <v>-7.5402190555793674E-3</v>
      </c>
      <c r="V161" s="31">
        <f t="shared" si="40"/>
        <v>-3.4887580704919463E-3</v>
      </c>
      <c r="W161" s="31">
        <f t="shared" si="41"/>
        <v>-5.2894073971974671E-3</v>
      </c>
      <c r="X161" s="31">
        <f t="shared" si="42"/>
        <v>-1.6881087437864255E-3</v>
      </c>
    </row>
    <row r="162" spans="1:24" ht="14.25" customHeight="1" x14ac:dyDescent="0.25">
      <c r="A162" s="41"/>
      <c r="B162" s="38">
        <v>78</v>
      </c>
      <c r="C162" s="32">
        <v>6.3</v>
      </c>
      <c r="D162" s="32">
        <v>2.2999999999999998</v>
      </c>
      <c r="E162" s="32">
        <v>4.4000000000000004</v>
      </c>
      <c r="F162" s="32">
        <v>1.3</v>
      </c>
      <c r="G162" s="39">
        <v>1</v>
      </c>
      <c r="H162">
        <f t="shared" si="32"/>
        <v>1</v>
      </c>
      <c r="I162" s="38">
        <f t="shared" si="43"/>
        <v>0.34179654724081521</v>
      </c>
      <c r="J162" s="40">
        <f t="shared" si="44"/>
        <v>-9.7076342697693732E-2</v>
      </c>
      <c r="K162" s="40">
        <f t="shared" si="45"/>
        <v>-7.7937519405585035E-2</v>
      </c>
      <c r="L162" s="40">
        <f t="shared" si="46"/>
        <v>0.70442329822245764</v>
      </c>
      <c r="M162" s="40">
        <f t="shared" si="47"/>
        <v>0.63555989162806437</v>
      </c>
      <c r="N162" s="35">
        <f t="shared" si="33"/>
        <v>3.4766496649077969</v>
      </c>
      <c r="O162" s="35">
        <f t="shared" si="34"/>
        <v>0.97001602922330477</v>
      </c>
      <c r="P162" s="36">
        <f t="shared" si="35"/>
        <v>1</v>
      </c>
      <c r="Q162" s="36">
        <f t="shared" si="36"/>
        <v>-2.9983970776695235E-2</v>
      </c>
      <c r="R162" s="37">
        <f t="shared" si="37"/>
        <v>8.9903850353771381E-4</v>
      </c>
      <c r="T162" s="31">
        <f t="shared" si="38"/>
        <v>-1.7441635186410305E-3</v>
      </c>
      <c r="U162" s="31">
        <f t="shared" si="39"/>
        <v>-1.0988230167438492E-2</v>
      </c>
      <c r="V162" s="31">
        <f t="shared" si="40"/>
        <v>-4.0115760928743699E-3</v>
      </c>
      <c r="W162" s="31">
        <f t="shared" si="41"/>
        <v>-7.6743194820205344E-3</v>
      </c>
      <c r="X162" s="31">
        <f t="shared" si="42"/>
        <v>-2.2674125742333396E-3</v>
      </c>
    </row>
    <row r="163" spans="1:24" ht="14.25" customHeight="1" x14ac:dyDescent="0.25">
      <c r="A163" s="41"/>
      <c r="B163" s="38">
        <v>79</v>
      </c>
      <c r="C163" s="32">
        <v>5.6</v>
      </c>
      <c r="D163" s="32">
        <v>3</v>
      </c>
      <c r="E163" s="32">
        <v>4.0999999999999996</v>
      </c>
      <c r="F163" s="32">
        <v>1.3</v>
      </c>
      <c r="G163" s="39">
        <v>1</v>
      </c>
      <c r="H163">
        <f t="shared" si="32"/>
        <v>1</v>
      </c>
      <c r="I163" s="38">
        <f t="shared" si="43"/>
        <v>0.34197096359267931</v>
      </c>
      <c r="J163" s="40">
        <f t="shared" si="44"/>
        <v>-9.5977519680949877E-2</v>
      </c>
      <c r="K163" s="40">
        <f t="shared" si="45"/>
        <v>-7.7536361796297595E-2</v>
      </c>
      <c r="L163" s="40">
        <f t="shared" si="46"/>
        <v>0.7051907301706597</v>
      </c>
      <c r="M163" s="40">
        <f t="shared" si="47"/>
        <v>0.63578663288548765</v>
      </c>
      <c r="N163" s="35">
        <f t="shared" si="33"/>
        <v>3.289692384441306</v>
      </c>
      <c r="O163" s="35">
        <f t="shared" si="34"/>
        <v>0.9640735011315803</v>
      </c>
      <c r="P163" s="36">
        <f t="shared" si="35"/>
        <v>1</v>
      </c>
      <c r="Q163" s="36">
        <f t="shared" si="36"/>
        <v>-3.5926498868419698E-2</v>
      </c>
      <c r="R163" s="37">
        <f t="shared" si="37"/>
        <v>1.2907133209425618E-3</v>
      </c>
      <c r="T163" s="31">
        <f t="shared" si="38"/>
        <v>-2.4886850205565292E-3</v>
      </c>
      <c r="U163" s="31">
        <f t="shared" si="39"/>
        <v>-1.3936636115116563E-2</v>
      </c>
      <c r="V163" s="31">
        <f t="shared" si="40"/>
        <v>-7.4660550616695871E-3</v>
      </c>
      <c r="W163" s="31">
        <f t="shared" si="41"/>
        <v>-1.0203608584281768E-2</v>
      </c>
      <c r="X163" s="31">
        <f t="shared" si="42"/>
        <v>-3.2352905267234882E-3</v>
      </c>
    </row>
    <row r="164" spans="1:24" ht="14.25" customHeight="1" x14ac:dyDescent="0.25">
      <c r="A164" s="41"/>
      <c r="B164" s="38">
        <v>80</v>
      </c>
      <c r="C164" s="32">
        <v>5.5</v>
      </c>
      <c r="D164" s="32">
        <v>2.5</v>
      </c>
      <c r="E164" s="32">
        <v>4</v>
      </c>
      <c r="F164" s="32">
        <v>1.3</v>
      </c>
      <c r="G164" s="39">
        <v>1</v>
      </c>
      <c r="H164">
        <f t="shared" si="32"/>
        <v>1</v>
      </c>
      <c r="I164" s="38">
        <f t="shared" si="43"/>
        <v>0.34221983209473494</v>
      </c>
      <c r="J164" s="40">
        <f t="shared" si="44"/>
        <v>-9.4583856069438227E-2</v>
      </c>
      <c r="K164" s="40">
        <f t="shared" si="45"/>
        <v>-7.6789756290130642E-2</v>
      </c>
      <c r="L164" s="40">
        <f t="shared" si="46"/>
        <v>0.70621109102908786</v>
      </c>
      <c r="M164" s="40">
        <f t="shared" si="47"/>
        <v>0.63611016193815995</v>
      </c>
      <c r="N164" s="35">
        <f t="shared" si="33"/>
        <v>3.2818218076234573</v>
      </c>
      <c r="O164" s="35">
        <f t="shared" si="34"/>
        <v>0.96379989959639811</v>
      </c>
      <c r="P164" s="36">
        <f t="shared" si="35"/>
        <v>1</v>
      </c>
      <c r="Q164" s="36">
        <f t="shared" si="36"/>
        <v>-3.6200100403601887E-2</v>
      </c>
      <c r="R164" s="37">
        <f t="shared" si="37"/>
        <v>1.3104472692308574E-3</v>
      </c>
      <c r="S164">
        <f>AVERAGE(R85:R164)</f>
        <v>3.74519142280995E-2</v>
      </c>
      <c r="T164" s="31">
        <f t="shared" si="38"/>
        <v>-2.526017893022149E-3</v>
      </c>
      <c r="U164" s="31">
        <f t="shared" si="39"/>
        <v>-1.389309841162182E-2</v>
      </c>
      <c r="V164" s="31">
        <f t="shared" si="40"/>
        <v>-6.3150447325553728E-3</v>
      </c>
      <c r="W164" s="31">
        <f t="shared" si="41"/>
        <v>-1.0104071572088596E-2</v>
      </c>
      <c r="X164" s="31">
        <f t="shared" si="42"/>
        <v>-3.2838232609287937E-3</v>
      </c>
    </row>
    <row r="165" spans="1:24" ht="14.25" customHeight="1" x14ac:dyDescent="0.25">
      <c r="A165" s="41" t="s">
        <v>34</v>
      </c>
      <c r="B165" s="38">
        <v>1</v>
      </c>
      <c r="C165" s="32">
        <v>5.0999999999999996</v>
      </c>
      <c r="D165" s="32">
        <v>3.5</v>
      </c>
      <c r="E165" s="32">
        <v>1.4</v>
      </c>
      <c r="F165" s="32">
        <v>0.2</v>
      </c>
      <c r="G165" s="39">
        <v>0</v>
      </c>
      <c r="H165">
        <f t="shared" si="32"/>
        <v>0</v>
      </c>
      <c r="I165" s="38">
        <f t="shared" si="43"/>
        <v>0.34247243388403714</v>
      </c>
      <c r="J165" s="40">
        <f t="shared" si="44"/>
        <v>-9.319454622827604E-2</v>
      </c>
      <c r="K165" s="40">
        <f t="shared" si="45"/>
        <v>-7.6158251816875105E-2</v>
      </c>
      <c r="L165" s="40">
        <f t="shared" si="46"/>
        <v>0.70722149818629676</v>
      </c>
      <c r="M165" s="40">
        <f t="shared" si="47"/>
        <v>0.63643854426425284</v>
      </c>
      <c r="N165" s="35">
        <f t="shared" si="33"/>
        <v>0.71802417307443234</v>
      </c>
      <c r="O165" s="35">
        <f t="shared" si="34"/>
        <v>0.67217177821527896</v>
      </c>
      <c r="P165" s="36">
        <f t="shared" si="35"/>
        <v>1</v>
      </c>
      <c r="Q165" s="36">
        <f t="shared" si="36"/>
        <v>0.67217177821527896</v>
      </c>
      <c r="R165" s="37">
        <f t="shared" si="37"/>
        <v>0.45181489942909014</v>
      </c>
      <c r="T165" s="31">
        <f t="shared" si="38"/>
        <v>0.29623535011136237</v>
      </c>
      <c r="U165" s="31">
        <f t="shared" si="39"/>
        <v>1.5108002855679481</v>
      </c>
      <c r="V165" s="31">
        <f t="shared" si="40"/>
        <v>1.0368237253897683</v>
      </c>
      <c r="W165" s="31">
        <f t="shared" si="41"/>
        <v>0.41472949015590732</v>
      </c>
      <c r="X165" s="31">
        <f t="shared" si="42"/>
        <v>5.9247070022272474E-2</v>
      </c>
    </row>
    <row r="166" spans="1:24" ht="14.25" customHeight="1" x14ac:dyDescent="0.25">
      <c r="A166" s="41"/>
      <c r="B166" s="38">
        <v>2</v>
      </c>
      <c r="C166" s="32">
        <v>4.9000000000000004</v>
      </c>
      <c r="D166" s="32">
        <v>3</v>
      </c>
      <c r="E166" s="32">
        <v>1.4</v>
      </c>
      <c r="F166" s="32">
        <v>0.2</v>
      </c>
      <c r="G166" s="39">
        <v>0</v>
      </c>
      <c r="H166">
        <f t="shared" si="32"/>
        <v>1</v>
      </c>
      <c r="I166" s="38">
        <f t="shared" si="43"/>
        <v>0.3128488988729009</v>
      </c>
      <c r="J166" s="40">
        <f t="shared" si="44"/>
        <v>-0.24427457478507086</v>
      </c>
      <c r="K166" s="40">
        <f t="shared" si="45"/>
        <v>-0.17984062435585194</v>
      </c>
      <c r="L166" s="40">
        <f t="shared" si="46"/>
        <v>0.66574854917070603</v>
      </c>
      <c r="M166" s="40">
        <f t="shared" si="47"/>
        <v>0.63051383726202559</v>
      </c>
      <c r="N166" s="35">
        <f t="shared" si="33"/>
        <v>-0.36546765435010886</v>
      </c>
      <c r="O166" s="35">
        <f t="shared" si="34"/>
        <v>0.40963664835300445</v>
      </c>
      <c r="P166" s="36">
        <f t="shared" si="35"/>
        <v>0</v>
      </c>
      <c r="Q166" s="36">
        <f t="shared" si="36"/>
        <v>0.40963664835300445</v>
      </c>
      <c r="R166" s="37">
        <f t="shared" si="37"/>
        <v>0.16780218367388303</v>
      </c>
      <c r="T166" s="31">
        <f t="shared" si="38"/>
        <v>0.19812851913479665</v>
      </c>
      <c r="U166" s="31">
        <f t="shared" si="39"/>
        <v>0.97082974376050368</v>
      </c>
      <c r="V166" s="31">
        <f t="shared" si="40"/>
        <v>0.59438555740438992</v>
      </c>
      <c r="W166" s="31">
        <f t="shared" si="41"/>
        <v>0.27737992678871531</v>
      </c>
      <c r="X166" s="31">
        <f t="shared" si="42"/>
        <v>3.9625703826959333E-2</v>
      </c>
    </row>
    <row r="167" spans="1:24" ht="14.25" customHeight="1" x14ac:dyDescent="0.25">
      <c r="A167" s="41"/>
      <c r="B167" s="38">
        <v>3</v>
      </c>
      <c r="C167" s="32">
        <v>4.7</v>
      </c>
      <c r="D167" s="32">
        <v>3.2</v>
      </c>
      <c r="E167" s="32">
        <v>1.3</v>
      </c>
      <c r="F167" s="32">
        <v>0.2</v>
      </c>
      <c r="G167" s="39">
        <v>0</v>
      </c>
      <c r="H167">
        <f t="shared" si="32"/>
        <v>1</v>
      </c>
      <c r="I167" s="38">
        <f t="shared" si="43"/>
        <v>0.29303604695942126</v>
      </c>
      <c r="J167" s="40">
        <f t="shared" si="44"/>
        <v>-0.34135754916112127</v>
      </c>
      <c r="K167" s="40">
        <f t="shared" si="45"/>
        <v>-0.23927918009629093</v>
      </c>
      <c r="L167" s="40">
        <f t="shared" si="46"/>
        <v>0.63801055649183447</v>
      </c>
      <c r="M167" s="40">
        <f t="shared" si="47"/>
        <v>0.6265512668793296</v>
      </c>
      <c r="N167" s="35">
        <f t="shared" si="33"/>
        <v>-1.1223138335907288</v>
      </c>
      <c r="O167" s="35">
        <f t="shared" si="34"/>
        <v>0.24558234345276764</v>
      </c>
      <c r="P167" s="36">
        <f t="shared" si="35"/>
        <v>0</v>
      </c>
      <c r="Q167" s="36">
        <f t="shared" si="36"/>
        <v>0.24558234345276764</v>
      </c>
      <c r="R167" s="37">
        <f t="shared" si="37"/>
        <v>6.0310687415753121E-2</v>
      </c>
      <c r="T167" s="31">
        <f t="shared" si="38"/>
        <v>9.0998894929890259E-2</v>
      </c>
      <c r="U167" s="31">
        <f t="shared" si="39"/>
        <v>0.42769480617048422</v>
      </c>
      <c r="V167" s="31">
        <f t="shared" si="40"/>
        <v>0.29119646377564884</v>
      </c>
      <c r="W167" s="31">
        <f t="shared" si="41"/>
        <v>0.11829856340885735</v>
      </c>
      <c r="X167" s="31">
        <f t="shared" si="42"/>
        <v>1.8199778985978052E-2</v>
      </c>
    </row>
    <row r="168" spans="1:24" ht="14.25" customHeight="1" x14ac:dyDescent="0.25">
      <c r="A168" s="41"/>
      <c r="B168" s="38">
        <v>4</v>
      </c>
      <c r="C168" s="32">
        <v>4.5999999999999996</v>
      </c>
      <c r="D168" s="32">
        <v>3.1</v>
      </c>
      <c r="E168" s="32">
        <v>1.5</v>
      </c>
      <c r="F168" s="32">
        <v>0.2</v>
      </c>
      <c r="G168" s="39">
        <v>0</v>
      </c>
      <c r="H168">
        <f t="shared" si="32"/>
        <v>1</v>
      </c>
      <c r="I168" s="38">
        <f t="shared" si="43"/>
        <v>0.28393615746643225</v>
      </c>
      <c r="J168" s="40">
        <f t="shared" si="44"/>
        <v>-0.3841270297781697</v>
      </c>
      <c r="K168" s="40">
        <f t="shared" si="45"/>
        <v>-0.26839882647385582</v>
      </c>
      <c r="L168" s="40">
        <f t="shared" si="46"/>
        <v>0.62618070015094873</v>
      </c>
      <c r="M168" s="40">
        <f t="shared" si="47"/>
        <v>0.62473128898073182</v>
      </c>
      <c r="N168" s="35">
        <f t="shared" si="33"/>
        <v>-1.2508672335595319</v>
      </c>
      <c r="O168" s="35">
        <f t="shared" si="34"/>
        <v>0.22255005264740615</v>
      </c>
      <c r="P168" s="36">
        <f t="shared" si="35"/>
        <v>0</v>
      </c>
      <c r="Q168" s="36">
        <f t="shared" si="36"/>
        <v>0.22255005264740615</v>
      </c>
      <c r="R168" s="37">
        <f t="shared" si="37"/>
        <v>4.9528525933363252E-2</v>
      </c>
      <c r="T168" s="31">
        <f t="shared" si="38"/>
        <v>7.7011899758689689E-2</v>
      </c>
      <c r="U168" s="31">
        <f t="shared" si="39"/>
        <v>0.35425473888997255</v>
      </c>
      <c r="V168" s="31">
        <f t="shared" si="40"/>
        <v>0.23873688925193803</v>
      </c>
      <c r="W168" s="31">
        <f t="shared" si="41"/>
        <v>0.11551784963803453</v>
      </c>
      <c r="X168" s="31">
        <f t="shared" si="42"/>
        <v>1.5402379951737939E-2</v>
      </c>
    </row>
    <row r="169" spans="1:24" ht="14.25" customHeight="1" x14ac:dyDescent="0.25">
      <c r="A169" s="41"/>
      <c r="B169" s="38">
        <v>5</v>
      </c>
      <c r="C169" s="32">
        <v>5</v>
      </c>
      <c r="D169" s="32">
        <v>3.6</v>
      </c>
      <c r="E169" s="32">
        <v>1.4</v>
      </c>
      <c r="F169" s="32">
        <v>0.2</v>
      </c>
      <c r="G169" s="39">
        <v>0</v>
      </c>
      <c r="H169">
        <f t="shared" si="32"/>
        <v>1</v>
      </c>
      <c r="I169" s="38">
        <f t="shared" si="43"/>
        <v>0.27623496749056325</v>
      </c>
      <c r="J169" s="40">
        <f t="shared" si="44"/>
        <v>-0.41955250366716695</v>
      </c>
      <c r="K169" s="40">
        <f t="shared" si="45"/>
        <v>-0.29227251539904964</v>
      </c>
      <c r="L169" s="40">
        <f t="shared" si="46"/>
        <v>0.61462891518714524</v>
      </c>
      <c r="M169" s="40">
        <f t="shared" si="47"/>
        <v>0.62319105098555805</v>
      </c>
      <c r="N169" s="35">
        <f t="shared" si="33"/>
        <v>-1.8885899148227352</v>
      </c>
      <c r="O169" s="35">
        <f t="shared" si="34"/>
        <v>0.13140533006324392</v>
      </c>
      <c r="P169" s="36">
        <f t="shared" si="35"/>
        <v>0</v>
      </c>
      <c r="Q169" s="36">
        <f t="shared" si="36"/>
        <v>0.13140533006324392</v>
      </c>
      <c r="R169" s="37">
        <f t="shared" si="37"/>
        <v>1.7267360769030078E-2</v>
      </c>
      <c r="T169" s="31">
        <f t="shared" si="38"/>
        <v>2.9996675055709139E-2</v>
      </c>
      <c r="U169" s="31">
        <f t="shared" si="39"/>
        <v>0.14998337527854569</v>
      </c>
      <c r="V169" s="31">
        <f t="shared" si="40"/>
        <v>0.10798803020055291</v>
      </c>
      <c r="W169" s="31">
        <f t="shared" si="41"/>
        <v>4.1995345077992789E-2</v>
      </c>
      <c r="X169" s="31">
        <f t="shared" si="42"/>
        <v>5.9993350111418285E-3</v>
      </c>
    </row>
    <row r="170" spans="1:24" ht="14.25" customHeight="1" x14ac:dyDescent="0.25">
      <c r="A170" s="41"/>
      <c r="B170" s="38">
        <v>6</v>
      </c>
      <c r="C170" s="32">
        <v>5.4</v>
      </c>
      <c r="D170" s="32">
        <v>3.9</v>
      </c>
      <c r="E170" s="32">
        <v>1.7</v>
      </c>
      <c r="F170" s="32">
        <v>0.4</v>
      </c>
      <c r="G170" s="39">
        <v>0</v>
      </c>
      <c r="H170">
        <f t="shared" si="32"/>
        <v>1</v>
      </c>
      <c r="I170" s="38">
        <f t="shared" si="43"/>
        <v>0.27323529998499235</v>
      </c>
      <c r="J170" s="40">
        <f t="shared" si="44"/>
        <v>-0.43455084119502152</v>
      </c>
      <c r="K170" s="40">
        <f t="shared" si="45"/>
        <v>-0.30307131841910495</v>
      </c>
      <c r="L170" s="40">
        <f t="shared" si="46"/>
        <v>0.61042938067934593</v>
      </c>
      <c r="M170" s="40">
        <f t="shared" si="47"/>
        <v>0.62259111748444385</v>
      </c>
      <c r="N170" s="35">
        <f t="shared" si="33"/>
        <v>-1.9685509901539675</v>
      </c>
      <c r="O170" s="35">
        <f t="shared" si="34"/>
        <v>0.12254460992776324</v>
      </c>
      <c r="P170" s="36">
        <f t="shared" si="35"/>
        <v>0</v>
      </c>
      <c r="Q170" s="36">
        <f t="shared" si="36"/>
        <v>0.12254460992776324</v>
      </c>
      <c r="R170" s="37">
        <f t="shared" si="37"/>
        <v>1.5017181422347649E-2</v>
      </c>
      <c r="T170" s="31">
        <f t="shared" si="38"/>
        <v>2.6353813565463208E-2</v>
      </c>
      <c r="U170" s="31">
        <f t="shared" si="39"/>
        <v>0.14231059325350134</v>
      </c>
      <c r="V170" s="31">
        <f t="shared" si="40"/>
        <v>0.1027798729053065</v>
      </c>
      <c r="W170" s="31">
        <f t="shared" si="41"/>
        <v>4.480148306128745E-2</v>
      </c>
      <c r="X170" s="31">
        <f t="shared" si="42"/>
        <v>1.0541525426185284E-2</v>
      </c>
    </row>
    <row r="171" spans="1:24" ht="14.25" customHeight="1" x14ac:dyDescent="0.25">
      <c r="A171" s="41"/>
      <c r="B171" s="38">
        <v>7</v>
      </c>
      <c r="C171" s="32">
        <v>4.5999999999999996</v>
      </c>
      <c r="D171" s="32">
        <v>3.4</v>
      </c>
      <c r="E171" s="32">
        <v>1.4</v>
      </c>
      <c r="F171" s="32">
        <v>0.3</v>
      </c>
      <c r="G171" s="39">
        <v>0</v>
      </c>
      <c r="H171">
        <f t="shared" si="32"/>
        <v>1</v>
      </c>
      <c r="I171" s="38">
        <f t="shared" si="43"/>
        <v>0.27059991862844601</v>
      </c>
      <c r="J171" s="40">
        <f t="shared" si="44"/>
        <v>-0.44878190052037165</v>
      </c>
      <c r="K171" s="40">
        <f t="shared" si="45"/>
        <v>-0.31334930570963559</v>
      </c>
      <c r="L171" s="40">
        <f t="shared" si="46"/>
        <v>0.60594923237321718</v>
      </c>
      <c r="M171" s="40">
        <f t="shared" si="47"/>
        <v>0.62153696494182531</v>
      </c>
      <c r="N171" s="35">
        <f t="shared" si="33"/>
        <v>-1.8243944483729733</v>
      </c>
      <c r="O171" s="35">
        <f t="shared" si="34"/>
        <v>0.13890740903715273</v>
      </c>
      <c r="P171" s="36">
        <f t="shared" si="35"/>
        <v>0</v>
      </c>
      <c r="Q171" s="36">
        <f t="shared" si="36"/>
        <v>0.13890740903715273</v>
      </c>
      <c r="R171" s="37">
        <f t="shared" si="37"/>
        <v>1.9295268285414863E-2</v>
      </c>
      <c r="T171" s="31">
        <f t="shared" si="38"/>
        <v>3.3230025122422277E-2</v>
      </c>
      <c r="U171" s="31">
        <f t="shared" si="39"/>
        <v>0.15285811556314247</v>
      </c>
      <c r="V171" s="31">
        <f t="shared" si="40"/>
        <v>0.11298208541623574</v>
      </c>
      <c r="W171" s="31">
        <f t="shared" si="41"/>
        <v>4.6522035171391182E-2</v>
      </c>
      <c r="X171" s="31">
        <f t="shared" si="42"/>
        <v>9.9690075367266824E-3</v>
      </c>
    </row>
    <row r="172" spans="1:24" ht="14.25" customHeight="1" x14ac:dyDescent="0.25">
      <c r="A172" s="41"/>
      <c r="B172" s="38">
        <v>8</v>
      </c>
      <c r="C172" s="32">
        <v>5</v>
      </c>
      <c r="D172" s="32">
        <v>3.4</v>
      </c>
      <c r="E172" s="32">
        <v>1.5</v>
      </c>
      <c r="F172" s="32">
        <v>0.2</v>
      </c>
      <c r="G172" s="39">
        <v>0</v>
      </c>
      <c r="H172">
        <f t="shared" si="32"/>
        <v>1</v>
      </c>
      <c r="I172" s="38">
        <f t="shared" si="43"/>
        <v>0.2672769161162038</v>
      </c>
      <c r="J172" s="40">
        <f t="shared" si="44"/>
        <v>-0.4640677120766859</v>
      </c>
      <c r="K172" s="40">
        <f t="shared" si="45"/>
        <v>-0.32464751425125915</v>
      </c>
      <c r="L172" s="40">
        <f t="shared" si="46"/>
        <v>0.60129702885607805</v>
      </c>
      <c r="M172" s="40">
        <f t="shared" si="47"/>
        <v>0.62054006418815266</v>
      </c>
      <c r="N172" s="35">
        <f t="shared" si="33"/>
        <v>-2.1308096365997593</v>
      </c>
      <c r="O172" s="35">
        <f t="shared" si="34"/>
        <v>0.10613815464812694</v>
      </c>
      <c r="P172" s="36">
        <f t="shared" si="35"/>
        <v>0</v>
      </c>
      <c r="Q172" s="36">
        <f t="shared" si="36"/>
        <v>0.10613815464812694</v>
      </c>
      <c r="R172" s="37">
        <f t="shared" si="37"/>
        <v>1.126530787210971E-2</v>
      </c>
      <c r="T172" s="31">
        <f t="shared" si="38"/>
        <v>2.0139257766041935E-2</v>
      </c>
      <c r="U172" s="31">
        <f t="shared" si="39"/>
        <v>0.10069628883020967</v>
      </c>
      <c r="V172" s="31">
        <f t="shared" si="40"/>
        <v>6.8473476404542585E-2</v>
      </c>
      <c r="W172" s="31">
        <f t="shared" si="41"/>
        <v>3.0208886649062905E-2</v>
      </c>
      <c r="X172" s="31">
        <f t="shared" si="42"/>
        <v>4.0278515532083869E-3</v>
      </c>
    </row>
    <row r="173" spans="1:24" ht="14.25" customHeight="1" x14ac:dyDescent="0.25">
      <c r="A173" s="41"/>
      <c r="B173" s="38">
        <v>9</v>
      </c>
      <c r="C173" s="32">
        <v>4.4000000000000004</v>
      </c>
      <c r="D173" s="32">
        <v>2.9</v>
      </c>
      <c r="E173" s="32">
        <v>1.4</v>
      </c>
      <c r="F173" s="32">
        <v>0.2</v>
      </c>
      <c r="G173" s="39">
        <v>0</v>
      </c>
      <c r="H173">
        <f t="shared" si="32"/>
        <v>1</v>
      </c>
      <c r="I173" s="38">
        <f t="shared" si="43"/>
        <v>0.2652629903395996</v>
      </c>
      <c r="J173" s="40">
        <f t="shared" si="44"/>
        <v>-0.47413734095970689</v>
      </c>
      <c r="K173" s="40">
        <f t="shared" si="45"/>
        <v>-0.3314948618917134</v>
      </c>
      <c r="L173" s="40">
        <f t="shared" si="46"/>
        <v>0.59827614019117181</v>
      </c>
      <c r="M173" s="40">
        <f t="shared" si="47"/>
        <v>0.62013727903283178</v>
      </c>
      <c r="N173" s="35">
        <f t="shared" si="33"/>
        <v>-1.820662357294873</v>
      </c>
      <c r="O173" s="35">
        <f t="shared" si="34"/>
        <v>0.13935441431956611</v>
      </c>
      <c r="P173" s="36">
        <f t="shared" si="35"/>
        <v>0</v>
      </c>
      <c r="Q173" s="36">
        <f t="shared" si="36"/>
        <v>0.13935441431956611</v>
      </c>
      <c r="R173" s="37">
        <f t="shared" si="37"/>
        <v>1.9419652790349292E-2</v>
      </c>
      <c r="T173" s="31">
        <f t="shared" si="38"/>
        <v>3.3426876898921681E-2</v>
      </c>
      <c r="U173" s="31">
        <f t="shared" si="39"/>
        <v>0.1470782583552554</v>
      </c>
      <c r="V173" s="31">
        <f t="shared" si="40"/>
        <v>9.6937943006872876E-2</v>
      </c>
      <c r="W173" s="31">
        <f t="shared" si="41"/>
        <v>4.6797627658490354E-2</v>
      </c>
      <c r="X173" s="31">
        <f t="shared" si="42"/>
        <v>6.6853753797843363E-3</v>
      </c>
    </row>
    <row r="174" spans="1:24" ht="14.25" customHeight="1" x14ac:dyDescent="0.25">
      <c r="A174" s="41"/>
      <c r="B174" s="38">
        <v>10</v>
      </c>
      <c r="C174" s="32">
        <v>4.9000000000000004</v>
      </c>
      <c r="D174" s="32">
        <v>3.1</v>
      </c>
      <c r="E174" s="32">
        <v>1.5</v>
      </c>
      <c r="F174" s="32">
        <v>0.1</v>
      </c>
      <c r="G174" s="39">
        <v>0</v>
      </c>
      <c r="H174">
        <f t="shared" si="32"/>
        <v>1</v>
      </c>
      <c r="I174" s="38">
        <f t="shared" si="43"/>
        <v>0.26192030264970745</v>
      </c>
      <c r="J174" s="40">
        <f t="shared" si="44"/>
        <v>-0.48884516679523243</v>
      </c>
      <c r="K174" s="40">
        <f t="shared" si="45"/>
        <v>-0.34118865619240069</v>
      </c>
      <c r="L174" s="40">
        <f t="shared" si="46"/>
        <v>0.59359637742532279</v>
      </c>
      <c r="M174" s="40">
        <f t="shared" si="47"/>
        <v>0.61946874149485331</v>
      </c>
      <c r="N174" s="35">
        <f t="shared" si="33"/>
        <v>-2.238764408555904</v>
      </c>
      <c r="O174" s="35">
        <f t="shared" si="34"/>
        <v>9.6323040027531462E-2</v>
      </c>
      <c r="P174" s="36">
        <f t="shared" si="35"/>
        <v>0</v>
      </c>
      <c r="Q174" s="36">
        <f t="shared" si="36"/>
        <v>9.6323040027531462E-2</v>
      </c>
      <c r="R174" s="37">
        <f t="shared" si="37"/>
        <v>9.2781280401454287E-3</v>
      </c>
      <c r="T174" s="31">
        <f t="shared" si="38"/>
        <v>1.6768861083107878E-2</v>
      </c>
      <c r="U174" s="31">
        <f t="shared" si="39"/>
        <v>8.2167419307228609E-2</v>
      </c>
      <c r="V174" s="31">
        <f t="shared" si="40"/>
        <v>5.198346935763442E-2</v>
      </c>
      <c r="W174" s="31">
        <f t="shared" si="41"/>
        <v>2.5153291624661817E-2</v>
      </c>
      <c r="X174" s="31">
        <f t="shared" si="42"/>
        <v>1.6768861083107879E-3</v>
      </c>
    </row>
    <row r="175" spans="1:24" ht="14.25" customHeight="1" x14ac:dyDescent="0.25">
      <c r="A175" s="41"/>
      <c r="B175" s="38">
        <v>11</v>
      </c>
      <c r="C175" s="32">
        <v>5.4</v>
      </c>
      <c r="D175" s="32">
        <v>3.7</v>
      </c>
      <c r="E175" s="32">
        <v>1.5</v>
      </c>
      <c r="F175" s="32">
        <v>0.2</v>
      </c>
      <c r="G175" s="39">
        <v>0</v>
      </c>
      <c r="H175">
        <f t="shared" si="32"/>
        <v>1</v>
      </c>
      <c r="I175" s="38">
        <f t="shared" si="43"/>
        <v>0.26024341654139665</v>
      </c>
      <c r="J175" s="40">
        <f t="shared" si="44"/>
        <v>-0.49706190872595529</v>
      </c>
      <c r="K175" s="40">
        <f t="shared" si="45"/>
        <v>-0.34638700312816412</v>
      </c>
      <c r="L175" s="40">
        <f t="shared" si="46"/>
        <v>0.59108104826285657</v>
      </c>
      <c r="M175" s="40">
        <f t="shared" si="47"/>
        <v>0.61930105288402226</v>
      </c>
      <c r="N175" s="35">
        <f t="shared" si="33"/>
        <v>-2.6950410191818803</v>
      </c>
      <c r="O175" s="35">
        <f t="shared" si="34"/>
        <v>6.326660911035982E-2</v>
      </c>
      <c r="P175" s="36">
        <f t="shared" si="35"/>
        <v>0</v>
      </c>
      <c r="Q175" s="36">
        <f t="shared" si="36"/>
        <v>6.326660911035982E-2</v>
      </c>
      <c r="R175" s="37">
        <f t="shared" si="37"/>
        <v>4.0026638283230638E-3</v>
      </c>
      <c r="T175" s="31">
        <f t="shared" si="38"/>
        <v>7.4988577209927449E-3</v>
      </c>
      <c r="U175" s="31">
        <f t="shared" si="39"/>
        <v>4.0493831693360828E-2</v>
      </c>
      <c r="V175" s="31">
        <f t="shared" si="40"/>
        <v>2.7745773567673156E-2</v>
      </c>
      <c r="W175" s="31">
        <f t="shared" si="41"/>
        <v>1.1248286581489117E-2</v>
      </c>
      <c r="X175" s="31">
        <f t="shared" si="42"/>
        <v>1.4997715441985491E-3</v>
      </c>
    </row>
    <row r="176" spans="1:24" ht="14.25" customHeight="1" x14ac:dyDescent="0.25">
      <c r="A176" s="41"/>
      <c r="B176" s="38">
        <v>12</v>
      </c>
      <c r="C176" s="32">
        <v>4.8</v>
      </c>
      <c r="D176" s="32">
        <v>3.4</v>
      </c>
      <c r="E176" s="32">
        <v>1.6</v>
      </c>
      <c r="F176" s="32">
        <v>0.2</v>
      </c>
      <c r="G176" s="39">
        <v>0</v>
      </c>
      <c r="H176">
        <f t="shared" si="32"/>
        <v>1</v>
      </c>
      <c r="I176" s="38">
        <f t="shared" si="43"/>
        <v>0.25949353076929738</v>
      </c>
      <c r="J176" s="40">
        <f t="shared" si="44"/>
        <v>-0.50111129189529136</v>
      </c>
      <c r="K176" s="40">
        <f t="shared" si="45"/>
        <v>-0.34916158048493146</v>
      </c>
      <c r="L176" s="40">
        <f t="shared" si="46"/>
        <v>0.58995621960470768</v>
      </c>
      <c r="M176" s="40">
        <f t="shared" si="47"/>
        <v>0.61915107572960237</v>
      </c>
      <c r="N176" s="35">
        <f t="shared" si="33"/>
        <v>-2.2652298774634154</v>
      </c>
      <c r="O176" s="35">
        <f t="shared" si="34"/>
        <v>9.4043838497236035E-2</v>
      </c>
      <c r="P176" s="36">
        <f t="shared" si="35"/>
        <v>0</v>
      </c>
      <c r="Q176" s="36">
        <f t="shared" si="36"/>
        <v>9.4043838497236035E-2</v>
      </c>
      <c r="R176" s="37">
        <f t="shared" si="37"/>
        <v>8.844243559294215E-3</v>
      </c>
      <c r="T176" s="31">
        <f t="shared" si="38"/>
        <v>1.6024993892747457E-2</v>
      </c>
      <c r="U176" s="31">
        <f t="shared" si="39"/>
        <v>7.6919970685187786E-2</v>
      </c>
      <c r="V176" s="31">
        <f t="shared" si="40"/>
        <v>5.4484979235341353E-2</v>
      </c>
      <c r="W176" s="31">
        <f t="shared" si="41"/>
        <v>2.5639990228395932E-2</v>
      </c>
      <c r="X176" s="31">
        <f t="shared" si="42"/>
        <v>3.2049987785494915E-3</v>
      </c>
    </row>
    <row r="177" spans="1:24" ht="14.25" customHeight="1" x14ac:dyDescent="0.25">
      <c r="A177" s="41"/>
      <c r="B177" s="38">
        <v>13</v>
      </c>
      <c r="C177" s="32">
        <v>4.8</v>
      </c>
      <c r="D177" s="32">
        <v>3</v>
      </c>
      <c r="E177" s="32">
        <v>1.4</v>
      </c>
      <c r="F177" s="32">
        <v>0.1</v>
      </c>
      <c r="G177" s="39">
        <v>0</v>
      </c>
      <c r="H177">
        <f t="shared" si="32"/>
        <v>1</v>
      </c>
      <c r="I177" s="38">
        <f t="shared" si="43"/>
        <v>0.25789103138002262</v>
      </c>
      <c r="J177" s="40">
        <f t="shared" si="44"/>
        <v>-0.50880328896381011</v>
      </c>
      <c r="K177" s="40">
        <f t="shared" si="45"/>
        <v>-0.35461007840846559</v>
      </c>
      <c r="L177" s="40">
        <f t="shared" si="46"/>
        <v>0.58739222058186813</v>
      </c>
      <c r="M177" s="40">
        <f t="shared" si="47"/>
        <v>0.61883057585174739</v>
      </c>
      <c r="N177" s="35">
        <f t="shared" si="33"/>
        <v>-2.3639628244718729</v>
      </c>
      <c r="O177" s="35">
        <f t="shared" si="34"/>
        <v>8.5962312991936199E-2</v>
      </c>
      <c r="P177" s="36">
        <f t="shared" si="35"/>
        <v>0</v>
      </c>
      <c r="Q177" s="36">
        <f t="shared" si="36"/>
        <v>8.5962312991936199E-2</v>
      </c>
      <c r="R177" s="37">
        <f t="shared" si="37"/>
        <v>7.3895192549236028E-3</v>
      </c>
      <c r="T177" s="31">
        <f t="shared" si="38"/>
        <v>1.3508598175743841E-2</v>
      </c>
      <c r="U177" s="31">
        <f t="shared" si="39"/>
        <v>6.4841271243570434E-2</v>
      </c>
      <c r="V177" s="31">
        <f t="shared" si="40"/>
        <v>4.0525794527231526E-2</v>
      </c>
      <c r="W177" s="31">
        <f t="shared" si="41"/>
        <v>1.8912037446041377E-2</v>
      </c>
      <c r="X177" s="31">
        <f t="shared" si="42"/>
        <v>1.3508598175743843E-3</v>
      </c>
    </row>
    <row r="178" spans="1:24" ht="14.25" customHeight="1" x14ac:dyDescent="0.25">
      <c r="A178" s="41"/>
      <c r="B178" s="38">
        <v>14</v>
      </c>
      <c r="C178" s="32">
        <v>4.3</v>
      </c>
      <c r="D178" s="32">
        <v>3</v>
      </c>
      <c r="E178" s="32">
        <v>1.1000000000000001</v>
      </c>
      <c r="F178" s="32">
        <v>0.1</v>
      </c>
      <c r="G178" s="39">
        <v>0</v>
      </c>
      <c r="H178">
        <f t="shared" si="32"/>
        <v>1</v>
      </c>
      <c r="I178" s="38">
        <f t="shared" si="43"/>
        <v>0.25654017156244824</v>
      </c>
      <c r="J178" s="40">
        <f t="shared" si="44"/>
        <v>-0.51528741608816719</v>
      </c>
      <c r="K178" s="40">
        <f t="shared" si="45"/>
        <v>-0.35866265786118873</v>
      </c>
      <c r="L178" s="40">
        <f t="shared" si="46"/>
        <v>0.58550101683726397</v>
      </c>
      <c r="M178" s="40">
        <f t="shared" si="47"/>
        <v>0.6186954898699899</v>
      </c>
      <c r="N178" s="35">
        <f t="shared" si="33"/>
        <v>-2.3292630236922469</v>
      </c>
      <c r="O178" s="35">
        <f t="shared" si="34"/>
        <v>8.8728233809503274E-2</v>
      </c>
      <c r="P178" s="36">
        <f t="shared" si="35"/>
        <v>0</v>
      </c>
      <c r="Q178" s="36">
        <f t="shared" si="36"/>
        <v>8.8728233809503274E-2</v>
      </c>
      <c r="R178" s="37">
        <f t="shared" si="37"/>
        <v>7.8726994749538804E-3</v>
      </c>
      <c r="T178" s="31">
        <f t="shared" si="38"/>
        <v>1.4348337510456437E-2</v>
      </c>
      <c r="U178" s="31">
        <f t="shared" si="39"/>
        <v>6.1697851294962677E-2</v>
      </c>
      <c r="V178" s="31">
        <f t="shared" si="40"/>
        <v>4.304501253136931E-2</v>
      </c>
      <c r="W178" s="31">
        <f t="shared" si="41"/>
        <v>1.5783171261502082E-2</v>
      </c>
      <c r="X178" s="31">
        <f t="shared" si="42"/>
        <v>1.4348337510456438E-3</v>
      </c>
    </row>
    <row r="179" spans="1:24" ht="14.25" customHeight="1" x14ac:dyDescent="0.25">
      <c r="A179" s="41"/>
      <c r="B179" s="38">
        <v>15</v>
      </c>
      <c r="C179" s="32">
        <v>5.8</v>
      </c>
      <c r="D179" s="32">
        <v>4</v>
      </c>
      <c r="E179" s="32">
        <v>1.2</v>
      </c>
      <c r="F179" s="32">
        <v>0.2</v>
      </c>
      <c r="G179" s="39">
        <v>0</v>
      </c>
      <c r="H179">
        <f t="shared" si="32"/>
        <v>1</v>
      </c>
      <c r="I179" s="38">
        <f t="shared" si="43"/>
        <v>0.2551053378114026</v>
      </c>
      <c r="J179" s="40">
        <f t="shared" si="44"/>
        <v>-0.52145720121766348</v>
      </c>
      <c r="K179" s="40">
        <f t="shared" si="45"/>
        <v>-0.36296715911432564</v>
      </c>
      <c r="L179" s="40">
        <f t="shared" si="46"/>
        <v>0.58392269971111377</v>
      </c>
      <c r="M179" s="40">
        <f t="shared" si="47"/>
        <v>0.61855200649488529</v>
      </c>
      <c r="N179" s="35">
        <f t="shared" si="33"/>
        <v>-3.3967974247560342</v>
      </c>
      <c r="O179" s="35">
        <f t="shared" si="34"/>
        <v>3.2395703135052537E-2</v>
      </c>
      <c r="P179" s="36">
        <f t="shared" si="35"/>
        <v>0</v>
      </c>
      <c r="Q179" s="36">
        <f t="shared" si="36"/>
        <v>3.2395703135052537E-2</v>
      </c>
      <c r="R179" s="37">
        <f t="shared" si="37"/>
        <v>1.0494815816144527E-3</v>
      </c>
      <c r="T179" s="31">
        <f t="shared" si="38"/>
        <v>2.0309657757015308E-3</v>
      </c>
      <c r="U179" s="31">
        <f t="shared" si="39"/>
        <v>1.1779601499068879E-2</v>
      </c>
      <c r="V179" s="31">
        <f t="shared" si="40"/>
        <v>8.1238631028061233E-3</v>
      </c>
      <c r="W179" s="31">
        <f t="shared" si="41"/>
        <v>2.4371589308418368E-3</v>
      </c>
      <c r="X179" s="31">
        <f t="shared" si="42"/>
        <v>4.0619315514030621E-4</v>
      </c>
    </row>
    <row r="180" spans="1:24" ht="14.25" customHeight="1" x14ac:dyDescent="0.25">
      <c r="A180" s="41"/>
      <c r="B180" s="38">
        <v>16</v>
      </c>
      <c r="C180" s="32">
        <v>5.7</v>
      </c>
      <c r="D180" s="32">
        <v>4.4000000000000004</v>
      </c>
      <c r="E180" s="32">
        <v>1.5</v>
      </c>
      <c r="F180" s="32">
        <v>0.4</v>
      </c>
      <c r="G180" s="39">
        <v>0</v>
      </c>
      <c r="H180">
        <f t="shared" si="32"/>
        <v>1</v>
      </c>
      <c r="I180" s="38">
        <f t="shared" si="43"/>
        <v>0.25490224123383243</v>
      </c>
      <c r="J180" s="40">
        <f t="shared" si="44"/>
        <v>-0.52263516136757038</v>
      </c>
      <c r="K180" s="40">
        <f t="shared" si="45"/>
        <v>-0.36377954542460628</v>
      </c>
      <c r="L180" s="40">
        <f t="shared" si="46"/>
        <v>0.58367898381802963</v>
      </c>
      <c r="M180" s="40">
        <f t="shared" si="47"/>
        <v>0.61851138717937126</v>
      </c>
      <c r="N180" s="35">
        <f t="shared" si="33"/>
        <v>-3.2018251478307942</v>
      </c>
      <c r="O180" s="35">
        <f t="shared" si="34"/>
        <v>3.9097096994860782E-2</v>
      </c>
      <c r="P180" s="36">
        <f t="shared" si="35"/>
        <v>0</v>
      </c>
      <c r="Q180" s="36">
        <f t="shared" si="36"/>
        <v>3.9097096994860782E-2</v>
      </c>
      <c r="R180" s="37">
        <f t="shared" si="37"/>
        <v>1.528582993425552E-3</v>
      </c>
      <c r="T180" s="31">
        <f t="shared" si="38"/>
        <v>2.9376396717337972E-3</v>
      </c>
      <c r="U180" s="31">
        <f t="shared" si="39"/>
        <v>1.6744546128882643E-2</v>
      </c>
      <c r="V180" s="31">
        <f t="shared" si="40"/>
        <v>1.2925614555628708E-2</v>
      </c>
      <c r="W180" s="31">
        <f t="shared" si="41"/>
        <v>4.4064595076006956E-3</v>
      </c>
      <c r="X180" s="31">
        <f t="shared" si="42"/>
        <v>1.175055868693519E-3</v>
      </c>
    </row>
    <row r="181" spans="1:24" ht="14.25" customHeight="1" x14ac:dyDescent="0.25">
      <c r="A181" s="41"/>
      <c r="B181" s="38">
        <v>17</v>
      </c>
      <c r="C181" s="32">
        <v>5.4</v>
      </c>
      <c r="D181" s="32">
        <v>3.9</v>
      </c>
      <c r="E181" s="32">
        <v>1.3</v>
      </c>
      <c r="F181" s="32">
        <v>0.4</v>
      </c>
      <c r="G181" s="39">
        <v>0</v>
      </c>
      <c r="H181">
        <f t="shared" si="32"/>
        <v>1</v>
      </c>
      <c r="I181" s="38">
        <f t="shared" si="43"/>
        <v>0.25460847726665903</v>
      </c>
      <c r="J181" s="40">
        <f t="shared" si="44"/>
        <v>-0.52430961598045867</v>
      </c>
      <c r="K181" s="40">
        <f t="shared" si="45"/>
        <v>-0.36507210688016917</v>
      </c>
      <c r="L181" s="40">
        <f t="shared" si="46"/>
        <v>0.58323833786726953</v>
      </c>
      <c r="M181" s="40">
        <f t="shared" si="47"/>
        <v>0.61839388159250186</v>
      </c>
      <c r="N181" s="35">
        <f t="shared" si="33"/>
        <v>-2.9948772739960265</v>
      </c>
      <c r="O181" s="35">
        <f t="shared" si="34"/>
        <v>4.7657838110441837E-2</v>
      </c>
      <c r="P181" s="36">
        <f t="shared" si="35"/>
        <v>0</v>
      </c>
      <c r="Q181" s="36">
        <f t="shared" si="36"/>
        <v>4.7657838110441837E-2</v>
      </c>
      <c r="R181" s="37">
        <f t="shared" si="37"/>
        <v>2.2712695333610825E-3</v>
      </c>
      <c r="T181" s="31">
        <f t="shared" si="38"/>
        <v>4.3260514752699623E-3</v>
      </c>
      <c r="U181" s="31">
        <f t="shared" si="39"/>
        <v>2.3360677966457799E-2</v>
      </c>
      <c r="V181" s="31">
        <f t="shared" si="40"/>
        <v>1.6871600753552853E-2</v>
      </c>
      <c r="W181" s="31">
        <f t="shared" si="41"/>
        <v>5.6238669178509514E-3</v>
      </c>
      <c r="X181" s="31">
        <f t="shared" si="42"/>
        <v>1.7304205901079849E-3</v>
      </c>
    </row>
    <row r="182" spans="1:24" ht="14.25" customHeight="1" x14ac:dyDescent="0.25">
      <c r="A182" s="41"/>
      <c r="B182" s="38">
        <v>18</v>
      </c>
      <c r="C182" s="32">
        <v>5.0999999999999996</v>
      </c>
      <c r="D182" s="32">
        <v>3.5</v>
      </c>
      <c r="E182" s="32">
        <v>1.4</v>
      </c>
      <c r="F182" s="32">
        <v>0.3</v>
      </c>
      <c r="G182" s="39">
        <v>0</v>
      </c>
      <c r="H182">
        <f t="shared" si="32"/>
        <v>1</v>
      </c>
      <c r="I182" s="38">
        <f t="shared" si="43"/>
        <v>0.25417587211913201</v>
      </c>
      <c r="J182" s="40">
        <f t="shared" si="44"/>
        <v>-0.52664568377710441</v>
      </c>
      <c r="K182" s="40">
        <f t="shared" si="45"/>
        <v>-0.36675926695552447</v>
      </c>
      <c r="L182" s="40">
        <f t="shared" si="46"/>
        <v>0.58267595117548443</v>
      </c>
      <c r="M182" s="40">
        <f t="shared" si="47"/>
        <v>0.61822083953349105</v>
      </c>
      <c r="N182" s="35">
        <f t="shared" si="33"/>
        <v>-2.7141619659827105</v>
      </c>
      <c r="O182" s="35">
        <f t="shared" si="34"/>
        <v>6.2142844884327642E-2</v>
      </c>
      <c r="P182" s="36">
        <f t="shared" si="35"/>
        <v>0</v>
      </c>
      <c r="Q182" s="36">
        <f t="shared" si="36"/>
        <v>6.2142844884327642E-2</v>
      </c>
      <c r="R182" s="37">
        <f t="shared" si="37"/>
        <v>3.8617331703176059E-3</v>
      </c>
      <c r="T182" s="31">
        <f t="shared" si="38"/>
        <v>7.243508169859793E-3</v>
      </c>
      <c r="U182" s="31">
        <f t="shared" si="39"/>
        <v>3.6941891666284941E-2</v>
      </c>
      <c r="V182" s="31">
        <f t="shared" si="40"/>
        <v>2.5352278594509274E-2</v>
      </c>
      <c r="W182" s="31">
        <f t="shared" si="41"/>
        <v>1.0140911437803709E-2</v>
      </c>
      <c r="X182" s="31">
        <f t="shared" si="42"/>
        <v>2.1730524509579376E-3</v>
      </c>
    </row>
    <row r="183" spans="1:24" ht="14.25" customHeight="1" x14ac:dyDescent="0.25">
      <c r="A183" s="41"/>
      <c r="B183" s="38">
        <v>19</v>
      </c>
      <c r="C183" s="32">
        <v>5.7</v>
      </c>
      <c r="D183" s="32">
        <v>3.8</v>
      </c>
      <c r="E183" s="32">
        <v>1.7</v>
      </c>
      <c r="F183" s="32">
        <v>0.3</v>
      </c>
      <c r="G183" s="39">
        <v>0</v>
      </c>
      <c r="H183">
        <f t="shared" si="32"/>
        <v>1</v>
      </c>
      <c r="I183" s="38">
        <f t="shared" si="43"/>
        <v>0.25345152130214604</v>
      </c>
      <c r="J183" s="40">
        <f t="shared" si="44"/>
        <v>-0.53033987294373286</v>
      </c>
      <c r="K183" s="40">
        <f t="shared" si="45"/>
        <v>-0.36929449481497539</v>
      </c>
      <c r="L183" s="40">
        <f t="shared" si="46"/>
        <v>0.58166186003170406</v>
      </c>
      <c r="M183" s="40">
        <f t="shared" si="47"/>
        <v>0.61800353428839527</v>
      </c>
      <c r="N183" s="35">
        <f t="shared" si="33"/>
        <v>-2.9985786124336222</v>
      </c>
      <c r="O183" s="35">
        <f t="shared" si="34"/>
        <v>4.7490128043258688E-2</v>
      </c>
      <c r="P183" s="36">
        <f t="shared" si="35"/>
        <v>0</v>
      </c>
      <c r="Q183" s="36">
        <f t="shared" si="36"/>
        <v>4.7490128043258688E-2</v>
      </c>
      <c r="R183" s="37">
        <f t="shared" si="37"/>
        <v>2.2553122615651053E-3</v>
      </c>
      <c r="T183" s="31">
        <f t="shared" si="38"/>
        <v>4.2964143869716944E-3</v>
      </c>
      <c r="U183" s="31">
        <f t="shared" si="39"/>
        <v>2.4489562005738659E-2</v>
      </c>
      <c r="V183" s="31">
        <f t="shared" si="40"/>
        <v>1.6326374670492437E-2</v>
      </c>
      <c r="W183" s="31">
        <f t="shared" si="41"/>
        <v>7.3039044578518805E-3</v>
      </c>
      <c r="X183" s="31">
        <f t="shared" si="42"/>
        <v>1.2889243160915083E-3</v>
      </c>
    </row>
    <row r="184" spans="1:24" ht="14.25" customHeight="1" x14ac:dyDescent="0.25">
      <c r="A184" s="41"/>
      <c r="B184" s="38">
        <v>20</v>
      </c>
      <c r="C184" s="32">
        <v>5.0999999999999996</v>
      </c>
      <c r="D184" s="32">
        <v>3.8</v>
      </c>
      <c r="E184" s="32">
        <v>1.5</v>
      </c>
      <c r="F184" s="32">
        <v>0.3</v>
      </c>
      <c r="G184" s="39">
        <v>0</v>
      </c>
      <c r="H184">
        <f t="shared" si="32"/>
        <v>1</v>
      </c>
      <c r="I184" s="38">
        <f t="shared" si="43"/>
        <v>0.25302187986344887</v>
      </c>
      <c r="J184" s="40">
        <f t="shared" si="44"/>
        <v>-0.5327888291443067</v>
      </c>
      <c r="K184" s="40">
        <f t="shared" si="45"/>
        <v>-0.37092713228202462</v>
      </c>
      <c r="L184" s="40">
        <f t="shared" si="46"/>
        <v>0.5809314695859189</v>
      </c>
      <c r="M184" s="40">
        <f t="shared" si="47"/>
        <v>0.61787464185678609</v>
      </c>
      <c r="N184" s="35">
        <f t="shared" si="33"/>
        <v>-2.8169646545082947</v>
      </c>
      <c r="O184" s="35">
        <f t="shared" si="34"/>
        <v>5.6414292851931745E-2</v>
      </c>
      <c r="P184" s="36">
        <f t="shared" si="35"/>
        <v>0</v>
      </c>
      <c r="Q184" s="36">
        <f t="shared" si="36"/>
        <v>5.6414292851931745E-2</v>
      </c>
      <c r="R184" s="37">
        <f t="shared" si="37"/>
        <v>3.1825724379835173E-3</v>
      </c>
      <c r="T184" s="31">
        <f t="shared" si="38"/>
        <v>6.0060597288892573E-3</v>
      </c>
      <c r="U184" s="31">
        <f t="shared" si="39"/>
        <v>3.0630904617335211E-2</v>
      </c>
      <c r="V184" s="31">
        <f t="shared" si="40"/>
        <v>2.2823026969779177E-2</v>
      </c>
      <c r="W184" s="31">
        <f t="shared" si="41"/>
        <v>9.0090895933338869E-3</v>
      </c>
      <c r="X184" s="31">
        <f t="shared" si="42"/>
        <v>1.801817918666777E-3</v>
      </c>
    </row>
    <row r="185" spans="1:24" ht="14.25" customHeight="1" x14ac:dyDescent="0.25">
      <c r="A185" s="41"/>
      <c r="B185" s="38">
        <v>21</v>
      </c>
      <c r="C185" s="32">
        <v>5.4</v>
      </c>
      <c r="D185" s="32">
        <v>3.4</v>
      </c>
      <c r="E185" s="32">
        <v>1.7</v>
      </c>
      <c r="F185" s="32">
        <v>0.2</v>
      </c>
      <c r="G185" s="39">
        <v>0</v>
      </c>
      <c r="H185">
        <f t="shared" si="32"/>
        <v>1</v>
      </c>
      <c r="I185" s="38">
        <f t="shared" si="43"/>
        <v>0.25242127389055996</v>
      </c>
      <c r="J185" s="40">
        <f t="shared" si="44"/>
        <v>-0.53585191960604017</v>
      </c>
      <c r="K185" s="40">
        <f t="shared" si="45"/>
        <v>-0.37320943497900255</v>
      </c>
      <c r="L185" s="40">
        <f t="shared" si="46"/>
        <v>0.58003056062658553</v>
      </c>
      <c r="M185" s="40">
        <f t="shared" si="47"/>
        <v>0.61769446006491946</v>
      </c>
      <c r="N185" s="35">
        <f t="shared" si="33"/>
        <v>-2.8005003258324863</v>
      </c>
      <c r="O185" s="35">
        <f t="shared" si="34"/>
        <v>5.7297145221493692E-2</v>
      </c>
      <c r="P185" s="36">
        <f t="shared" si="35"/>
        <v>0</v>
      </c>
      <c r="Q185" s="36">
        <f t="shared" si="36"/>
        <v>5.7297145221493692E-2</v>
      </c>
      <c r="R185" s="37">
        <f t="shared" si="37"/>
        <v>3.2829628505329374E-3</v>
      </c>
      <c r="T185" s="31">
        <f t="shared" si="38"/>
        <v>6.1897169026583661E-3</v>
      </c>
      <c r="U185" s="31">
        <f t="shared" si="39"/>
        <v>3.3424471274355182E-2</v>
      </c>
      <c r="V185" s="31">
        <f t="shared" si="40"/>
        <v>2.1045037469038443E-2</v>
      </c>
      <c r="W185" s="31">
        <f t="shared" si="41"/>
        <v>1.0522518734519221E-2</v>
      </c>
      <c r="X185" s="31">
        <f t="shared" si="42"/>
        <v>1.2379433805316733E-3</v>
      </c>
    </row>
    <row r="186" spans="1:24" ht="14.25" customHeight="1" x14ac:dyDescent="0.25">
      <c r="A186" s="41"/>
      <c r="B186" s="38">
        <v>22</v>
      </c>
      <c r="C186" s="32">
        <v>5.0999999999999996</v>
      </c>
      <c r="D186" s="32">
        <v>3.7</v>
      </c>
      <c r="E186" s="32">
        <v>1.5</v>
      </c>
      <c r="F186" s="32">
        <v>0.4</v>
      </c>
      <c r="G186" s="39">
        <v>0</v>
      </c>
      <c r="H186">
        <f t="shared" si="32"/>
        <v>1</v>
      </c>
      <c r="I186" s="38">
        <f t="shared" si="43"/>
        <v>0.25180230220029415</v>
      </c>
      <c r="J186" s="40">
        <f t="shared" si="44"/>
        <v>-0.53919436673347565</v>
      </c>
      <c r="K186" s="40">
        <f t="shared" si="45"/>
        <v>-0.3753139387259064</v>
      </c>
      <c r="L186" s="40">
        <f t="shared" si="46"/>
        <v>0.57897830875313361</v>
      </c>
      <c r="M186" s="40">
        <f t="shared" si="47"/>
        <v>0.61757066572686625</v>
      </c>
      <c r="N186" s="35">
        <f t="shared" si="33"/>
        <v>-2.771254812005838</v>
      </c>
      <c r="O186" s="35">
        <f t="shared" si="34"/>
        <v>5.8897422587722292E-2</v>
      </c>
      <c r="P186" s="36">
        <f t="shared" si="35"/>
        <v>0</v>
      </c>
      <c r="Q186" s="36">
        <f t="shared" si="36"/>
        <v>5.8897422587722292E-2</v>
      </c>
      <c r="R186" s="37">
        <f t="shared" si="37"/>
        <v>3.4689063874767403E-3</v>
      </c>
      <c r="T186" s="31">
        <f t="shared" si="38"/>
        <v>6.529193484112546E-3</v>
      </c>
      <c r="U186" s="31">
        <f t="shared" si="39"/>
        <v>3.3298886768973981E-2</v>
      </c>
      <c r="V186" s="31">
        <f t="shared" si="40"/>
        <v>2.4158015891216422E-2</v>
      </c>
      <c r="W186" s="31">
        <f t="shared" si="41"/>
        <v>9.7937902261688199E-3</v>
      </c>
      <c r="X186" s="31">
        <f t="shared" si="42"/>
        <v>2.6116773936450187E-3</v>
      </c>
    </row>
    <row r="187" spans="1:24" ht="14.25" customHeight="1" x14ac:dyDescent="0.25">
      <c r="A187" s="41"/>
      <c r="B187" s="38">
        <v>23</v>
      </c>
      <c r="C187" s="32">
        <v>4.5999999999999996</v>
      </c>
      <c r="D187" s="32">
        <v>3.6</v>
      </c>
      <c r="E187" s="32">
        <v>1</v>
      </c>
      <c r="F187" s="32">
        <v>0.2</v>
      </c>
      <c r="G187" s="39">
        <v>0</v>
      </c>
      <c r="H187">
        <f t="shared" si="32"/>
        <v>1</v>
      </c>
      <c r="I187" s="38">
        <f t="shared" si="43"/>
        <v>0.25114938285188287</v>
      </c>
      <c r="J187" s="40">
        <f t="shared" si="44"/>
        <v>-0.54252425541037308</v>
      </c>
      <c r="K187" s="40">
        <f t="shared" si="45"/>
        <v>-0.37772974031502804</v>
      </c>
      <c r="L187" s="40">
        <f t="shared" si="46"/>
        <v>0.5779989297305167</v>
      </c>
      <c r="M187" s="40">
        <f t="shared" si="47"/>
        <v>0.61730949798750179</v>
      </c>
      <c r="N187" s="35">
        <f t="shared" si="33"/>
        <v>-2.902828427841917</v>
      </c>
      <c r="O187" s="35">
        <f t="shared" si="34"/>
        <v>5.2013920773899922E-2</v>
      </c>
      <c r="P187" s="36">
        <f t="shared" si="35"/>
        <v>0</v>
      </c>
      <c r="Q187" s="36">
        <f t="shared" si="36"/>
        <v>5.2013920773899922E-2</v>
      </c>
      <c r="R187" s="37">
        <f t="shared" si="37"/>
        <v>2.7054479542735379E-3</v>
      </c>
      <c r="T187" s="31">
        <f t="shared" si="38"/>
        <v>5.1294539974440891E-3</v>
      </c>
      <c r="U187" s="31">
        <f t="shared" si="39"/>
        <v>2.3595488388242807E-2</v>
      </c>
      <c r="V187" s="31">
        <f t="shared" si="40"/>
        <v>1.8466034390798722E-2</v>
      </c>
      <c r="W187" s="31">
        <f t="shared" si="41"/>
        <v>5.1294539974440891E-3</v>
      </c>
      <c r="X187" s="31">
        <f t="shared" si="42"/>
        <v>1.0258907994888178E-3</v>
      </c>
    </row>
    <row r="188" spans="1:24" ht="14.25" customHeight="1" x14ac:dyDescent="0.25">
      <c r="A188" s="41"/>
      <c r="B188" s="38">
        <v>24</v>
      </c>
      <c r="C188" s="32">
        <v>5.0999999999999996</v>
      </c>
      <c r="D188" s="32">
        <v>3.3</v>
      </c>
      <c r="E188" s="32">
        <v>1.7</v>
      </c>
      <c r="F188" s="32">
        <v>0.5</v>
      </c>
      <c r="G188" s="39">
        <v>0</v>
      </c>
      <c r="H188">
        <f t="shared" si="32"/>
        <v>1</v>
      </c>
      <c r="I188" s="38">
        <f t="shared" si="43"/>
        <v>0.25063643745213848</v>
      </c>
      <c r="J188" s="40">
        <f t="shared" si="44"/>
        <v>-0.54488380424919736</v>
      </c>
      <c r="K188" s="40">
        <f t="shared" si="45"/>
        <v>-0.37957634375410793</v>
      </c>
      <c r="L188" s="40">
        <f t="shared" si="46"/>
        <v>0.57748598433077225</v>
      </c>
      <c r="M188" s="40">
        <f t="shared" si="47"/>
        <v>0.61720690890755292</v>
      </c>
      <c r="N188" s="35">
        <f t="shared" si="33"/>
        <v>-2.4905432707912345</v>
      </c>
      <c r="O188" s="35">
        <f t="shared" si="34"/>
        <v>7.6523796709420167E-2</v>
      </c>
      <c r="P188" s="36">
        <f t="shared" si="35"/>
        <v>0</v>
      </c>
      <c r="Q188" s="36">
        <f t="shared" si="36"/>
        <v>7.6523796709420167E-2</v>
      </c>
      <c r="R188" s="37">
        <f t="shared" si="37"/>
        <v>5.8558914628246651E-3</v>
      </c>
      <c r="T188" s="31">
        <f t="shared" si="38"/>
        <v>1.0815552829942083E-2</v>
      </c>
      <c r="U188" s="31">
        <f t="shared" si="39"/>
        <v>5.515931943270462E-2</v>
      </c>
      <c r="V188" s="31">
        <f t="shared" si="40"/>
        <v>3.5691324338808873E-2</v>
      </c>
      <c r="W188" s="31">
        <f t="shared" si="41"/>
        <v>1.8386439810901541E-2</v>
      </c>
      <c r="X188" s="31">
        <f t="shared" si="42"/>
        <v>5.4077764149710415E-3</v>
      </c>
    </row>
    <row r="189" spans="1:24" ht="14.25" customHeight="1" x14ac:dyDescent="0.25">
      <c r="A189" s="41"/>
      <c r="B189" s="38">
        <v>25</v>
      </c>
      <c r="C189" s="32">
        <v>4.8</v>
      </c>
      <c r="D189" s="32">
        <v>3.4</v>
      </c>
      <c r="E189" s="32">
        <v>1.9</v>
      </c>
      <c r="F189" s="32">
        <v>0.2</v>
      </c>
      <c r="G189" s="39">
        <v>0</v>
      </c>
      <c r="H189">
        <f t="shared" si="32"/>
        <v>1</v>
      </c>
      <c r="I189" s="38">
        <f t="shared" si="43"/>
        <v>0.24955488216914429</v>
      </c>
      <c r="J189" s="40">
        <f t="shared" si="44"/>
        <v>-0.55039973619246785</v>
      </c>
      <c r="K189" s="40">
        <f t="shared" si="45"/>
        <v>-0.38314547618798883</v>
      </c>
      <c r="L189" s="40">
        <f t="shared" si="46"/>
        <v>0.57564734034968212</v>
      </c>
      <c r="M189" s="40">
        <f t="shared" si="47"/>
        <v>0.61666613126605585</v>
      </c>
      <c r="N189" s="35">
        <f t="shared" si="33"/>
        <v>-2.4779952976762565</v>
      </c>
      <c r="O189" s="35">
        <f t="shared" si="34"/>
        <v>7.7415261022252144E-2</v>
      </c>
      <c r="P189" s="36">
        <f t="shared" si="35"/>
        <v>0</v>
      </c>
      <c r="Q189" s="36">
        <f t="shared" si="36"/>
        <v>7.7415261022252144E-2</v>
      </c>
      <c r="R189" s="37">
        <f t="shared" si="37"/>
        <v>5.9931226391434318E-3</v>
      </c>
      <c r="T189" s="31">
        <f t="shared" si="38"/>
        <v>1.1058326971391549E-2</v>
      </c>
      <c r="U189" s="31">
        <f t="shared" si="39"/>
        <v>5.3079969462679434E-2</v>
      </c>
      <c r="V189" s="31">
        <f t="shared" si="40"/>
        <v>3.7598311702731264E-2</v>
      </c>
      <c r="W189" s="31">
        <f t="shared" si="41"/>
        <v>2.1010821245643942E-2</v>
      </c>
      <c r="X189" s="31">
        <f t="shared" si="42"/>
        <v>2.2116653942783099E-3</v>
      </c>
    </row>
    <row r="190" spans="1:24" ht="14.25" customHeight="1" x14ac:dyDescent="0.25">
      <c r="A190" s="41"/>
      <c r="B190" s="38">
        <v>26</v>
      </c>
      <c r="C190" s="32">
        <v>5</v>
      </c>
      <c r="D190" s="32">
        <v>3</v>
      </c>
      <c r="E190" s="32">
        <v>1.6</v>
      </c>
      <c r="F190" s="32">
        <v>0.2</v>
      </c>
      <c r="G190" s="39">
        <v>0</v>
      </c>
      <c r="H190">
        <f t="shared" si="32"/>
        <v>1</v>
      </c>
      <c r="I190" s="38">
        <f t="shared" si="43"/>
        <v>0.24844904947200513</v>
      </c>
      <c r="J190" s="40">
        <f t="shared" si="44"/>
        <v>-0.55570773313873578</v>
      </c>
      <c r="K190" s="40">
        <f t="shared" si="45"/>
        <v>-0.38690530735826195</v>
      </c>
      <c r="L190" s="40">
        <f t="shared" si="46"/>
        <v>0.57354625822511773</v>
      </c>
      <c r="M190" s="40">
        <f t="shared" si="47"/>
        <v>0.61644496472662802</v>
      </c>
      <c r="N190" s="35">
        <f t="shared" si="33"/>
        <v>-2.649842532190946</v>
      </c>
      <c r="O190" s="35">
        <f t="shared" si="34"/>
        <v>6.5998715597937782E-2</v>
      </c>
      <c r="P190" s="36">
        <f t="shared" si="35"/>
        <v>0</v>
      </c>
      <c r="Q190" s="36">
        <f t="shared" si="36"/>
        <v>6.5998715597937782E-2</v>
      </c>
      <c r="R190" s="37">
        <f t="shared" si="37"/>
        <v>4.3558304605774761E-3</v>
      </c>
      <c r="T190" s="31">
        <f t="shared" si="38"/>
        <v>8.1367024896339766E-3</v>
      </c>
      <c r="U190" s="31">
        <f t="shared" si="39"/>
        <v>4.0683512448169881E-2</v>
      </c>
      <c r="V190" s="31">
        <f t="shared" si="40"/>
        <v>2.4410107468901932E-2</v>
      </c>
      <c r="W190" s="31">
        <f t="shared" si="41"/>
        <v>1.3018723983414363E-2</v>
      </c>
      <c r="X190" s="31">
        <f t="shared" si="42"/>
        <v>1.6273404979267954E-3</v>
      </c>
    </row>
    <row r="191" spans="1:24" ht="14.25" customHeight="1" x14ac:dyDescent="0.25">
      <c r="A191" s="41"/>
      <c r="B191" s="38">
        <v>27</v>
      </c>
      <c r="C191" s="32">
        <v>5</v>
      </c>
      <c r="D191" s="32">
        <v>3.4</v>
      </c>
      <c r="E191" s="32">
        <v>1.6</v>
      </c>
      <c r="F191" s="32">
        <v>0.4</v>
      </c>
      <c r="G191" s="39">
        <v>0</v>
      </c>
      <c r="H191">
        <f t="shared" si="32"/>
        <v>1</v>
      </c>
      <c r="I191" s="38">
        <f t="shared" si="43"/>
        <v>0.24763537922304174</v>
      </c>
      <c r="J191" s="40">
        <f t="shared" si="44"/>
        <v>-0.55977608438355275</v>
      </c>
      <c r="K191" s="40">
        <f t="shared" si="45"/>
        <v>-0.38934631810515213</v>
      </c>
      <c r="L191" s="40">
        <f t="shared" si="46"/>
        <v>0.57224438582677628</v>
      </c>
      <c r="M191" s="40">
        <f t="shared" si="47"/>
        <v>0.6162822306768353</v>
      </c>
      <c r="N191" s="35">
        <f t="shared" si="33"/>
        <v>-2.7129186146586632</v>
      </c>
      <c r="O191" s="35">
        <f t="shared" si="34"/>
        <v>6.2215348243977675E-2</v>
      </c>
      <c r="P191" s="36">
        <f t="shared" si="35"/>
        <v>0</v>
      </c>
      <c r="Q191" s="36">
        <f t="shared" si="36"/>
        <v>6.2215348243977675E-2</v>
      </c>
      <c r="R191" s="37">
        <f t="shared" si="37"/>
        <v>3.8707495571194159E-3</v>
      </c>
      <c r="T191" s="31">
        <f t="shared" si="38"/>
        <v>7.2598590509160184E-3</v>
      </c>
      <c r="U191" s="31">
        <f t="shared" si="39"/>
        <v>3.6299295254580088E-2</v>
      </c>
      <c r="V191" s="31">
        <f t="shared" si="40"/>
        <v>2.4683520773114462E-2</v>
      </c>
      <c r="W191" s="31">
        <f t="shared" si="41"/>
        <v>1.161577448146563E-2</v>
      </c>
      <c r="X191" s="31">
        <f t="shared" si="42"/>
        <v>2.9039436203664075E-3</v>
      </c>
    </row>
    <row r="192" spans="1:24" ht="14.25" customHeight="1" x14ac:dyDescent="0.25">
      <c r="A192" s="41"/>
      <c r="B192" s="38">
        <v>28</v>
      </c>
      <c r="C192" s="32">
        <v>5.2</v>
      </c>
      <c r="D192" s="32">
        <v>3.5</v>
      </c>
      <c r="E192" s="32">
        <v>1.5</v>
      </c>
      <c r="F192" s="32">
        <v>0.2</v>
      </c>
      <c r="G192" s="39">
        <v>0</v>
      </c>
      <c r="H192">
        <f t="shared" si="32"/>
        <v>1</v>
      </c>
      <c r="I192" s="38">
        <f t="shared" si="43"/>
        <v>0.24690939331795014</v>
      </c>
      <c r="J192" s="40">
        <f t="shared" si="44"/>
        <v>-0.56340601390901079</v>
      </c>
      <c r="K192" s="40">
        <f t="shared" si="45"/>
        <v>-0.39181467018246358</v>
      </c>
      <c r="L192" s="40">
        <f t="shared" si="46"/>
        <v>0.57108280837862968</v>
      </c>
      <c r="M192" s="40">
        <f t="shared" si="47"/>
        <v>0.6159918363147987</v>
      </c>
      <c r="N192" s="35">
        <f t="shared" si="33"/>
        <v>-3.0743306448166239</v>
      </c>
      <c r="O192" s="35">
        <f t="shared" si="34"/>
        <v>4.4178596695961199E-2</v>
      </c>
      <c r="P192" s="36">
        <f t="shared" si="35"/>
        <v>0</v>
      </c>
      <c r="Q192" s="36">
        <f t="shared" si="36"/>
        <v>4.4178596695961199E-2</v>
      </c>
      <c r="R192" s="37">
        <f t="shared" si="37"/>
        <v>1.9517484060243937E-3</v>
      </c>
      <c r="T192" s="31">
        <f t="shared" si="38"/>
        <v>3.7310458006853137E-3</v>
      </c>
      <c r="U192" s="31">
        <f t="shared" si="39"/>
        <v>1.9401438163563631E-2</v>
      </c>
      <c r="V192" s="31">
        <f t="shared" si="40"/>
        <v>1.3058660302398599E-2</v>
      </c>
      <c r="W192" s="31">
        <f t="shared" si="41"/>
        <v>5.5965687010279706E-3</v>
      </c>
      <c r="X192" s="31">
        <f t="shared" si="42"/>
        <v>7.4620916013706275E-4</v>
      </c>
    </row>
    <row r="193" spans="1:24" ht="14.25" customHeight="1" x14ac:dyDescent="0.25">
      <c r="A193" s="41"/>
      <c r="B193" s="38">
        <v>29</v>
      </c>
      <c r="C193" s="32">
        <v>5.2</v>
      </c>
      <c r="D193" s="32">
        <v>3.4</v>
      </c>
      <c r="E193" s="32">
        <v>1.4</v>
      </c>
      <c r="F193" s="32">
        <v>0.2</v>
      </c>
      <c r="G193" s="39">
        <v>0</v>
      </c>
      <c r="H193">
        <f t="shared" si="32"/>
        <v>1</v>
      </c>
      <c r="I193" s="38">
        <f t="shared" si="43"/>
        <v>0.24653628873788161</v>
      </c>
      <c r="J193" s="40">
        <f t="shared" si="44"/>
        <v>-0.56534615772536712</v>
      </c>
      <c r="K193" s="40">
        <f t="shared" si="45"/>
        <v>-0.39312053621270343</v>
      </c>
      <c r="L193" s="40">
        <f t="shared" si="46"/>
        <v>0.57052315150852684</v>
      </c>
      <c r="M193" s="40">
        <f t="shared" si="47"/>
        <v>0.61591721539878497</v>
      </c>
      <c r="N193" s="35">
        <f t="shared" si="33"/>
        <v>-3.1079576993655245</v>
      </c>
      <c r="O193" s="35">
        <f t="shared" si="34"/>
        <v>4.2780198487379906E-2</v>
      </c>
      <c r="P193" s="36">
        <f t="shared" si="35"/>
        <v>0</v>
      </c>
      <c r="Q193" s="36">
        <f t="shared" si="36"/>
        <v>4.2780198487379906E-2</v>
      </c>
      <c r="R193" s="37">
        <f t="shared" si="37"/>
        <v>1.830145382619622E-3</v>
      </c>
      <c r="T193" s="31">
        <f t="shared" si="38"/>
        <v>3.5037027997807855E-3</v>
      </c>
      <c r="U193" s="31">
        <f t="shared" si="39"/>
        <v>1.8219254558860084E-2</v>
      </c>
      <c r="V193" s="31">
        <f t="shared" si="40"/>
        <v>1.191258951925467E-2</v>
      </c>
      <c r="W193" s="31">
        <f t="shared" si="41"/>
        <v>4.905183919693099E-3</v>
      </c>
      <c r="X193" s="31">
        <f t="shared" si="42"/>
        <v>7.0074055995615712E-4</v>
      </c>
    </row>
    <row r="194" spans="1:24" ht="14.25" customHeight="1" x14ac:dyDescent="0.25">
      <c r="A194" s="41"/>
      <c r="B194" s="38">
        <v>30</v>
      </c>
      <c r="C194" s="32">
        <v>4.7</v>
      </c>
      <c r="D194" s="32">
        <v>3.2</v>
      </c>
      <c r="E194" s="32">
        <v>1.6</v>
      </c>
      <c r="F194" s="32">
        <v>0.2</v>
      </c>
      <c r="G194" s="39">
        <v>0</v>
      </c>
      <c r="H194">
        <f t="shared" si="32"/>
        <v>1</v>
      </c>
      <c r="I194" s="38">
        <f t="shared" si="43"/>
        <v>0.24618591845790352</v>
      </c>
      <c r="J194" s="40">
        <f t="shared" si="44"/>
        <v>-0.56716808318125311</v>
      </c>
      <c r="K194" s="40">
        <f t="shared" si="45"/>
        <v>-0.39431179516462889</v>
      </c>
      <c r="L194" s="40">
        <f t="shared" si="46"/>
        <v>0.5700326331165575</v>
      </c>
      <c r="M194" s="40">
        <f t="shared" si="47"/>
        <v>0.61584714134278939</v>
      </c>
      <c r="N194" s="35">
        <f t="shared" si="33"/>
        <v>-2.6460801757657491</v>
      </c>
      <c r="O194" s="35">
        <f t="shared" si="34"/>
        <v>6.6231017146530485E-2</v>
      </c>
      <c r="P194" s="36">
        <f t="shared" si="35"/>
        <v>0</v>
      </c>
      <c r="Q194" s="36">
        <f t="shared" si="36"/>
        <v>6.6231017146530485E-2</v>
      </c>
      <c r="R194" s="37">
        <f t="shared" si="37"/>
        <v>4.3865476322640148E-3</v>
      </c>
      <c r="T194" s="31">
        <f t="shared" si="38"/>
        <v>8.1920442416349281E-3</v>
      </c>
      <c r="U194" s="31">
        <f t="shared" si="39"/>
        <v>3.8502607935684163E-2</v>
      </c>
      <c r="V194" s="31">
        <f t="shared" si="40"/>
        <v>2.6214541573231772E-2</v>
      </c>
      <c r="W194" s="31">
        <f t="shared" si="41"/>
        <v>1.3107270786615886E-2</v>
      </c>
      <c r="X194" s="31">
        <f t="shared" si="42"/>
        <v>1.6384088483269858E-3</v>
      </c>
    </row>
    <row r="195" spans="1:24" ht="14.25" customHeight="1" x14ac:dyDescent="0.25">
      <c r="A195" s="41"/>
      <c r="B195" s="38">
        <v>31</v>
      </c>
      <c r="C195" s="32">
        <v>4.8</v>
      </c>
      <c r="D195" s="32">
        <v>3.1</v>
      </c>
      <c r="E195" s="32">
        <v>1.6</v>
      </c>
      <c r="F195" s="32">
        <v>0.2</v>
      </c>
      <c r="G195" s="39">
        <v>0</v>
      </c>
      <c r="H195">
        <f t="shared" si="32"/>
        <v>1</v>
      </c>
      <c r="I195" s="38">
        <f t="shared" si="43"/>
        <v>0.24536671403374002</v>
      </c>
      <c r="J195" s="40">
        <f t="shared" si="44"/>
        <v>-0.57101834397482154</v>
      </c>
      <c r="K195" s="40">
        <f t="shared" si="45"/>
        <v>-0.39693324932195206</v>
      </c>
      <c r="L195" s="40">
        <f t="shared" si="46"/>
        <v>0.56872190603789585</v>
      </c>
      <c r="M195" s="40">
        <f t="shared" si="47"/>
        <v>0.61568330045795672</v>
      </c>
      <c r="N195" s="35">
        <f t="shared" si="33"/>
        <v>-2.6929227001912297</v>
      </c>
      <c r="O195" s="35">
        <f t="shared" si="34"/>
        <v>6.3392265253728194E-2</v>
      </c>
      <c r="P195" s="36">
        <f t="shared" si="35"/>
        <v>0</v>
      </c>
      <c r="Q195" s="36">
        <f t="shared" si="36"/>
        <v>6.3392265253728194E-2</v>
      </c>
      <c r="R195" s="37">
        <f t="shared" si="37"/>
        <v>4.0185792939990347E-3</v>
      </c>
      <c r="T195" s="31">
        <f t="shared" si="38"/>
        <v>7.5276648989014167E-3</v>
      </c>
      <c r="U195" s="31">
        <f t="shared" si="39"/>
        <v>3.61327915147268E-2</v>
      </c>
      <c r="V195" s="31">
        <f t="shared" si="40"/>
        <v>2.3335761186594393E-2</v>
      </c>
      <c r="W195" s="31">
        <f t="shared" si="41"/>
        <v>1.2044263838242267E-2</v>
      </c>
      <c r="X195" s="31">
        <f t="shared" si="42"/>
        <v>1.5055329797802833E-3</v>
      </c>
    </row>
    <row r="196" spans="1:24" ht="14.25" customHeight="1" x14ac:dyDescent="0.25">
      <c r="A196" s="41"/>
      <c r="B196" s="38">
        <v>32</v>
      </c>
      <c r="C196" s="32">
        <v>5.4</v>
      </c>
      <c r="D196" s="32">
        <v>3.4</v>
      </c>
      <c r="E196" s="32">
        <v>1.5</v>
      </c>
      <c r="F196" s="32">
        <v>0.4</v>
      </c>
      <c r="G196" s="39">
        <v>0</v>
      </c>
      <c r="H196">
        <f t="shared" si="32"/>
        <v>1</v>
      </c>
      <c r="I196" s="38">
        <f t="shared" si="43"/>
        <v>0.24461394754384988</v>
      </c>
      <c r="J196" s="40">
        <f t="shared" si="44"/>
        <v>-0.57463162312629423</v>
      </c>
      <c r="K196" s="40">
        <f t="shared" si="45"/>
        <v>-0.39926682544061148</v>
      </c>
      <c r="L196" s="40">
        <f t="shared" si="46"/>
        <v>0.56751747965407162</v>
      </c>
      <c r="M196" s="40">
        <f t="shared" si="47"/>
        <v>0.61553274715997874</v>
      </c>
      <c r="N196" s="35">
        <f t="shared" si="33"/>
        <v>-3.1184147054911193</v>
      </c>
      <c r="O196" s="35">
        <f t="shared" si="34"/>
        <v>4.2354025014097157E-2</v>
      </c>
      <c r="P196" s="36">
        <f t="shared" si="35"/>
        <v>0</v>
      </c>
      <c r="Q196" s="36">
        <f t="shared" si="36"/>
        <v>4.2354025014097157E-2</v>
      </c>
      <c r="R196" s="37">
        <f t="shared" si="37"/>
        <v>1.7938634348947677E-3</v>
      </c>
      <c r="T196" s="31">
        <f t="shared" si="38"/>
        <v>3.4357721962027213E-3</v>
      </c>
      <c r="U196" s="31">
        <f t="shared" si="39"/>
        <v>1.8553169859494695E-2</v>
      </c>
      <c r="V196" s="31">
        <f t="shared" si="40"/>
        <v>1.1681625467089252E-2</v>
      </c>
      <c r="W196" s="31">
        <f t="shared" si="41"/>
        <v>5.1536582943040822E-3</v>
      </c>
      <c r="X196" s="31">
        <f t="shared" si="42"/>
        <v>1.3743088784810885E-3</v>
      </c>
    </row>
    <row r="197" spans="1:24" ht="14.25" customHeight="1" x14ac:dyDescent="0.25">
      <c r="A197" s="41"/>
      <c r="B197" s="38">
        <v>33</v>
      </c>
      <c r="C197" s="32">
        <v>5.2</v>
      </c>
      <c r="D197" s="32">
        <v>4.0999999999999996</v>
      </c>
      <c r="E197" s="32">
        <v>1.5</v>
      </c>
      <c r="F197" s="32">
        <v>0.1</v>
      </c>
      <c r="G197" s="39">
        <v>0</v>
      </c>
      <c r="H197">
        <f t="shared" ref="H197:H260" si="48">IF(G197=P197, 1, 0)</f>
        <v>1</v>
      </c>
      <c r="I197" s="38">
        <f t="shared" si="43"/>
        <v>0.2442703703242296</v>
      </c>
      <c r="J197" s="40">
        <f t="shared" si="44"/>
        <v>-0.57648694011224366</v>
      </c>
      <c r="K197" s="40">
        <f t="shared" si="45"/>
        <v>-0.40043498798732041</v>
      </c>
      <c r="L197" s="40">
        <f t="shared" si="46"/>
        <v>0.56700211382464116</v>
      </c>
      <c r="M197" s="40">
        <f t="shared" si="47"/>
        <v>0.61539531627213062</v>
      </c>
      <c r="N197" s="35">
        <f t="shared" ref="N197:N260" si="49">I197+J197*C197+K197*D197+L197*E197+F197*M197</f>
        <v>-3.4832024666432759</v>
      </c>
      <c r="O197" s="35">
        <f t="shared" ref="O197:O260" si="50">1/(1+EXP(-N197))</f>
        <v>2.9793968852973408E-2</v>
      </c>
      <c r="P197" s="36">
        <f t="shared" ref="P197:P260" si="51">IF(O197&gt;0.5,1,0)</f>
        <v>0</v>
      </c>
      <c r="Q197" s="36">
        <f t="shared" ref="Q197:Q260" si="52">O197-G197</f>
        <v>2.9793968852973408E-2</v>
      </c>
      <c r="R197" s="37">
        <f t="shared" ref="R197:R260" si="53">Q197^2</f>
        <v>8.8768058001194956E-4</v>
      </c>
      <c r="T197" s="31">
        <f t="shared" ref="T197:T260" si="54">2*(O197-G197)*(1-O197)*O197</f>
        <v>1.7224661049193685E-3</v>
      </c>
      <c r="U197" s="31">
        <f t="shared" ref="U197:U260" si="55">2*(O197-G197)*(1-O197)*O197*C197</f>
        <v>8.9568237455807161E-3</v>
      </c>
      <c r="V197" s="31">
        <f t="shared" ref="V197:V260" si="56">2*(O197-G197)*(1-O197)*O197*D197</f>
        <v>7.0621110301694106E-3</v>
      </c>
      <c r="W197" s="31">
        <f t="shared" ref="W197:W260" si="57">2*(O197-G197)*(1-O197)*O197*E197</f>
        <v>2.5836991573790526E-3</v>
      </c>
      <c r="X197" s="31">
        <f t="shared" ref="X197:X260" si="58">2*(O197-G197)*(1-O197)*O197*F197</f>
        <v>1.7224661049193687E-4</v>
      </c>
    </row>
    <row r="198" spans="1:24" ht="14.25" customHeight="1" x14ac:dyDescent="0.25">
      <c r="A198" s="41"/>
      <c r="B198" s="38">
        <v>34</v>
      </c>
      <c r="C198" s="32">
        <v>5.5</v>
      </c>
      <c r="D198" s="32">
        <v>4.2</v>
      </c>
      <c r="E198" s="32">
        <v>1.4</v>
      </c>
      <c r="F198" s="32">
        <v>0.2</v>
      </c>
      <c r="G198" s="39">
        <v>0</v>
      </c>
      <c r="H198">
        <f t="shared" si="48"/>
        <v>1</v>
      </c>
      <c r="I198" s="38">
        <f t="shared" ref="I198:I261" si="59">I197-0.1*T197</f>
        <v>0.24409812371373765</v>
      </c>
      <c r="J198" s="40">
        <f t="shared" ref="J198:J261" si="60">J197-0.1*U197</f>
        <v>-0.57738262248680172</v>
      </c>
      <c r="K198" s="40">
        <f t="shared" ref="K198:K261" si="61">K197-0.1*V197</f>
        <v>-0.40114119909033735</v>
      </c>
      <c r="L198" s="40">
        <f t="shared" ref="L198:L261" si="62">L197-0.1*W197</f>
        <v>0.56674374390890325</v>
      </c>
      <c r="M198" s="40">
        <f t="shared" ref="M198:M261" si="63">M197-0.1*X197</f>
        <v>0.61537809161108148</v>
      </c>
      <c r="N198" s="35">
        <f t="shared" si="49"/>
        <v>-3.6997824763484082</v>
      </c>
      <c r="O198" s="35">
        <f t="shared" si="50"/>
        <v>2.4132143522276699E-2</v>
      </c>
      <c r="P198" s="36">
        <f t="shared" si="51"/>
        <v>0</v>
      </c>
      <c r="Q198" s="36">
        <f t="shared" si="52"/>
        <v>2.4132143522276699E-2</v>
      </c>
      <c r="R198" s="37">
        <f t="shared" si="53"/>
        <v>5.8236035097976129E-4</v>
      </c>
      <c r="T198" s="31">
        <f t="shared" si="54"/>
        <v>1.1366134948164685E-3</v>
      </c>
      <c r="U198" s="31">
        <f t="shared" si="55"/>
        <v>6.2513742214905764E-3</v>
      </c>
      <c r="V198" s="31">
        <f t="shared" si="56"/>
        <v>4.7737766782291677E-3</v>
      </c>
      <c r="W198" s="31">
        <f t="shared" si="57"/>
        <v>1.5912588927430558E-3</v>
      </c>
      <c r="X198" s="31">
        <f t="shared" si="58"/>
        <v>2.273226989632937E-4</v>
      </c>
    </row>
    <row r="199" spans="1:24" ht="14.25" customHeight="1" x14ac:dyDescent="0.25">
      <c r="A199" s="41"/>
      <c r="B199" s="38">
        <v>35</v>
      </c>
      <c r="C199" s="32">
        <v>4.9000000000000004</v>
      </c>
      <c r="D199" s="32">
        <v>3.1</v>
      </c>
      <c r="E199" s="32">
        <v>1.5</v>
      </c>
      <c r="F199" s="32">
        <v>0.1</v>
      </c>
      <c r="G199" s="39">
        <v>0</v>
      </c>
      <c r="H199">
        <f t="shared" si="48"/>
        <v>1</v>
      </c>
      <c r="I199" s="38">
        <f t="shared" si="59"/>
        <v>0.243984462364256</v>
      </c>
      <c r="J199" s="40">
        <f t="shared" si="60"/>
        <v>-0.57800775990895081</v>
      </c>
      <c r="K199" s="40">
        <f t="shared" si="61"/>
        <v>-0.40161857675816026</v>
      </c>
      <c r="L199" s="40">
        <f t="shared" si="62"/>
        <v>0.56658461801962889</v>
      </c>
      <c r="M199" s="40">
        <f t="shared" si="63"/>
        <v>0.61535535934118513</v>
      </c>
      <c r="N199" s="35">
        <f t="shared" si="49"/>
        <v>-2.9218586861763383</v>
      </c>
      <c r="O199" s="35">
        <f t="shared" si="50"/>
        <v>5.1083527747564597E-2</v>
      </c>
      <c r="P199" s="36">
        <f t="shared" si="51"/>
        <v>0</v>
      </c>
      <c r="Q199" s="36">
        <f t="shared" si="52"/>
        <v>5.1083527747564597E-2</v>
      </c>
      <c r="R199" s="37">
        <f t="shared" si="53"/>
        <v>2.6095268071362021E-3</v>
      </c>
      <c r="T199" s="31">
        <f t="shared" si="54"/>
        <v>4.9524459441516924E-3</v>
      </c>
      <c r="U199" s="31">
        <f t="shared" si="55"/>
        <v>2.4266985126343295E-2</v>
      </c>
      <c r="V199" s="31">
        <f t="shared" si="56"/>
        <v>1.5352582426870248E-2</v>
      </c>
      <c r="W199" s="31">
        <f t="shared" si="57"/>
        <v>7.4286689162275385E-3</v>
      </c>
      <c r="X199" s="31">
        <f t="shared" si="58"/>
        <v>4.9524459441516926E-4</v>
      </c>
    </row>
    <row r="200" spans="1:24" ht="14.25" customHeight="1" x14ac:dyDescent="0.25">
      <c r="A200" s="41"/>
      <c r="B200" s="38">
        <v>36</v>
      </c>
      <c r="C200" s="32">
        <v>5</v>
      </c>
      <c r="D200" s="32">
        <v>3.2</v>
      </c>
      <c r="E200" s="32">
        <v>1.2</v>
      </c>
      <c r="F200" s="32">
        <v>0.2</v>
      </c>
      <c r="G200" s="39">
        <v>0</v>
      </c>
      <c r="H200">
        <f t="shared" si="48"/>
        <v>1</v>
      </c>
      <c r="I200" s="38">
        <f t="shared" si="59"/>
        <v>0.24348921776984084</v>
      </c>
      <c r="J200" s="40">
        <f t="shared" si="60"/>
        <v>-0.58043445842158514</v>
      </c>
      <c r="K200" s="40">
        <f t="shared" si="61"/>
        <v>-0.40315383500084728</v>
      </c>
      <c r="L200" s="40">
        <f t="shared" si="62"/>
        <v>0.56584175112800617</v>
      </c>
      <c r="M200" s="40">
        <f t="shared" si="63"/>
        <v>0.61530583488174362</v>
      </c>
      <c r="N200" s="35">
        <f t="shared" si="49"/>
        <v>-3.1467040780108406</v>
      </c>
      <c r="O200" s="35">
        <f t="shared" si="50"/>
        <v>4.1221343315467077E-2</v>
      </c>
      <c r="P200" s="36">
        <f t="shared" si="51"/>
        <v>0</v>
      </c>
      <c r="Q200" s="36">
        <f t="shared" si="52"/>
        <v>4.1221343315467077E-2</v>
      </c>
      <c r="R200" s="37">
        <f t="shared" si="53"/>
        <v>1.6991991447316023E-3</v>
      </c>
      <c r="T200" s="31">
        <f t="shared" si="54"/>
        <v>3.2583117468505452E-3</v>
      </c>
      <c r="U200" s="31">
        <f t="shared" si="55"/>
        <v>1.6291558734252726E-2</v>
      </c>
      <c r="V200" s="31">
        <f t="shared" si="56"/>
        <v>1.0426597589921746E-2</v>
      </c>
      <c r="W200" s="31">
        <f t="shared" si="57"/>
        <v>3.9099740962206539E-3</v>
      </c>
      <c r="X200" s="31">
        <f t="shared" si="58"/>
        <v>6.5166234937010913E-4</v>
      </c>
    </row>
    <row r="201" spans="1:24" ht="14.25" customHeight="1" x14ac:dyDescent="0.25">
      <c r="A201" s="41"/>
      <c r="B201" s="38">
        <v>37</v>
      </c>
      <c r="C201" s="32">
        <v>5.5</v>
      </c>
      <c r="D201" s="32">
        <v>3.5</v>
      </c>
      <c r="E201" s="32">
        <v>1.3</v>
      </c>
      <c r="F201" s="32">
        <v>0.2</v>
      </c>
      <c r="G201" s="39">
        <v>0</v>
      </c>
      <c r="H201">
        <f t="shared" si="48"/>
        <v>1</v>
      </c>
      <c r="I201" s="38">
        <f t="shared" si="59"/>
        <v>0.24316338659515579</v>
      </c>
      <c r="J201" s="40">
        <f t="shared" si="60"/>
        <v>-0.58206361429501041</v>
      </c>
      <c r="K201" s="40">
        <f t="shared" si="61"/>
        <v>-0.40419649475983943</v>
      </c>
      <c r="L201" s="40">
        <f t="shared" si="62"/>
        <v>0.56545075371838405</v>
      </c>
      <c r="M201" s="40">
        <f t="shared" si="63"/>
        <v>0.6152406686468066</v>
      </c>
      <c r="N201" s="35">
        <f t="shared" si="49"/>
        <v>-3.5147401101235789</v>
      </c>
      <c r="O201" s="35">
        <f t="shared" si="50"/>
        <v>2.8895727283870649E-2</v>
      </c>
      <c r="P201" s="36">
        <f t="shared" si="51"/>
        <v>0</v>
      </c>
      <c r="Q201" s="36">
        <f t="shared" si="52"/>
        <v>2.8895727283870649E-2</v>
      </c>
      <c r="R201" s="37">
        <f t="shared" si="53"/>
        <v>8.3496305526382659E-4</v>
      </c>
      <c r="T201" s="31">
        <f t="shared" si="54"/>
        <v>1.6216723810536311E-3</v>
      </c>
      <c r="U201" s="31">
        <f t="shared" si="55"/>
        <v>8.9191980957949706E-3</v>
      </c>
      <c r="V201" s="31">
        <f t="shared" si="56"/>
        <v>5.6758533336877092E-3</v>
      </c>
      <c r="W201" s="31">
        <f t="shared" si="57"/>
        <v>2.1081740953697204E-3</v>
      </c>
      <c r="X201" s="31">
        <f t="shared" si="58"/>
        <v>3.2433447621072625E-4</v>
      </c>
    </row>
    <row r="202" spans="1:24" ht="14.25" customHeight="1" x14ac:dyDescent="0.25">
      <c r="A202" s="41"/>
      <c r="B202" s="38">
        <v>38</v>
      </c>
      <c r="C202" s="32">
        <v>4.9000000000000004</v>
      </c>
      <c r="D202" s="32">
        <v>3.1</v>
      </c>
      <c r="E202" s="32">
        <v>1.5</v>
      </c>
      <c r="F202" s="32">
        <v>0.1</v>
      </c>
      <c r="G202" s="39">
        <v>0</v>
      </c>
      <c r="H202">
        <f t="shared" si="48"/>
        <v>1</v>
      </c>
      <c r="I202" s="38">
        <f t="shared" si="59"/>
        <v>0.24300121935705044</v>
      </c>
      <c r="J202" s="40">
        <f t="shared" si="60"/>
        <v>-0.58295553410458989</v>
      </c>
      <c r="K202" s="40">
        <f t="shared" si="61"/>
        <v>-0.40476408009320819</v>
      </c>
      <c r="L202" s="40">
        <f t="shared" si="62"/>
        <v>0.56523993630884706</v>
      </c>
      <c r="M202" s="40">
        <f t="shared" si="63"/>
        <v>0.61520823519918555</v>
      </c>
      <c r="N202" s="35">
        <f t="shared" si="49"/>
        <v>-2.9588688180611964</v>
      </c>
      <c r="O202" s="35">
        <f t="shared" si="50"/>
        <v>4.9319016386398379E-2</v>
      </c>
      <c r="P202" s="36">
        <f t="shared" si="51"/>
        <v>0</v>
      </c>
      <c r="Q202" s="36">
        <f t="shared" si="52"/>
        <v>4.9319016386398379E-2</v>
      </c>
      <c r="R202" s="37">
        <f t="shared" si="53"/>
        <v>2.4323653773218319E-3</v>
      </c>
      <c r="T202" s="31">
        <f t="shared" si="54"/>
        <v>4.6248070188399763E-3</v>
      </c>
      <c r="U202" s="31">
        <f t="shared" si="55"/>
        <v>2.2661554392315885E-2</v>
      </c>
      <c r="V202" s="31">
        <f t="shared" si="56"/>
        <v>1.4336901758403927E-2</v>
      </c>
      <c r="W202" s="31">
        <f t="shared" si="57"/>
        <v>6.9372105282599645E-3</v>
      </c>
      <c r="X202" s="31">
        <f t="shared" si="58"/>
        <v>4.6248070188399768E-4</v>
      </c>
    </row>
    <row r="203" spans="1:24" ht="14.25" customHeight="1" x14ac:dyDescent="0.25">
      <c r="A203" s="41"/>
      <c r="B203" s="38">
        <v>39</v>
      </c>
      <c r="C203" s="32">
        <v>4.4000000000000004</v>
      </c>
      <c r="D203" s="32">
        <v>3</v>
      </c>
      <c r="E203" s="32">
        <v>1.3</v>
      </c>
      <c r="F203" s="32">
        <v>0.2</v>
      </c>
      <c r="G203" s="39">
        <v>0</v>
      </c>
      <c r="H203">
        <f t="shared" si="48"/>
        <v>1</v>
      </c>
      <c r="I203" s="38">
        <f t="shared" si="59"/>
        <v>0.24253873865516642</v>
      </c>
      <c r="J203" s="40">
        <f t="shared" si="60"/>
        <v>-0.58522168954382148</v>
      </c>
      <c r="K203" s="40">
        <f t="shared" si="61"/>
        <v>-0.40619777026904857</v>
      </c>
      <c r="L203" s="40">
        <f t="shared" si="62"/>
        <v>0.56454621525602111</v>
      </c>
      <c r="M203" s="40">
        <f t="shared" si="63"/>
        <v>0.61516198712899717</v>
      </c>
      <c r="N203" s="35">
        <f t="shared" si="49"/>
        <v>-2.694087528886167</v>
      </c>
      <c r="O203" s="35">
        <f t="shared" si="50"/>
        <v>6.3323140243542853E-2</v>
      </c>
      <c r="P203" s="36">
        <f t="shared" si="51"/>
        <v>0</v>
      </c>
      <c r="Q203" s="36">
        <f t="shared" si="52"/>
        <v>6.3323140243542853E-2</v>
      </c>
      <c r="R203" s="37">
        <f t="shared" si="53"/>
        <v>4.0098200903033966E-3</v>
      </c>
      <c r="T203" s="31">
        <f t="shared" si="54"/>
        <v>7.511811380747478E-3</v>
      </c>
      <c r="U203" s="31">
        <f t="shared" si="55"/>
        <v>3.3051970075288907E-2</v>
      </c>
      <c r="V203" s="31">
        <f t="shared" si="56"/>
        <v>2.2535434142242433E-2</v>
      </c>
      <c r="W203" s="31">
        <f t="shared" si="57"/>
        <v>9.7653547949717225E-3</v>
      </c>
      <c r="X203" s="31">
        <f t="shared" si="58"/>
        <v>1.5023622761494958E-3</v>
      </c>
    </row>
    <row r="204" spans="1:24" ht="14.25" customHeight="1" x14ac:dyDescent="0.25">
      <c r="A204" s="41"/>
      <c r="B204" s="38">
        <v>40</v>
      </c>
      <c r="C204" s="32">
        <v>5.0999999999999996</v>
      </c>
      <c r="D204" s="32">
        <v>3.4</v>
      </c>
      <c r="E204" s="32">
        <v>1.5</v>
      </c>
      <c r="F204" s="32">
        <v>0.2</v>
      </c>
      <c r="G204" s="39">
        <v>0</v>
      </c>
      <c r="H204">
        <f t="shared" si="48"/>
        <v>1</v>
      </c>
      <c r="I204" s="38">
        <f t="shared" si="59"/>
        <v>0.24178755751709169</v>
      </c>
      <c r="J204" s="40">
        <f t="shared" si="60"/>
        <v>-0.58852688655135033</v>
      </c>
      <c r="K204" s="40">
        <f t="shared" si="61"/>
        <v>-0.40845131368327281</v>
      </c>
      <c r="L204" s="40">
        <f t="shared" si="62"/>
        <v>0.56356967977652395</v>
      </c>
      <c r="M204" s="40">
        <f t="shared" si="63"/>
        <v>0.61501175090138227</v>
      </c>
      <c r="N204" s="35">
        <f t="shared" si="49"/>
        <v>-3.1800771605728602</v>
      </c>
      <c r="O204" s="35">
        <f t="shared" si="50"/>
        <v>3.9922376392612854E-2</v>
      </c>
      <c r="P204" s="36">
        <f t="shared" si="51"/>
        <v>0</v>
      </c>
      <c r="Q204" s="36">
        <f t="shared" si="52"/>
        <v>3.9922376392612854E-2</v>
      </c>
      <c r="R204" s="37">
        <f t="shared" si="53"/>
        <v>1.5937961368334521E-3</v>
      </c>
      <c r="T204" s="31">
        <f t="shared" si="54"/>
        <v>3.0603360151313891E-3</v>
      </c>
      <c r="U204" s="31">
        <f t="shared" si="55"/>
        <v>1.5607713677170083E-2</v>
      </c>
      <c r="V204" s="31">
        <f t="shared" si="56"/>
        <v>1.0405142451446723E-2</v>
      </c>
      <c r="W204" s="31">
        <f t="shared" si="57"/>
        <v>4.5905040226970834E-3</v>
      </c>
      <c r="X204" s="31">
        <f t="shared" si="58"/>
        <v>6.1206720302627786E-4</v>
      </c>
    </row>
    <row r="205" spans="1:24" ht="14.25" customHeight="1" x14ac:dyDescent="0.25">
      <c r="A205" s="41"/>
      <c r="B205" s="38">
        <v>41</v>
      </c>
      <c r="C205" s="32">
        <v>7</v>
      </c>
      <c r="D205" s="32">
        <v>3.2</v>
      </c>
      <c r="E205" s="32">
        <v>4.7</v>
      </c>
      <c r="F205" s="32">
        <v>1.4</v>
      </c>
      <c r="G205" s="39">
        <v>1</v>
      </c>
      <c r="H205">
        <f t="shared" si="48"/>
        <v>0</v>
      </c>
      <c r="I205" s="38">
        <f t="shared" si="59"/>
        <v>0.24148152391557856</v>
      </c>
      <c r="J205" s="40">
        <f t="shared" si="60"/>
        <v>-0.59008765791906737</v>
      </c>
      <c r="K205" s="40">
        <f t="shared" si="61"/>
        <v>-0.40949182792841748</v>
      </c>
      <c r="L205" s="40">
        <f t="shared" si="62"/>
        <v>0.56311062937425427</v>
      </c>
      <c r="M205" s="40">
        <f t="shared" si="63"/>
        <v>0.61495054418107964</v>
      </c>
      <c r="N205" s="35">
        <f t="shared" si="49"/>
        <v>-1.6919552109763227</v>
      </c>
      <c r="O205" s="35">
        <f t="shared" si="50"/>
        <v>0.15551888388188084</v>
      </c>
      <c r="P205" s="36">
        <f t="shared" si="51"/>
        <v>0</v>
      </c>
      <c r="Q205" s="36">
        <f t="shared" si="52"/>
        <v>-0.84448111611811916</v>
      </c>
      <c r="R205" s="37">
        <f t="shared" si="53"/>
        <v>0.71314835548010425</v>
      </c>
      <c r="T205" s="31">
        <f t="shared" si="54"/>
        <v>-0.22181607257292923</v>
      </c>
      <c r="U205" s="31">
        <f t="shared" si="55"/>
        <v>-1.5527125080105046</v>
      </c>
      <c r="V205" s="31">
        <f t="shared" si="56"/>
        <v>-0.70981143223337362</v>
      </c>
      <c r="W205" s="31">
        <f t="shared" si="57"/>
        <v>-1.0425355410927675</v>
      </c>
      <c r="X205" s="31">
        <f t="shared" si="58"/>
        <v>-0.3105425016021009</v>
      </c>
    </row>
    <row r="206" spans="1:24" ht="14.25" customHeight="1" x14ac:dyDescent="0.25">
      <c r="A206" s="41"/>
      <c r="B206" s="38">
        <v>42</v>
      </c>
      <c r="C206" s="32">
        <v>6.4</v>
      </c>
      <c r="D206" s="32">
        <v>3.2</v>
      </c>
      <c r="E206" s="32">
        <v>4.5</v>
      </c>
      <c r="F206" s="32">
        <v>1.5</v>
      </c>
      <c r="G206" s="39">
        <v>1</v>
      </c>
      <c r="H206">
        <f t="shared" si="48"/>
        <v>1</v>
      </c>
      <c r="I206" s="38">
        <f t="shared" si="59"/>
        <v>0.26366313117287149</v>
      </c>
      <c r="J206" s="40">
        <f t="shared" si="60"/>
        <v>-0.43481640711801689</v>
      </c>
      <c r="K206" s="40">
        <f t="shared" si="61"/>
        <v>-0.33851068470508011</v>
      </c>
      <c r="L206" s="40">
        <f t="shared" si="62"/>
        <v>0.66736418348353099</v>
      </c>
      <c r="M206" s="40">
        <f t="shared" si="63"/>
        <v>0.64600479434128977</v>
      </c>
      <c r="N206" s="35">
        <f t="shared" si="49"/>
        <v>0.36974995174913072</v>
      </c>
      <c r="O206" s="35">
        <f t="shared" si="50"/>
        <v>0.59139855657837082</v>
      </c>
      <c r="P206" s="36">
        <f t="shared" si="51"/>
        <v>1</v>
      </c>
      <c r="Q206" s="36">
        <f t="shared" si="52"/>
        <v>-0.40860144342162918</v>
      </c>
      <c r="R206" s="37">
        <f t="shared" si="53"/>
        <v>0.16695513956623884</v>
      </c>
      <c r="T206" s="31">
        <f t="shared" si="54"/>
        <v>-0.19747405710562818</v>
      </c>
      <c r="U206" s="31">
        <f t="shared" si="55"/>
        <v>-1.2638339654760204</v>
      </c>
      <c r="V206" s="31">
        <f t="shared" si="56"/>
        <v>-0.63191698273801022</v>
      </c>
      <c r="W206" s="31">
        <f t="shared" si="57"/>
        <v>-0.8886332569753268</v>
      </c>
      <c r="X206" s="31">
        <f t="shared" si="58"/>
        <v>-0.29621108565844229</v>
      </c>
    </row>
    <row r="207" spans="1:24" ht="14.25" customHeight="1" x14ac:dyDescent="0.25">
      <c r="A207" s="41"/>
      <c r="B207" s="38">
        <v>43</v>
      </c>
      <c r="C207" s="32">
        <v>6.9</v>
      </c>
      <c r="D207" s="32">
        <v>3.1</v>
      </c>
      <c r="E207" s="32">
        <v>4.9000000000000004</v>
      </c>
      <c r="F207" s="32">
        <v>1.5</v>
      </c>
      <c r="G207" s="39">
        <v>1</v>
      </c>
      <c r="H207">
        <f t="shared" si="48"/>
        <v>1</v>
      </c>
      <c r="I207" s="38">
        <f t="shared" si="59"/>
        <v>0.28341053688343432</v>
      </c>
      <c r="J207" s="40">
        <f t="shared" si="60"/>
        <v>-0.30843301057041483</v>
      </c>
      <c r="K207" s="40">
        <f t="shared" si="61"/>
        <v>-0.27531898643127906</v>
      </c>
      <c r="L207" s="40">
        <f t="shared" si="62"/>
        <v>0.75622750918106374</v>
      </c>
      <c r="M207" s="40">
        <f t="shared" si="63"/>
        <v>0.67562590290713398</v>
      </c>
      <c r="N207" s="35">
        <f t="shared" si="49"/>
        <v>2.0206875553585197</v>
      </c>
      <c r="O207" s="35">
        <f t="shared" si="50"/>
        <v>0.88295208510105905</v>
      </c>
      <c r="P207" s="36">
        <f t="shared" si="51"/>
        <v>1</v>
      </c>
      <c r="Q207" s="36">
        <f t="shared" si="52"/>
        <v>-0.11704791489894095</v>
      </c>
      <c r="R207" s="37">
        <f t="shared" si="53"/>
        <v>1.3700214382189723E-2</v>
      </c>
      <c r="T207" s="31">
        <f t="shared" si="54"/>
        <v>-2.4193265710171868E-2</v>
      </c>
      <c r="U207" s="31">
        <f t="shared" si="55"/>
        <v>-0.16693353340018591</v>
      </c>
      <c r="V207" s="31">
        <f t="shared" si="56"/>
        <v>-7.4999123701532791E-2</v>
      </c>
      <c r="W207" s="31">
        <f t="shared" si="57"/>
        <v>-0.11854700197984216</v>
      </c>
      <c r="X207" s="31">
        <f t="shared" si="58"/>
        <v>-3.62898985652578E-2</v>
      </c>
    </row>
    <row r="208" spans="1:24" ht="14.25" customHeight="1" x14ac:dyDescent="0.25">
      <c r="A208" s="41"/>
      <c r="B208" s="38">
        <v>44</v>
      </c>
      <c r="C208" s="32">
        <v>5.5</v>
      </c>
      <c r="D208" s="32">
        <v>2.2999999999999998</v>
      </c>
      <c r="E208" s="32">
        <v>4</v>
      </c>
      <c r="F208" s="32">
        <v>1.3</v>
      </c>
      <c r="G208" s="39">
        <v>1</v>
      </c>
      <c r="H208">
        <f t="shared" si="48"/>
        <v>1</v>
      </c>
      <c r="I208" s="38">
        <f t="shared" si="59"/>
        <v>0.28582986345445149</v>
      </c>
      <c r="J208" s="40">
        <f t="shared" si="60"/>
        <v>-0.29173965723039624</v>
      </c>
      <c r="K208" s="40">
        <f t="shared" si="61"/>
        <v>-0.26781907406112576</v>
      </c>
      <c r="L208" s="40">
        <f t="shared" si="62"/>
        <v>0.76808220937904792</v>
      </c>
      <c r="M208" s="40">
        <f t="shared" si="63"/>
        <v>0.6792548927636598</v>
      </c>
      <c r="N208" s="35">
        <f t="shared" si="49"/>
        <v>2.0206380764556324</v>
      </c>
      <c r="O208" s="35">
        <f t="shared" si="50"/>
        <v>0.88294697147332935</v>
      </c>
      <c r="P208" s="36">
        <f t="shared" si="51"/>
        <v>1</v>
      </c>
      <c r="Q208" s="36">
        <f t="shared" si="52"/>
        <v>-0.11705302852667065</v>
      </c>
      <c r="R208" s="37">
        <f t="shared" si="53"/>
        <v>1.3701411487265574E-2</v>
      </c>
      <c r="T208" s="31">
        <f t="shared" si="54"/>
        <v>-2.4195239555182046E-2</v>
      </c>
      <c r="U208" s="31">
        <f t="shared" si="55"/>
        <v>-0.13307381755350126</v>
      </c>
      <c r="V208" s="31">
        <f t="shared" si="56"/>
        <v>-5.5649050976918704E-2</v>
      </c>
      <c r="W208" s="31">
        <f t="shared" si="57"/>
        <v>-9.6780958220728186E-2</v>
      </c>
      <c r="X208" s="31">
        <f t="shared" si="58"/>
        <v>-3.1453811421736665E-2</v>
      </c>
    </row>
    <row r="209" spans="1:24" ht="14.25" customHeight="1" x14ac:dyDescent="0.25">
      <c r="A209" s="41"/>
      <c r="B209" s="38">
        <v>45</v>
      </c>
      <c r="C209" s="32">
        <v>6.5</v>
      </c>
      <c r="D209" s="32">
        <v>2.8</v>
      </c>
      <c r="E209" s="32">
        <v>4.5999999999999996</v>
      </c>
      <c r="F209" s="32">
        <v>1.5</v>
      </c>
      <c r="G209" s="39">
        <v>1</v>
      </c>
      <c r="H209">
        <f t="shared" si="48"/>
        <v>1</v>
      </c>
      <c r="I209" s="38">
        <f t="shared" si="59"/>
        <v>0.28824938740996969</v>
      </c>
      <c r="J209" s="40">
        <f t="shared" si="60"/>
        <v>-0.27843227547504612</v>
      </c>
      <c r="K209" s="40">
        <f t="shared" si="61"/>
        <v>-0.2622541689634339</v>
      </c>
      <c r="L209" s="40">
        <f t="shared" si="62"/>
        <v>0.77776030520112072</v>
      </c>
      <c r="M209" s="40">
        <f t="shared" si="63"/>
        <v>0.68240027390583347</v>
      </c>
      <c r="N209" s="35">
        <f t="shared" si="49"/>
        <v>2.3454257385084607</v>
      </c>
      <c r="O209" s="35">
        <f t="shared" si="50"/>
        <v>0.91256995347343106</v>
      </c>
      <c r="P209" s="36">
        <f t="shared" si="51"/>
        <v>1</v>
      </c>
      <c r="Q209" s="36">
        <f t="shared" si="52"/>
        <v>-8.7430046526568939E-2</v>
      </c>
      <c r="R209" s="37">
        <f t="shared" si="53"/>
        <v>7.6440130356380098E-3</v>
      </c>
      <c r="T209" s="31">
        <f t="shared" si="54"/>
        <v>-1.3951393240564958E-2</v>
      </c>
      <c r="U209" s="31">
        <f t="shared" si="55"/>
        <v>-9.0684056063672233E-2</v>
      </c>
      <c r="V209" s="31">
        <f t="shared" si="56"/>
        <v>-3.9063901073581882E-2</v>
      </c>
      <c r="W209" s="31">
        <f t="shared" si="57"/>
        <v>-6.41764089065988E-2</v>
      </c>
      <c r="X209" s="31">
        <f t="shared" si="58"/>
        <v>-2.0927089860847438E-2</v>
      </c>
    </row>
    <row r="210" spans="1:24" ht="14.25" customHeight="1" x14ac:dyDescent="0.25">
      <c r="A210" s="41"/>
      <c r="B210" s="38">
        <v>46</v>
      </c>
      <c r="C210" s="32">
        <v>5.7</v>
      </c>
      <c r="D210" s="32">
        <v>2.8</v>
      </c>
      <c r="E210" s="32">
        <v>4.5</v>
      </c>
      <c r="F210" s="32">
        <v>1.3</v>
      </c>
      <c r="G210" s="39">
        <v>1</v>
      </c>
      <c r="H210">
        <f t="shared" si="48"/>
        <v>1</v>
      </c>
      <c r="I210" s="38">
        <f t="shared" si="59"/>
        <v>0.28964452673402619</v>
      </c>
      <c r="J210" s="40">
        <f t="shared" si="60"/>
        <v>-0.26936386986867888</v>
      </c>
      <c r="K210" s="40">
        <f t="shared" si="61"/>
        <v>-0.25834777885607568</v>
      </c>
      <c r="L210" s="40">
        <f t="shared" si="62"/>
        <v>0.7841779460917806</v>
      </c>
      <c r="M210" s="40">
        <f t="shared" si="63"/>
        <v>0.68449298289191818</v>
      </c>
      <c r="N210" s="35">
        <f t="shared" si="49"/>
        <v>2.449538322858051</v>
      </c>
      <c r="O210" s="35">
        <f t="shared" si="50"/>
        <v>0.92052768270353524</v>
      </c>
      <c r="P210" s="36">
        <f t="shared" si="51"/>
        <v>1</v>
      </c>
      <c r="Q210" s="36">
        <f t="shared" si="52"/>
        <v>-7.9472317296464756E-2</v>
      </c>
      <c r="R210" s="37">
        <f t="shared" si="53"/>
        <v>6.3158492164699714E-3</v>
      </c>
      <c r="T210" s="31">
        <f t="shared" si="54"/>
        <v>-1.1627828087084083E-2</v>
      </c>
      <c r="U210" s="31">
        <f t="shared" si="55"/>
        <v>-6.6278620096379276E-2</v>
      </c>
      <c r="V210" s="31">
        <f t="shared" si="56"/>
        <v>-3.2557918643835428E-2</v>
      </c>
      <c r="W210" s="31">
        <f t="shared" si="57"/>
        <v>-5.2325226391878372E-2</v>
      </c>
      <c r="X210" s="31">
        <f t="shared" si="58"/>
        <v>-1.5116176513209309E-2</v>
      </c>
    </row>
    <row r="211" spans="1:24" ht="14.25" customHeight="1" x14ac:dyDescent="0.25">
      <c r="A211" s="41"/>
      <c r="B211" s="38">
        <v>47</v>
      </c>
      <c r="C211" s="32">
        <v>6.3</v>
      </c>
      <c r="D211" s="32">
        <v>3.3</v>
      </c>
      <c r="E211" s="32">
        <v>4.7</v>
      </c>
      <c r="F211" s="32">
        <v>1.6</v>
      </c>
      <c r="G211" s="39">
        <v>1</v>
      </c>
      <c r="H211">
        <f t="shared" si="48"/>
        <v>1</v>
      </c>
      <c r="I211" s="38">
        <f t="shared" si="59"/>
        <v>0.29080730954273459</v>
      </c>
      <c r="J211" s="40">
        <f t="shared" si="60"/>
        <v>-0.26273600785904094</v>
      </c>
      <c r="K211" s="40">
        <f t="shared" si="61"/>
        <v>-0.25509198699169217</v>
      </c>
      <c r="L211" s="40">
        <f t="shared" si="62"/>
        <v>0.78941046873096843</v>
      </c>
      <c r="M211" s="40">
        <f t="shared" si="63"/>
        <v>0.68600460054323908</v>
      </c>
      <c r="N211" s="35">
        <f t="shared" si="49"/>
        <v>2.6016034668629269</v>
      </c>
      <c r="O211" s="35">
        <f t="shared" si="50"/>
        <v>0.93096470478834703</v>
      </c>
      <c r="P211" s="36">
        <f t="shared" si="51"/>
        <v>1</v>
      </c>
      <c r="Q211" s="36">
        <f t="shared" si="52"/>
        <v>-6.9035295211652969E-2</v>
      </c>
      <c r="R211" s="37">
        <f t="shared" si="53"/>
        <v>4.7658719849600758E-3</v>
      </c>
      <c r="T211" s="31">
        <f t="shared" si="54"/>
        <v>-8.8737172110748205E-3</v>
      </c>
      <c r="U211" s="31">
        <f t="shared" si="55"/>
        <v>-5.5904418429771369E-2</v>
      </c>
      <c r="V211" s="31">
        <f t="shared" si="56"/>
        <v>-2.9283266796546907E-2</v>
      </c>
      <c r="W211" s="31">
        <f t="shared" si="57"/>
        <v>-4.1706470892051657E-2</v>
      </c>
      <c r="X211" s="31">
        <f t="shared" si="58"/>
        <v>-1.4197947537719713E-2</v>
      </c>
    </row>
    <row r="212" spans="1:24" ht="14.25" customHeight="1" x14ac:dyDescent="0.25">
      <c r="A212" s="41"/>
      <c r="B212" s="38">
        <v>48</v>
      </c>
      <c r="C212" s="32">
        <v>4.9000000000000004</v>
      </c>
      <c r="D212" s="32">
        <v>2.4</v>
      </c>
      <c r="E212" s="32">
        <v>3.3</v>
      </c>
      <c r="F212" s="32">
        <v>1</v>
      </c>
      <c r="G212" s="39">
        <v>1</v>
      </c>
      <c r="H212">
        <f t="shared" si="48"/>
        <v>1</v>
      </c>
      <c r="I212" s="38">
        <f t="shared" si="59"/>
        <v>0.29169468126384207</v>
      </c>
      <c r="J212" s="40">
        <f t="shared" si="60"/>
        <v>-0.25714556601606381</v>
      </c>
      <c r="K212" s="40">
        <f t="shared" si="61"/>
        <v>-0.25216366031203746</v>
      </c>
      <c r="L212" s="40">
        <f t="shared" si="62"/>
        <v>0.79358111582017354</v>
      </c>
      <c r="M212" s="40">
        <f t="shared" si="63"/>
        <v>0.68742439529701105</v>
      </c>
      <c r="N212" s="35">
        <f t="shared" si="49"/>
        <v>1.7327307005398231</v>
      </c>
      <c r="O212" s="35">
        <f t="shared" si="50"/>
        <v>0.84976137361580295</v>
      </c>
      <c r="P212" s="36">
        <f t="shared" si="51"/>
        <v>1</v>
      </c>
      <c r="Q212" s="36">
        <f t="shared" si="52"/>
        <v>-0.15023862638419705</v>
      </c>
      <c r="R212" s="37">
        <f t="shared" si="53"/>
        <v>2.2571644857810349E-2</v>
      </c>
      <c r="T212" s="31">
        <f t="shared" si="54"/>
        <v>-3.8361023878281997E-2</v>
      </c>
      <c r="U212" s="31">
        <f t="shared" si="55"/>
        <v>-0.18796901700358179</v>
      </c>
      <c r="V212" s="31">
        <f t="shared" si="56"/>
        <v>-9.2066457307876784E-2</v>
      </c>
      <c r="W212" s="31">
        <f t="shared" si="57"/>
        <v>-0.12659137879833057</v>
      </c>
      <c r="X212" s="31">
        <f t="shared" si="58"/>
        <v>-3.8361023878281997E-2</v>
      </c>
    </row>
    <row r="213" spans="1:24" ht="14.25" customHeight="1" x14ac:dyDescent="0.25">
      <c r="A213" s="41"/>
      <c r="B213" s="38">
        <v>49</v>
      </c>
      <c r="C213" s="32">
        <v>6.6</v>
      </c>
      <c r="D213" s="32">
        <v>2.9</v>
      </c>
      <c r="E213" s="32">
        <v>4.5999999999999996</v>
      </c>
      <c r="F213" s="32">
        <v>1.3</v>
      </c>
      <c r="G213" s="39">
        <v>1</v>
      </c>
      <c r="H213">
        <f t="shared" si="48"/>
        <v>1</v>
      </c>
      <c r="I213" s="38">
        <f t="shared" si="59"/>
        <v>0.29553078365167029</v>
      </c>
      <c r="J213" s="40">
        <f t="shared" si="60"/>
        <v>-0.23834866431570562</v>
      </c>
      <c r="K213" s="40">
        <f t="shared" si="61"/>
        <v>-0.2429570145812498</v>
      </c>
      <c r="L213" s="40">
        <f t="shared" si="62"/>
        <v>0.80624025370000663</v>
      </c>
      <c r="M213" s="40">
        <f t="shared" si="63"/>
        <v>0.69126049768483921</v>
      </c>
      <c r="N213" s="35">
        <f t="shared" si="49"/>
        <v>2.6251980708927105</v>
      </c>
      <c r="O213" s="35">
        <f t="shared" si="50"/>
        <v>0.93246578311580608</v>
      </c>
      <c r="P213" s="36">
        <f t="shared" si="51"/>
        <v>1</v>
      </c>
      <c r="Q213" s="36">
        <f t="shared" si="52"/>
        <v>-6.7534216884193921E-2</v>
      </c>
      <c r="R213" s="37">
        <f t="shared" si="53"/>
        <v>4.560870450161343E-3</v>
      </c>
      <c r="T213" s="31">
        <f t="shared" si="54"/>
        <v>-8.5057112719988705E-3</v>
      </c>
      <c r="U213" s="31">
        <f t="shared" si="55"/>
        <v>-5.613769439519254E-2</v>
      </c>
      <c r="V213" s="31">
        <f t="shared" si="56"/>
        <v>-2.4666562688796724E-2</v>
      </c>
      <c r="W213" s="31">
        <f t="shared" si="57"/>
        <v>-3.9126271851194799E-2</v>
      </c>
      <c r="X213" s="31">
        <f t="shared" si="58"/>
        <v>-1.1057424653598533E-2</v>
      </c>
    </row>
    <row r="214" spans="1:24" ht="14.25" customHeight="1" x14ac:dyDescent="0.25">
      <c r="A214" s="41"/>
      <c r="B214" s="38">
        <v>50</v>
      </c>
      <c r="C214" s="32">
        <v>5.2</v>
      </c>
      <c r="D214" s="32">
        <v>2.7</v>
      </c>
      <c r="E214" s="32">
        <v>3.9</v>
      </c>
      <c r="F214" s="32">
        <v>1.4</v>
      </c>
      <c r="G214" s="39">
        <v>1</v>
      </c>
      <c r="H214">
        <f t="shared" si="48"/>
        <v>1</v>
      </c>
      <c r="I214" s="38">
        <f t="shared" si="59"/>
        <v>0.29638135477887018</v>
      </c>
      <c r="J214" s="40">
        <f t="shared" si="60"/>
        <v>-0.23273489487618637</v>
      </c>
      <c r="K214" s="40">
        <f t="shared" si="61"/>
        <v>-0.24049035831237012</v>
      </c>
      <c r="L214" s="40">
        <f t="shared" si="62"/>
        <v>0.81015288088512616</v>
      </c>
      <c r="M214" s="40">
        <f t="shared" si="63"/>
        <v>0.6923662401501991</v>
      </c>
      <c r="N214" s="35">
        <f t="shared" si="49"/>
        <v>2.565744905641572</v>
      </c>
      <c r="O214" s="35">
        <f t="shared" si="50"/>
        <v>0.9286241765349863</v>
      </c>
      <c r="P214" s="36">
        <f t="shared" si="51"/>
        <v>1</v>
      </c>
      <c r="Q214" s="36">
        <f t="shared" si="52"/>
        <v>-7.1375823465013699E-2</v>
      </c>
      <c r="R214" s="37">
        <f t="shared" si="53"/>
        <v>5.0945081753087998E-3</v>
      </c>
      <c r="T214" s="31">
        <f t="shared" si="54"/>
        <v>-9.4617669182937795E-3</v>
      </c>
      <c r="U214" s="31">
        <f t="shared" si="55"/>
        <v>-4.9201187975127653E-2</v>
      </c>
      <c r="V214" s="31">
        <f t="shared" si="56"/>
        <v>-2.5546770679393205E-2</v>
      </c>
      <c r="W214" s="31">
        <f t="shared" si="57"/>
        <v>-3.6900890981345739E-2</v>
      </c>
      <c r="X214" s="31">
        <f t="shared" si="58"/>
        <v>-1.324647368561129E-2</v>
      </c>
    </row>
    <row r="215" spans="1:24" ht="14.25" customHeight="1" x14ac:dyDescent="0.25">
      <c r="A215" s="41"/>
      <c r="B215" s="38">
        <v>51</v>
      </c>
      <c r="C215" s="32">
        <v>5</v>
      </c>
      <c r="D215" s="32">
        <v>2</v>
      </c>
      <c r="E215" s="32">
        <v>3.5</v>
      </c>
      <c r="F215" s="32">
        <v>1</v>
      </c>
      <c r="G215" s="39">
        <v>1</v>
      </c>
      <c r="H215">
        <f t="shared" si="48"/>
        <v>1</v>
      </c>
      <c r="I215" s="38">
        <f t="shared" si="59"/>
        <v>0.29732753147069957</v>
      </c>
      <c r="J215" s="40">
        <f t="shared" si="60"/>
        <v>-0.22781477607867362</v>
      </c>
      <c r="K215" s="40">
        <f t="shared" si="61"/>
        <v>-0.23793568124443079</v>
      </c>
      <c r="L215" s="40">
        <f t="shared" si="62"/>
        <v>0.81384296998326078</v>
      </c>
      <c r="M215" s="40">
        <f t="shared" si="63"/>
        <v>0.69369088751876018</v>
      </c>
      <c r="N215" s="35">
        <f t="shared" si="49"/>
        <v>2.2245235710486426</v>
      </c>
      <c r="O215" s="35">
        <f t="shared" si="50"/>
        <v>0.90243022147186724</v>
      </c>
      <c r="P215" s="36">
        <f t="shared" si="51"/>
        <v>1</v>
      </c>
      <c r="Q215" s="36">
        <f t="shared" si="52"/>
        <v>-9.7569778528132756E-2</v>
      </c>
      <c r="R215" s="37">
        <f t="shared" si="53"/>
        <v>9.5198616820288753E-3</v>
      </c>
      <c r="T215" s="31">
        <f t="shared" si="54"/>
        <v>-1.7182021772189721E-2</v>
      </c>
      <c r="U215" s="31">
        <f t="shared" si="55"/>
        <v>-8.5910108860948603E-2</v>
      </c>
      <c r="V215" s="31">
        <f t="shared" si="56"/>
        <v>-3.4364043544379441E-2</v>
      </c>
      <c r="W215" s="31">
        <f t="shared" si="57"/>
        <v>-6.0137076202664022E-2</v>
      </c>
      <c r="X215" s="31">
        <f t="shared" si="58"/>
        <v>-1.7182021772189721E-2</v>
      </c>
    </row>
    <row r="216" spans="1:24" ht="14.25" customHeight="1" x14ac:dyDescent="0.25">
      <c r="A216" s="41"/>
      <c r="B216" s="38">
        <v>52</v>
      </c>
      <c r="C216" s="32">
        <v>5.9</v>
      </c>
      <c r="D216" s="32">
        <v>3</v>
      </c>
      <c r="E216" s="32">
        <v>4.2</v>
      </c>
      <c r="F216" s="32">
        <v>1.5</v>
      </c>
      <c r="G216" s="39">
        <v>1</v>
      </c>
      <c r="H216">
        <f t="shared" si="48"/>
        <v>1</v>
      </c>
      <c r="I216" s="38">
        <f t="shared" si="59"/>
        <v>0.29904573364791853</v>
      </c>
      <c r="J216" s="40">
        <f t="shared" si="60"/>
        <v>-0.21922376519257875</v>
      </c>
      <c r="K216" s="40">
        <f t="shared" si="61"/>
        <v>-0.23449927688999284</v>
      </c>
      <c r="L216" s="40">
        <f t="shared" si="62"/>
        <v>0.81985667760352721</v>
      </c>
      <c r="M216" s="40">
        <f t="shared" si="63"/>
        <v>0.69540908969597914</v>
      </c>
      <c r="N216" s="35">
        <f t="shared" si="49"/>
        <v>2.7886393688205082</v>
      </c>
      <c r="O216" s="35">
        <f t="shared" si="50"/>
        <v>0.94205882068827862</v>
      </c>
      <c r="P216" s="36">
        <f t="shared" si="51"/>
        <v>1</v>
      </c>
      <c r="Q216" s="36">
        <f t="shared" si="52"/>
        <v>-5.794117931172138E-2</v>
      </c>
      <c r="R216" s="37">
        <f t="shared" si="53"/>
        <v>3.3571802600330498E-3</v>
      </c>
      <c r="T216" s="31">
        <f t="shared" si="54"/>
        <v>-6.3253225532094066E-3</v>
      </c>
      <c r="U216" s="31">
        <f t="shared" si="55"/>
        <v>-3.7319403063935504E-2</v>
      </c>
      <c r="V216" s="31">
        <f t="shared" si="56"/>
        <v>-1.897596765962822E-2</v>
      </c>
      <c r="W216" s="31">
        <f t="shared" si="57"/>
        <v>-2.6566354723479509E-2</v>
      </c>
      <c r="X216" s="31">
        <f t="shared" si="58"/>
        <v>-9.48798382981411E-3</v>
      </c>
    </row>
    <row r="217" spans="1:24" ht="14.25" customHeight="1" x14ac:dyDescent="0.25">
      <c r="A217" s="41"/>
      <c r="B217" s="38">
        <v>53</v>
      </c>
      <c r="C217" s="32">
        <v>6</v>
      </c>
      <c r="D217" s="32">
        <v>2.2000000000000002</v>
      </c>
      <c r="E217" s="32">
        <v>4</v>
      </c>
      <c r="F217" s="32">
        <v>1</v>
      </c>
      <c r="G217" s="39">
        <v>1</v>
      </c>
      <c r="H217">
        <f t="shared" si="48"/>
        <v>1</v>
      </c>
      <c r="I217" s="38">
        <f t="shared" si="59"/>
        <v>0.29967826590323948</v>
      </c>
      <c r="J217" s="40">
        <f t="shared" si="60"/>
        <v>-0.21549182488618521</v>
      </c>
      <c r="K217" s="40">
        <f t="shared" si="61"/>
        <v>-0.23260168012403001</v>
      </c>
      <c r="L217" s="40">
        <f t="shared" si="62"/>
        <v>0.82251331307587516</v>
      </c>
      <c r="M217" s="40">
        <f t="shared" si="63"/>
        <v>0.6963578880789606</v>
      </c>
      <c r="N217" s="35">
        <f t="shared" si="49"/>
        <v>2.4814147606957233</v>
      </c>
      <c r="O217" s="35">
        <f t="shared" si="50"/>
        <v>0.92282861170186281</v>
      </c>
      <c r="P217" s="36">
        <f t="shared" si="51"/>
        <v>1</v>
      </c>
      <c r="Q217" s="36">
        <f t="shared" si="52"/>
        <v>-7.7171388298137189E-2</v>
      </c>
      <c r="R217" s="37">
        <f t="shared" si="53"/>
        <v>5.9554231718618655E-3</v>
      </c>
      <c r="T217" s="31">
        <f t="shared" si="54"/>
        <v>-1.0991669795572779E-2</v>
      </c>
      <c r="U217" s="31">
        <f t="shared" si="55"/>
        <v>-6.5950018773436675E-2</v>
      </c>
      <c r="V217" s="31">
        <f t="shared" si="56"/>
        <v>-2.4181673550260116E-2</v>
      </c>
      <c r="W217" s="31">
        <f t="shared" si="57"/>
        <v>-4.3966679182291114E-2</v>
      </c>
      <c r="X217" s="31">
        <f t="shared" si="58"/>
        <v>-1.0991669795572779E-2</v>
      </c>
    </row>
    <row r="218" spans="1:24" ht="14.25" customHeight="1" x14ac:dyDescent="0.25">
      <c r="A218" s="41"/>
      <c r="B218" s="38">
        <v>54</v>
      </c>
      <c r="C218" s="32">
        <v>6.1</v>
      </c>
      <c r="D218" s="32">
        <v>2.9</v>
      </c>
      <c r="E218" s="32">
        <v>4.7</v>
      </c>
      <c r="F218" s="32">
        <v>1.4</v>
      </c>
      <c r="G218" s="39">
        <v>1</v>
      </c>
      <c r="H218">
        <f t="shared" si="48"/>
        <v>1</v>
      </c>
      <c r="I218" s="38">
        <f t="shared" si="59"/>
        <v>0.30077743288279674</v>
      </c>
      <c r="J218" s="40">
        <f t="shared" si="60"/>
        <v>-0.20889682300884155</v>
      </c>
      <c r="K218" s="40">
        <f t="shared" si="61"/>
        <v>-0.23018351276900401</v>
      </c>
      <c r="L218" s="40">
        <f t="shared" si="62"/>
        <v>0.82690998099410429</v>
      </c>
      <c r="M218" s="40">
        <f t="shared" si="63"/>
        <v>0.69745705505851785</v>
      </c>
      <c r="N218" s="35">
        <f t="shared" si="49"/>
        <v>3.2218914132529672</v>
      </c>
      <c r="O218" s="35">
        <f t="shared" si="50"/>
        <v>0.96164982968983725</v>
      </c>
      <c r="P218" s="36">
        <f t="shared" si="51"/>
        <v>1</v>
      </c>
      <c r="Q218" s="36">
        <f t="shared" si="52"/>
        <v>-3.8350170310162746E-2</v>
      </c>
      <c r="R218" s="37">
        <f t="shared" si="53"/>
        <v>1.4707355628184881E-3</v>
      </c>
      <c r="T218" s="31">
        <f t="shared" si="54"/>
        <v>-2.8286652070063723E-3</v>
      </c>
      <c r="U218" s="31">
        <f t="shared" si="55"/>
        <v>-1.7254857762738871E-2</v>
      </c>
      <c r="V218" s="31">
        <f t="shared" si="56"/>
        <v>-8.2031291003184792E-3</v>
      </c>
      <c r="W218" s="31">
        <f t="shared" si="57"/>
        <v>-1.329472647292995E-2</v>
      </c>
      <c r="X218" s="31">
        <f t="shared" si="58"/>
        <v>-3.9601312898089212E-3</v>
      </c>
    </row>
    <row r="219" spans="1:24" ht="14.25" customHeight="1" x14ac:dyDescent="0.25">
      <c r="A219" s="41"/>
      <c r="B219" s="38">
        <v>55</v>
      </c>
      <c r="C219" s="32">
        <v>5.6</v>
      </c>
      <c r="D219" s="32">
        <v>2.9</v>
      </c>
      <c r="E219" s="32">
        <v>3.6</v>
      </c>
      <c r="F219" s="32">
        <v>1.3</v>
      </c>
      <c r="G219" s="39">
        <v>1</v>
      </c>
      <c r="H219">
        <f t="shared" si="48"/>
        <v>1</v>
      </c>
      <c r="I219" s="38">
        <f t="shared" si="59"/>
        <v>0.30106029940349738</v>
      </c>
      <c r="J219" s="40">
        <f t="shared" si="60"/>
        <v>-0.20717133723256767</v>
      </c>
      <c r="K219" s="40">
        <f t="shared" si="61"/>
        <v>-0.22936319985897216</v>
      </c>
      <c r="L219" s="40">
        <f t="shared" si="62"/>
        <v>0.82823945364139728</v>
      </c>
      <c r="M219" s="40">
        <f t="shared" si="63"/>
        <v>0.6978530681874987</v>
      </c>
      <c r="N219" s="35">
        <f t="shared" si="49"/>
        <v>2.3646185530628778</v>
      </c>
      <c r="O219" s="35">
        <f t="shared" si="50"/>
        <v>0.91408919544919287</v>
      </c>
      <c r="P219" s="36">
        <f t="shared" si="51"/>
        <v>1</v>
      </c>
      <c r="Q219" s="36">
        <f t="shared" si="52"/>
        <v>-8.5910804550807129E-2</v>
      </c>
      <c r="R219" s="37">
        <f t="shared" si="53"/>
        <v>7.3806663385669827E-3</v>
      </c>
      <c r="T219" s="31">
        <f t="shared" si="54"/>
        <v>-1.3493174710599267E-2</v>
      </c>
      <c r="U219" s="31">
        <f t="shared" si="55"/>
        <v>-7.556177837935589E-2</v>
      </c>
      <c r="V219" s="31">
        <f t="shared" si="56"/>
        <v>-3.9130206660737875E-2</v>
      </c>
      <c r="W219" s="31">
        <f t="shared" si="57"/>
        <v>-4.8575428958157363E-2</v>
      </c>
      <c r="X219" s="31">
        <f t="shared" si="58"/>
        <v>-1.7541127123779046E-2</v>
      </c>
    </row>
    <row r="220" spans="1:24" ht="14.25" customHeight="1" x14ac:dyDescent="0.25">
      <c r="A220" s="41"/>
      <c r="B220" s="38">
        <v>56</v>
      </c>
      <c r="C220" s="32">
        <v>6.7</v>
      </c>
      <c r="D220" s="32">
        <v>3.1</v>
      </c>
      <c r="E220" s="32">
        <v>4.4000000000000004</v>
      </c>
      <c r="F220" s="32">
        <v>1.4</v>
      </c>
      <c r="G220" s="39">
        <v>1</v>
      </c>
      <c r="H220">
        <f t="shared" si="48"/>
        <v>1</v>
      </c>
      <c r="I220" s="38">
        <f t="shared" si="59"/>
        <v>0.30240961687455731</v>
      </c>
      <c r="J220" s="40">
        <f t="shared" si="60"/>
        <v>-0.19961515939463209</v>
      </c>
      <c r="K220" s="40">
        <f t="shared" si="61"/>
        <v>-0.22545017919289836</v>
      </c>
      <c r="L220" s="40">
        <f t="shared" si="62"/>
        <v>0.83309699653721303</v>
      </c>
      <c r="M220" s="40">
        <f t="shared" si="63"/>
        <v>0.69960718089987661</v>
      </c>
      <c r="N220" s="35">
        <f t="shared" si="49"/>
        <v>2.9111693314561018</v>
      </c>
      <c r="O220" s="35">
        <f t="shared" si="50"/>
        <v>0.94839582301752245</v>
      </c>
      <c r="P220" s="36">
        <f t="shared" si="51"/>
        <v>1</v>
      </c>
      <c r="Q220" s="36">
        <f t="shared" si="52"/>
        <v>-5.1604176982477545E-2</v>
      </c>
      <c r="R220" s="37">
        <f t="shared" si="53"/>
        <v>2.6629910820388653E-3</v>
      </c>
      <c r="T220" s="31">
        <f t="shared" si="54"/>
        <v>-5.0511392378771447E-3</v>
      </c>
      <c r="U220" s="31">
        <f t="shared" si="55"/>
        <v>-3.3842632893776869E-2</v>
      </c>
      <c r="V220" s="31">
        <f t="shared" si="56"/>
        <v>-1.5658531637419149E-2</v>
      </c>
      <c r="W220" s="31">
        <f t="shared" si="57"/>
        <v>-2.222501264665944E-2</v>
      </c>
      <c r="X220" s="31">
        <f t="shared" si="58"/>
        <v>-7.0715949330280017E-3</v>
      </c>
    </row>
    <row r="221" spans="1:24" ht="14.25" customHeight="1" x14ac:dyDescent="0.25">
      <c r="A221" s="41"/>
      <c r="B221" s="38">
        <v>57</v>
      </c>
      <c r="C221" s="32">
        <v>5.6</v>
      </c>
      <c r="D221" s="32">
        <v>3</v>
      </c>
      <c r="E221" s="32">
        <v>4.5</v>
      </c>
      <c r="F221" s="32">
        <v>1.5</v>
      </c>
      <c r="G221" s="39">
        <v>1</v>
      </c>
      <c r="H221">
        <f t="shared" si="48"/>
        <v>1</v>
      </c>
      <c r="I221" s="38">
        <f t="shared" si="59"/>
        <v>0.30291473079834502</v>
      </c>
      <c r="J221" s="40">
        <f t="shared" si="60"/>
        <v>-0.1962308961052544</v>
      </c>
      <c r="K221" s="40">
        <f t="shared" si="61"/>
        <v>-0.22388432602915645</v>
      </c>
      <c r="L221" s="40">
        <f t="shared" si="62"/>
        <v>0.83531949780187897</v>
      </c>
      <c r="M221" s="40">
        <f t="shared" si="63"/>
        <v>0.70031434039317941</v>
      </c>
      <c r="N221" s="35">
        <f t="shared" si="49"/>
        <v>3.3417779852196756</v>
      </c>
      <c r="O221" s="35">
        <f t="shared" si="50"/>
        <v>0.96583456116949151</v>
      </c>
      <c r="P221" s="36">
        <f t="shared" si="51"/>
        <v>1</v>
      </c>
      <c r="Q221" s="36">
        <f t="shared" si="52"/>
        <v>-3.4165438830508488E-2</v>
      </c>
      <c r="R221" s="37">
        <f t="shared" si="53"/>
        <v>1.1672772104812171E-3</v>
      </c>
      <c r="T221" s="31">
        <f t="shared" si="54"/>
        <v>-2.2547933446965488E-3</v>
      </c>
      <c r="U221" s="31">
        <f t="shared" si="55"/>
        <v>-1.2626842730300673E-2</v>
      </c>
      <c r="V221" s="31">
        <f t="shared" si="56"/>
        <v>-6.7643800340896464E-3</v>
      </c>
      <c r="W221" s="31">
        <f t="shared" si="57"/>
        <v>-1.0146570051134469E-2</v>
      </c>
      <c r="X221" s="31">
        <f t="shared" si="58"/>
        <v>-3.3821900170448232E-3</v>
      </c>
    </row>
    <row r="222" spans="1:24" ht="14.25" customHeight="1" x14ac:dyDescent="0.25">
      <c r="A222" s="41"/>
      <c r="B222" s="38">
        <v>58</v>
      </c>
      <c r="C222" s="32">
        <v>5.8</v>
      </c>
      <c r="D222" s="32">
        <v>2.7</v>
      </c>
      <c r="E222" s="32">
        <v>4.0999999999999996</v>
      </c>
      <c r="F222" s="32">
        <v>1</v>
      </c>
      <c r="G222" s="39">
        <v>1</v>
      </c>
      <c r="H222">
        <f t="shared" si="48"/>
        <v>1</v>
      </c>
      <c r="I222" s="38">
        <f t="shared" si="59"/>
        <v>0.30314021013281467</v>
      </c>
      <c r="J222" s="40">
        <f t="shared" si="60"/>
        <v>-0.19496821183222435</v>
      </c>
      <c r="K222" s="40">
        <f t="shared" si="61"/>
        <v>-0.22320788802574748</v>
      </c>
      <c r="L222" s="40">
        <f t="shared" si="62"/>
        <v>0.83633415480699247</v>
      </c>
      <c r="M222" s="40">
        <f t="shared" si="63"/>
        <v>0.70065255939488391</v>
      </c>
      <c r="N222" s="35">
        <f t="shared" si="49"/>
        <v>2.699285877939948</v>
      </c>
      <c r="O222" s="35">
        <f t="shared" si="50"/>
        <v>0.93698449208040668</v>
      </c>
      <c r="P222" s="36">
        <f t="shared" si="51"/>
        <v>1</v>
      </c>
      <c r="Q222" s="36">
        <f t="shared" si="52"/>
        <v>-6.3015507919593317E-2</v>
      </c>
      <c r="R222" s="37">
        <f t="shared" si="53"/>
        <v>3.9709542383643279E-3</v>
      </c>
      <c r="T222" s="31">
        <f t="shared" si="54"/>
        <v>-7.4414450802166758E-3</v>
      </c>
      <c r="U222" s="31">
        <f t="shared" si="55"/>
        <v>-4.316038146525672E-2</v>
      </c>
      <c r="V222" s="31">
        <f t="shared" si="56"/>
        <v>-2.0091901716585026E-2</v>
      </c>
      <c r="W222" s="31">
        <f t="shared" si="57"/>
        <v>-3.0509924828888368E-2</v>
      </c>
      <c r="X222" s="31">
        <f t="shared" si="58"/>
        <v>-7.4414450802166758E-3</v>
      </c>
    </row>
    <row r="223" spans="1:24" ht="14.25" customHeight="1" x14ac:dyDescent="0.25">
      <c r="A223" s="41"/>
      <c r="B223" s="38">
        <v>59</v>
      </c>
      <c r="C223" s="32">
        <v>6.2</v>
      </c>
      <c r="D223" s="32">
        <v>2.2000000000000002</v>
      </c>
      <c r="E223" s="32">
        <v>4.5</v>
      </c>
      <c r="F223" s="32">
        <v>1.5</v>
      </c>
      <c r="G223" s="39">
        <v>1</v>
      </c>
      <c r="H223">
        <f t="shared" si="48"/>
        <v>1</v>
      </c>
      <c r="I223" s="38">
        <f t="shared" si="59"/>
        <v>0.30388435464083635</v>
      </c>
      <c r="J223" s="40">
        <f t="shared" si="60"/>
        <v>-0.19065217368569867</v>
      </c>
      <c r="K223" s="40">
        <f t="shared" si="61"/>
        <v>-0.22119869785408897</v>
      </c>
      <c r="L223" s="40">
        <f t="shared" si="62"/>
        <v>0.83938514728988134</v>
      </c>
      <c r="M223" s="40">
        <f t="shared" si="63"/>
        <v>0.70139670390290554</v>
      </c>
      <c r="N223" s="35">
        <f t="shared" si="49"/>
        <v>3.4645319611693335</v>
      </c>
      <c r="O223" s="35">
        <f t="shared" si="50"/>
        <v>0.96966157215252924</v>
      </c>
      <c r="P223" s="36">
        <f t="shared" si="51"/>
        <v>1</v>
      </c>
      <c r="Q223" s="36">
        <f t="shared" si="52"/>
        <v>-3.0338427847470761E-2</v>
      </c>
      <c r="R223" s="37">
        <f t="shared" si="53"/>
        <v>9.2042020425618935E-4</v>
      </c>
      <c r="T223" s="31">
        <f t="shared" si="54"/>
        <v>-1.7849922046000173E-3</v>
      </c>
      <c r="U223" s="31">
        <f t="shared" si="55"/>
        <v>-1.1066951668520108E-2</v>
      </c>
      <c r="V223" s="31">
        <f t="shared" si="56"/>
        <v>-3.9269828501200385E-3</v>
      </c>
      <c r="W223" s="31">
        <f t="shared" si="57"/>
        <v>-8.0324649207000783E-3</v>
      </c>
      <c r="X223" s="31">
        <f t="shared" si="58"/>
        <v>-2.6774883069000258E-3</v>
      </c>
    </row>
    <row r="224" spans="1:24" ht="14.25" customHeight="1" x14ac:dyDescent="0.25">
      <c r="A224" s="41"/>
      <c r="B224" s="38">
        <v>60</v>
      </c>
      <c r="C224" s="32">
        <v>5.6</v>
      </c>
      <c r="D224" s="32">
        <v>2.5</v>
      </c>
      <c r="E224" s="32">
        <v>3.9</v>
      </c>
      <c r="F224" s="32">
        <v>1.1000000000000001</v>
      </c>
      <c r="G224" s="39">
        <v>1</v>
      </c>
      <c r="H224">
        <f t="shared" si="48"/>
        <v>1</v>
      </c>
      <c r="I224" s="38">
        <f t="shared" si="59"/>
        <v>0.30406285386129633</v>
      </c>
      <c r="J224" s="40">
        <f t="shared" si="60"/>
        <v>-0.18954547851884665</v>
      </c>
      <c r="K224" s="40">
        <f t="shared" si="61"/>
        <v>-0.22080599956907696</v>
      </c>
      <c r="L224" s="40">
        <f t="shared" si="62"/>
        <v>0.84018839378195131</v>
      </c>
      <c r="M224" s="40">
        <f t="shared" si="63"/>
        <v>0.70166445273359557</v>
      </c>
      <c r="N224" s="35">
        <f t="shared" si="49"/>
        <v>2.7391588089896279</v>
      </c>
      <c r="O224" s="35">
        <f t="shared" si="50"/>
        <v>0.93929815210412493</v>
      </c>
      <c r="P224" s="36">
        <f t="shared" si="51"/>
        <v>1</v>
      </c>
      <c r="Q224" s="36">
        <f t="shared" si="52"/>
        <v>-6.0701847895875072E-2</v>
      </c>
      <c r="R224" s="37">
        <f t="shared" si="53"/>
        <v>3.684714337973953E-3</v>
      </c>
      <c r="T224" s="31">
        <f t="shared" si="54"/>
        <v>-6.9220907373810162E-3</v>
      </c>
      <c r="U224" s="31">
        <f t="shared" si="55"/>
        <v>-3.876370812933369E-2</v>
      </c>
      <c r="V224" s="31">
        <f t="shared" si="56"/>
        <v>-1.730522684345254E-2</v>
      </c>
      <c r="W224" s="31">
        <f t="shared" si="57"/>
        <v>-2.6996153875785963E-2</v>
      </c>
      <c r="X224" s="31">
        <f t="shared" si="58"/>
        <v>-7.6142998111191186E-3</v>
      </c>
    </row>
    <row r="225" spans="1:24" ht="14.25" customHeight="1" x14ac:dyDescent="0.25">
      <c r="A225" s="41"/>
      <c r="B225" s="38">
        <v>61</v>
      </c>
      <c r="C225" s="32">
        <v>5.9</v>
      </c>
      <c r="D225" s="32">
        <v>3.2</v>
      </c>
      <c r="E225" s="32">
        <v>4.8</v>
      </c>
      <c r="F225" s="32">
        <v>1.8</v>
      </c>
      <c r="G225" s="39">
        <v>1</v>
      </c>
      <c r="H225">
        <f t="shared" si="48"/>
        <v>1</v>
      </c>
      <c r="I225" s="38">
        <f t="shared" si="59"/>
        <v>0.30475506293503446</v>
      </c>
      <c r="J225" s="40">
        <f t="shared" si="60"/>
        <v>-0.18566910770591327</v>
      </c>
      <c r="K225" s="40">
        <f t="shared" si="61"/>
        <v>-0.2190754768847317</v>
      </c>
      <c r="L225" s="40">
        <f t="shared" si="62"/>
        <v>0.84288800916952988</v>
      </c>
      <c r="M225" s="40">
        <f t="shared" si="63"/>
        <v>0.70242588271470752</v>
      </c>
      <c r="N225" s="35">
        <f t="shared" si="49"/>
        <v>3.818494834339222</v>
      </c>
      <c r="O225" s="35">
        <f t="shared" si="50"/>
        <v>0.97851108373382134</v>
      </c>
      <c r="P225" s="36">
        <f t="shared" si="51"/>
        <v>1</v>
      </c>
      <c r="Q225" s="36">
        <f t="shared" si="52"/>
        <v>-2.1488916266178659E-2</v>
      </c>
      <c r="R225" s="37">
        <f t="shared" si="53"/>
        <v>4.6177352229483776E-4</v>
      </c>
      <c r="T225" s="31">
        <f t="shared" si="54"/>
        <v>-9.0370101948061127E-4</v>
      </c>
      <c r="U225" s="31">
        <f t="shared" si="55"/>
        <v>-5.331836014935607E-3</v>
      </c>
      <c r="V225" s="31">
        <f t="shared" si="56"/>
        <v>-2.8918432623379563E-3</v>
      </c>
      <c r="W225" s="31">
        <f t="shared" si="57"/>
        <v>-4.3377648935069343E-3</v>
      </c>
      <c r="X225" s="31">
        <f t="shared" si="58"/>
        <v>-1.6266618350651004E-3</v>
      </c>
    </row>
    <row r="226" spans="1:24" ht="14.25" customHeight="1" x14ac:dyDescent="0.25">
      <c r="A226" s="41"/>
      <c r="B226" s="38">
        <v>62</v>
      </c>
      <c r="C226" s="32">
        <v>6.1</v>
      </c>
      <c r="D226" s="32">
        <v>2.8</v>
      </c>
      <c r="E226" s="32">
        <v>4</v>
      </c>
      <c r="F226" s="32">
        <v>1.3</v>
      </c>
      <c r="G226" s="39">
        <v>1</v>
      </c>
      <c r="H226">
        <f t="shared" si="48"/>
        <v>1</v>
      </c>
      <c r="I226" s="38">
        <f t="shared" si="59"/>
        <v>0.30484543303698253</v>
      </c>
      <c r="J226" s="40">
        <f t="shared" si="60"/>
        <v>-0.1851359241044197</v>
      </c>
      <c r="K226" s="40">
        <f t="shared" si="61"/>
        <v>-0.21878629255849791</v>
      </c>
      <c r="L226" s="40">
        <f t="shared" si="62"/>
        <v>0.84332178565888061</v>
      </c>
      <c r="M226" s="40">
        <f t="shared" si="63"/>
        <v>0.70258854889821398</v>
      </c>
      <c r="N226" s="35">
        <f t="shared" si="49"/>
        <v>2.8495669330394291</v>
      </c>
      <c r="O226" s="35">
        <f t="shared" si="50"/>
        <v>0.94529629268489801</v>
      </c>
      <c r="P226" s="36">
        <f t="shared" si="51"/>
        <v>1</v>
      </c>
      <c r="Q226" s="36">
        <f t="shared" si="52"/>
        <v>-5.470370731510199E-2</v>
      </c>
      <c r="R226" s="37">
        <f t="shared" si="53"/>
        <v>2.992495594016343E-3</v>
      </c>
      <c r="T226" s="31">
        <f t="shared" si="54"/>
        <v>-5.6575899817990815E-3</v>
      </c>
      <c r="U226" s="31">
        <f t="shared" si="55"/>
        <v>-3.4511298888974397E-2</v>
      </c>
      <c r="V226" s="31">
        <f t="shared" si="56"/>
        <v>-1.5841251949037426E-2</v>
      </c>
      <c r="W226" s="31">
        <f t="shared" si="57"/>
        <v>-2.2630359927196326E-2</v>
      </c>
      <c r="X226" s="31">
        <f t="shared" si="58"/>
        <v>-7.3548669763388065E-3</v>
      </c>
    </row>
    <row r="227" spans="1:24" ht="14.25" customHeight="1" x14ac:dyDescent="0.25">
      <c r="A227" s="41"/>
      <c r="B227" s="38">
        <v>63</v>
      </c>
      <c r="C227" s="32">
        <v>6.3</v>
      </c>
      <c r="D227" s="32">
        <v>2.5</v>
      </c>
      <c r="E227" s="32">
        <v>4.9000000000000004</v>
      </c>
      <c r="F227" s="32">
        <v>1.5</v>
      </c>
      <c r="G227" s="39">
        <v>1</v>
      </c>
      <c r="H227">
        <f t="shared" si="48"/>
        <v>1</v>
      </c>
      <c r="I227" s="38">
        <f t="shared" si="59"/>
        <v>0.30541119203516243</v>
      </c>
      <c r="J227" s="40">
        <f t="shared" si="60"/>
        <v>-0.18168479421552225</v>
      </c>
      <c r="K227" s="40">
        <f t="shared" si="61"/>
        <v>-0.21720216736359416</v>
      </c>
      <c r="L227" s="40">
        <f t="shared" si="62"/>
        <v>0.8455848216516002</v>
      </c>
      <c r="M227" s="40">
        <f t="shared" si="63"/>
        <v>0.70332403559584789</v>
      </c>
      <c r="N227" s="35">
        <f t="shared" si="49"/>
        <v>3.8161432495549992</v>
      </c>
      <c r="O227" s="35">
        <f t="shared" si="50"/>
        <v>0.97846158094422309</v>
      </c>
      <c r="P227" s="36">
        <f t="shared" si="51"/>
        <v>1</v>
      </c>
      <c r="Q227" s="36">
        <f t="shared" si="52"/>
        <v>-2.1538419055776914E-2</v>
      </c>
      <c r="R227" s="37">
        <f t="shared" si="53"/>
        <v>4.639034954222541E-4</v>
      </c>
      <c r="T227" s="31">
        <f t="shared" si="54"/>
        <v>-9.0782349507281986E-4</v>
      </c>
      <c r="U227" s="31">
        <f t="shared" si="55"/>
        <v>-5.7192880189587646E-3</v>
      </c>
      <c r="V227" s="31">
        <f t="shared" si="56"/>
        <v>-2.2695587376820496E-3</v>
      </c>
      <c r="W227" s="31">
        <f t="shared" si="57"/>
        <v>-4.4483351258568175E-3</v>
      </c>
      <c r="X227" s="31">
        <f t="shared" si="58"/>
        <v>-1.3617352426092298E-3</v>
      </c>
    </row>
    <row r="228" spans="1:24" ht="14.25" customHeight="1" x14ac:dyDescent="0.25">
      <c r="A228" s="41"/>
      <c r="B228" s="38">
        <v>64</v>
      </c>
      <c r="C228" s="32">
        <v>6.1</v>
      </c>
      <c r="D228" s="32">
        <v>2.8</v>
      </c>
      <c r="E228" s="32">
        <v>4.7</v>
      </c>
      <c r="F228" s="32">
        <v>1.2</v>
      </c>
      <c r="G228" s="39">
        <v>1</v>
      </c>
      <c r="H228">
        <f t="shared" si="48"/>
        <v>1</v>
      </c>
      <c r="I228" s="38">
        <f t="shared" si="59"/>
        <v>0.30550197438466969</v>
      </c>
      <c r="J228" s="40">
        <f t="shared" si="60"/>
        <v>-0.18111286541362637</v>
      </c>
      <c r="K228" s="40">
        <f t="shared" si="61"/>
        <v>-0.21697521148982596</v>
      </c>
      <c r="L228" s="40">
        <f t="shared" si="62"/>
        <v>0.84602965516418593</v>
      </c>
      <c r="M228" s="40">
        <f t="shared" si="63"/>
        <v>0.70346020912010876</v>
      </c>
      <c r="N228" s="35">
        <f t="shared" si="49"/>
        <v>3.4136745334058407</v>
      </c>
      <c r="O228" s="35">
        <f t="shared" si="50"/>
        <v>0.96812917574953483</v>
      </c>
      <c r="P228" s="36">
        <f t="shared" si="51"/>
        <v>1</v>
      </c>
      <c r="Q228" s="36">
        <f t="shared" si="52"/>
        <v>-3.1870824250465168E-2</v>
      </c>
      <c r="R228" s="37">
        <f t="shared" si="53"/>
        <v>1.0157494384040386E-3</v>
      </c>
      <c r="T228" s="31">
        <f t="shared" si="54"/>
        <v>-1.9667533331403095E-3</v>
      </c>
      <c r="U228" s="31">
        <f t="shared" si="55"/>
        <v>-1.1997195332155887E-2</v>
      </c>
      <c r="V228" s="31">
        <f t="shared" si="56"/>
        <v>-5.5069093327928661E-3</v>
      </c>
      <c r="W228" s="31">
        <f t="shared" si="57"/>
        <v>-9.2437406657594548E-3</v>
      </c>
      <c r="X228" s="31">
        <f t="shared" si="58"/>
        <v>-2.3601039997683715E-3</v>
      </c>
    </row>
    <row r="229" spans="1:24" ht="14.25" customHeight="1" x14ac:dyDescent="0.25">
      <c r="A229" s="41"/>
      <c r="B229" s="38">
        <v>65</v>
      </c>
      <c r="C229" s="32">
        <v>6.4</v>
      </c>
      <c r="D229" s="32">
        <v>2.9</v>
      </c>
      <c r="E229" s="32">
        <v>4.3</v>
      </c>
      <c r="F229" s="32">
        <v>1.3</v>
      </c>
      <c r="G229" s="39">
        <v>1</v>
      </c>
      <c r="H229">
        <f t="shared" si="48"/>
        <v>1</v>
      </c>
      <c r="I229" s="38">
        <f t="shared" si="59"/>
        <v>0.30569864971798372</v>
      </c>
      <c r="J229" s="40">
        <f t="shared" si="60"/>
        <v>-0.17991314588041077</v>
      </c>
      <c r="K229" s="40">
        <f t="shared" si="61"/>
        <v>-0.21642452055654668</v>
      </c>
      <c r="L229" s="40">
        <f t="shared" si="62"/>
        <v>0.84695402923076191</v>
      </c>
      <c r="M229" s="40">
        <f t="shared" si="63"/>
        <v>0.70369621952008554</v>
      </c>
      <c r="N229" s="35">
        <f t="shared" si="49"/>
        <v>3.0833308175377567</v>
      </c>
      <c r="O229" s="35">
        <f t="shared" si="50"/>
        <v>0.9561998969179798</v>
      </c>
      <c r="P229" s="36">
        <f t="shared" si="51"/>
        <v>1</v>
      </c>
      <c r="Q229" s="36">
        <f t="shared" si="52"/>
        <v>-4.3800103082020203E-2</v>
      </c>
      <c r="R229" s="37">
        <f t="shared" si="53"/>
        <v>1.9184490299955957E-3</v>
      </c>
      <c r="T229" s="31">
        <f t="shared" si="54"/>
        <v>-3.668841529448374E-3</v>
      </c>
      <c r="U229" s="31">
        <f t="shared" si="55"/>
        <v>-2.3480585788469593E-2</v>
      </c>
      <c r="V229" s="31">
        <f t="shared" si="56"/>
        <v>-1.0639640435400284E-2</v>
      </c>
      <c r="W229" s="31">
        <f t="shared" si="57"/>
        <v>-1.5776018576628009E-2</v>
      </c>
      <c r="X229" s="31">
        <f t="shared" si="58"/>
        <v>-4.7694939882828866E-3</v>
      </c>
    </row>
    <row r="230" spans="1:24" ht="14.25" customHeight="1" x14ac:dyDescent="0.25">
      <c r="A230" s="41"/>
      <c r="B230" s="38">
        <v>66</v>
      </c>
      <c r="C230" s="32">
        <v>6.6</v>
      </c>
      <c r="D230" s="32">
        <v>3</v>
      </c>
      <c r="E230" s="32">
        <v>4.4000000000000004</v>
      </c>
      <c r="F230" s="32">
        <v>1.4</v>
      </c>
      <c r="G230" s="39">
        <v>1</v>
      </c>
      <c r="H230">
        <f t="shared" si="48"/>
        <v>1</v>
      </c>
      <c r="I230" s="38">
        <f t="shared" si="59"/>
        <v>0.30606553387092855</v>
      </c>
      <c r="J230" s="40">
        <f t="shared" si="60"/>
        <v>-0.17756508730156381</v>
      </c>
      <c r="K230" s="40">
        <f t="shared" si="61"/>
        <v>-0.21536055651300665</v>
      </c>
      <c r="L230" s="40">
        <f t="shared" si="62"/>
        <v>0.84853163108842466</v>
      </c>
      <c r="M230" s="40">
        <f t="shared" si="63"/>
        <v>0.70417316891891379</v>
      </c>
      <c r="N230" s="35">
        <f t="shared" si="49"/>
        <v>3.2074359014171354</v>
      </c>
      <c r="O230" s="35">
        <f t="shared" si="50"/>
        <v>0.96111314643609325</v>
      </c>
      <c r="P230" s="36">
        <f t="shared" si="51"/>
        <v>1</v>
      </c>
      <c r="Q230" s="36">
        <f t="shared" si="52"/>
        <v>-3.8886853563906754E-2</v>
      </c>
      <c r="R230" s="37">
        <f t="shared" si="53"/>
        <v>1.5121873801007275E-3</v>
      </c>
      <c r="T230" s="31">
        <f t="shared" si="54"/>
        <v>-2.9067663417791253E-3</v>
      </c>
      <c r="U230" s="31">
        <f t="shared" si="55"/>
        <v>-1.9184657855742224E-2</v>
      </c>
      <c r="V230" s="31">
        <f t="shared" si="56"/>
        <v>-8.7202990253373754E-3</v>
      </c>
      <c r="W230" s="31">
        <f t="shared" si="57"/>
        <v>-1.2789771903828151E-2</v>
      </c>
      <c r="X230" s="31">
        <f t="shared" si="58"/>
        <v>-4.0694728784907751E-3</v>
      </c>
    </row>
    <row r="231" spans="1:24" ht="14.25" customHeight="1" x14ac:dyDescent="0.25">
      <c r="A231" s="41"/>
      <c r="B231" s="38">
        <v>67</v>
      </c>
      <c r="C231" s="32">
        <v>6.8</v>
      </c>
      <c r="D231" s="32">
        <v>2.8</v>
      </c>
      <c r="E231" s="32">
        <v>4.8</v>
      </c>
      <c r="F231" s="32">
        <v>1.4</v>
      </c>
      <c r="G231" s="39">
        <v>1</v>
      </c>
      <c r="H231">
        <f t="shared" si="48"/>
        <v>1</v>
      </c>
      <c r="I231" s="38">
        <f t="shared" si="59"/>
        <v>0.30635621050510647</v>
      </c>
      <c r="J231" s="40">
        <f t="shared" si="60"/>
        <v>-0.17564662151598959</v>
      </c>
      <c r="K231" s="40">
        <f t="shared" si="61"/>
        <v>-0.21448852661047291</v>
      </c>
      <c r="L231" s="40">
        <f t="shared" si="62"/>
        <v>0.8498106082788075</v>
      </c>
      <c r="M231" s="40">
        <f t="shared" si="63"/>
        <v>0.70458011620676286</v>
      </c>
      <c r="N231" s="35">
        <f t="shared" si="49"/>
        <v>3.5768943921147969</v>
      </c>
      <c r="O231" s="35">
        <f t="shared" si="50"/>
        <v>0.97279822325511212</v>
      </c>
      <c r="P231" s="36">
        <f t="shared" si="51"/>
        <v>1</v>
      </c>
      <c r="Q231" s="36">
        <f t="shared" si="52"/>
        <v>-2.7201776744887884E-2</v>
      </c>
      <c r="R231" s="37">
        <f t="shared" si="53"/>
        <v>7.3993665807872331E-4</v>
      </c>
      <c r="T231" s="31">
        <f t="shared" si="54"/>
        <v>-1.4396181326006149E-3</v>
      </c>
      <c r="U231" s="31">
        <f t="shared" si="55"/>
        <v>-9.7894033016841814E-3</v>
      </c>
      <c r="V231" s="31">
        <f t="shared" si="56"/>
        <v>-4.0309307712817211E-3</v>
      </c>
      <c r="W231" s="31">
        <f t="shared" si="57"/>
        <v>-6.9101670364829513E-3</v>
      </c>
      <c r="X231" s="31">
        <f t="shared" si="58"/>
        <v>-2.0154653856408605E-3</v>
      </c>
    </row>
    <row r="232" spans="1:24" ht="14.25" customHeight="1" x14ac:dyDescent="0.25">
      <c r="A232" s="41"/>
      <c r="B232" s="38">
        <v>68</v>
      </c>
      <c r="C232" s="32">
        <v>6.7</v>
      </c>
      <c r="D232" s="32">
        <v>3</v>
      </c>
      <c r="E232" s="32">
        <v>5</v>
      </c>
      <c r="F232" s="32">
        <v>1.7</v>
      </c>
      <c r="G232" s="39">
        <v>1</v>
      </c>
      <c r="H232">
        <f t="shared" si="48"/>
        <v>1</v>
      </c>
      <c r="I232" s="38">
        <f t="shared" si="59"/>
        <v>0.30650017231836651</v>
      </c>
      <c r="J232" s="40">
        <f t="shared" si="60"/>
        <v>-0.17466768118582116</v>
      </c>
      <c r="K232" s="40">
        <f t="shared" si="61"/>
        <v>-0.21408543353334475</v>
      </c>
      <c r="L232" s="40">
        <f t="shared" si="62"/>
        <v>0.85050162498245585</v>
      </c>
      <c r="M232" s="40">
        <f t="shared" si="63"/>
        <v>0.70478166274532694</v>
      </c>
      <c r="N232" s="35">
        <f t="shared" si="49"/>
        <v>3.9446073593526654</v>
      </c>
      <c r="O232" s="35">
        <f t="shared" si="50"/>
        <v>0.98100883061684008</v>
      </c>
      <c r="P232" s="36">
        <f t="shared" si="51"/>
        <v>1</v>
      </c>
      <c r="Q232" s="36">
        <f t="shared" si="52"/>
        <v>-1.8991169383159923E-2</v>
      </c>
      <c r="R232" s="37">
        <f t="shared" si="53"/>
        <v>3.6066451453987085E-4</v>
      </c>
      <c r="T232" s="31">
        <f t="shared" si="54"/>
        <v>-7.0763014730749801E-4</v>
      </c>
      <c r="U232" s="31">
        <f t="shared" si="55"/>
        <v>-4.7411219869602367E-3</v>
      </c>
      <c r="V232" s="31">
        <f t="shared" si="56"/>
        <v>-2.1228904419224939E-3</v>
      </c>
      <c r="W232" s="31">
        <f t="shared" si="57"/>
        <v>-3.5381507365374902E-3</v>
      </c>
      <c r="X232" s="31">
        <f t="shared" si="58"/>
        <v>-1.2029712504227465E-3</v>
      </c>
    </row>
    <row r="233" spans="1:24" ht="14.25" customHeight="1" x14ac:dyDescent="0.25">
      <c r="A233" s="41"/>
      <c r="B233" s="38">
        <v>69</v>
      </c>
      <c r="C233" s="32">
        <v>6</v>
      </c>
      <c r="D233" s="32">
        <v>2.9</v>
      </c>
      <c r="E233" s="32">
        <v>4.5</v>
      </c>
      <c r="F233" s="32">
        <v>1.5</v>
      </c>
      <c r="G233" s="39">
        <v>1</v>
      </c>
      <c r="H233">
        <f t="shared" si="48"/>
        <v>1</v>
      </c>
      <c r="I233" s="38">
        <f t="shared" si="59"/>
        <v>0.30657093533309726</v>
      </c>
      <c r="J233" s="40">
        <f t="shared" si="60"/>
        <v>-0.17419356898712512</v>
      </c>
      <c r="K233" s="40">
        <f t="shared" si="61"/>
        <v>-0.21387314448915251</v>
      </c>
      <c r="L233" s="40">
        <f t="shared" si="62"/>
        <v>0.85085544005610958</v>
      </c>
      <c r="M233" s="40">
        <f t="shared" si="63"/>
        <v>0.70490195987036919</v>
      </c>
      <c r="N233" s="35">
        <f t="shared" si="49"/>
        <v>3.5273798224498512</v>
      </c>
      <c r="O233" s="35">
        <f t="shared" si="50"/>
        <v>0.97145684855361003</v>
      </c>
      <c r="P233" s="36">
        <f t="shared" si="51"/>
        <v>1</v>
      </c>
      <c r="Q233" s="36">
        <f t="shared" si="52"/>
        <v>-2.8543151446389969E-2</v>
      </c>
      <c r="R233" s="37">
        <f t="shared" si="53"/>
        <v>8.147114944915538E-4</v>
      </c>
      <c r="T233" s="31">
        <f t="shared" si="54"/>
        <v>-1.5829141218383334E-3</v>
      </c>
      <c r="U233" s="31">
        <f t="shared" si="55"/>
        <v>-9.4974847310300009E-3</v>
      </c>
      <c r="V233" s="31">
        <f t="shared" si="56"/>
        <v>-4.5904509533311669E-3</v>
      </c>
      <c r="W233" s="31">
        <f t="shared" si="57"/>
        <v>-7.1231135482725007E-3</v>
      </c>
      <c r="X233" s="31">
        <f t="shared" si="58"/>
        <v>-2.3743711827575002E-3</v>
      </c>
    </row>
    <row r="234" spans="1:24" ht="14.25" customHeight="1" x14ac:dyDescent="0.25">
      <c r="A234" s="41"/>
      <c r="B234" s="38">
        <v>70</v>
      </c>
      <c r="C234" s="32">
        <v>5.7</v>
      </c>
      <c r="D234" s="32">
        <v>2.6</v>
      </c>
      <c r="E234" s="32">
        <v>3.5</v>
      </c>
      <c r="F234" s="32">
        <v>1</v>
      </c>
      <c r="G234" s="39">
        <v>1</v>
      </c>
      <c r="H234">
        <f t="shared" si="48"/>
        <v>1</v>
      </c>
      <c r="I234" s="38">
        <f t="shared" si="59"/>
        <v>0.30672922674528108</v>
      </c>
      <c r="J234" s="40">
        <f t="shared" si="60"/>
        <v>-0.17324382051402212</v>
      </c>
      <c r="K234" s="40">
        <f t="shared" si="61"/>
        <v>-0.21341409939381939</v>
      </c>
      <c r="L234" s="40">
        <f t="shared" si="62"/>
        <v>0.85156775141093688</v>
      </c>
      <c r="M234" s="40">
        <f t="shared" si="63"/>
        <v>0.70513939698864492</v>
      </c>
      <c r="N234" s="35">
        <f t="shared" si="49"/>
        <v>2.4499893183183485</v>
      </c>
      <c r="O234" s="35">
        <f t="shared" si="50"/>
        <v>0.92056066968179073</v>
      </c>
      <c r="P234" s="36">
        <f t="shared" si="51"/>
        <v>1</v>
      </c>
      <c r="Q234" s="36">
        <f t="shared" si="52"/>
        <v>-7.9439330318209267E-2</v>
      </c>
      <c r="R234" s="37">
        <f t="shared" si="53"/>
        <v>6.3106072014055617E-3</v>
      </c>
      <c r="T234" s="31">
        <f t="shared" si="54"/>
        <v>-1.1618593582849271E-2</v>
      </c>
      <c r="U234" s="31">
        <f t="shared" si="55"/>
        <v>-6.6225983422240842E-2</v>
      </c>
      <c r="V234" s="31">
        <f t="shared" si="56"/>
        <v>-3.0208343315408104E-2</v>
      </c>
      <c r="W234" s="31">
        <f t="shared" si="57"/>
        <v>-4.066507753997245E-2</v>
      </c>
      <c r="X234" s="31">
        <f t="shared" si="58"/>
        <v>-1.1618593582849271E-2</v>
      </c>
    </row>
    <row r="235" spans="1:24" ht="14.25" customHeight="1" x14ac:dyDescent="0.25">
      <c r="A235" s="41"/>
      <c r="B235" s="38">
        <v>71</v>
      </c>
      <c r="C235" s="32">
        <v>5.5</v>
      </c>
      <c r="D235" s="32">
        <v>2.4</v>
      </c>
      <c r="E235" s="32">
        <v>3.8</v>
      </c>
      <c r="F235" s="32">
        <v>1.1000000000000001</v>
      </c>
      <c r="G235" s="39">
        <v>1</v>
      </c>
      <c r="H235">
        <f t="shared" si="48"/>
        <v>1</v>
      </c>
      <c r="I235" s="38">
        <f t="shared" si="59"/>
        <v>0.30789108610356603</v>
      </c>
      <c r="J235" s="40">
        <f t="shared" si="60"/>
        <v>-0.16662122217179803</v>
      </c>
      <c r="K235" s="40">
        <f t="shared" si="61"/>
        <v>-0.21039326506227857</v>
      </c>
      <c r="L235" s="40">
        <f t="shared" si="62"/>
        <v>0.85563425916493407</v>
      </c>
      <c r="M235" s="40">
        <f t="shared" si="63"/>
        <v>0.70630125634692986</v>
      </c>
      <c r="N235" s="35">
        <f t="shared" si="49"/>
        <v>2.9148720948175808</v>
      </c>
      <c r="O235" s="35">
        <f t="shared" si="50"/>
        <v>0.94857674006361015</v>
      </c>
      <c r="P235" s="36">
        <f t="shared" si="51"/>
        <v>1</v>
      </c>
      <c r="Q235" s="36">
        <f t="shared" si="52"/>
        <v>-5.1423259936389853E-2</v>
      </c>
      <c r="R235" s="37">
        <f t="shared" si="53"/>
        <v>2.6443516624855179E-3</v>
      </c>
      <c r="T235" s="31">
        <f t="shared" si="54"/>
        <v>-5.0167409591646006E-3</v>
      </c>
      <c r="U235" s="31">
        <f t="shared" si="55"/>
        <v>-2.7592075275405303E-2</v>
      </c>
      <c r="V235" s="31">
        <f t="shared" si="56"/>
        <v>-1.204017830199504E-2</v>
      </c>
      <c r="W235" s="31">
        <f t="shared" si="57"/>
        <v>-1.906361564482548E-2</v>
      </c>
      <c r="X235" s="31">
        <f t="shared" si="58"/>
        <v>-5.5184150550810608E-3</v>
      </c>
    </row>
    <row r="236" spans="1:24" ht="14.25" customHeight="1" x14ac:dyDescent="0.25">
      <c r="A236" s="41"/>
      <c r="B236" s="38">
        <v>72</v>
      </c>
      <c r="C236" s="32">
        <v>5.5</v>
      </c>
      <c r="D236" s="32">
        <v>2.4</v>
      </c>
      <c r="E236" s="32">
        <v>3.7</v>
      </c>
      <c r="F236" s="32">
        <v>1</v>
      </c>
      <c r="G236" s="39">
        <v>1</v>
      </c>
      <c r="H236">
        <f t="shared" si="48"/>
        <v>1</v>
      </c>
      <c r="I236" s="38">
        <f t="shared" si="59"/>
        <v>0.30839276019948247</v>
      </c>
      <c r="J236" s="40">
        <f t="shared" si="60"/>
        <v>-0.16386201464425751</v>
      </c>
      <c r="K236" s="40">
        <f t="shared" si="61"/>
        <v>-0.20918924723207907</v>
      </c>
      <c r="L236" s="40">
        <f t="shared" si="62"/>
        <v>0.85754062072941661</v>
      </c>
      <c r="M236" s="40">
        <f t="shared" si="63"/>
        <v>0.70685309785243799</v>
      </c>
      <c r="N236" s="35">
        <f t="shared" si="49"/>
        <v>2.7848508808503558</v>
      </c>
      <c r="O236" s="35">
        <f t="shared" si="50"/>
        <v>0.94185168321197299</v>
      </c>
      <c r="P236" s="36">
        <f t="shared" si="51"/>
        <v>1</v>
      </c>
      <c r="Q236" s="36">
        <f t="shared" si="52"/>
        <v>-5.814831678802701E-2</v>
      </c>
      <c r="R236" s="37">
        <f t="shared" si="53"/>
        <v>3.381226745280744E-3</v>
      </c>
      <c r="T236" s="31">
        <f t="shared" si="54"/>
        <v>-6.3692282027280195E-3</v>
      </c>
      <c r="U236" s="31">
        <f t="shared" si="55"/>
        <v>-3.5030755115004107E-2</v>
      </c>
      <c r="V236" s="31">
        <f t="shared" si="56"/>
        <v>-1.5286147686547246E-2</v>
      </c>
      <c r="W236" s="31">
        <f t="shared" si="57"/>
        <v>-2.3566144350093673E-2</v>
      </c>
      <c r="X236" s="31">
        <f t="shared" si="58"/>
        <v>-6.3692282027280195E-3</v>
      </c>
    </row>
    <row r="237" spans="1:24" ht="14.25" customHeight="1" x14ac:dyDescent="0.25">
      <c r="A237" s="41"/>
      <c r="B237" s="38">
        <v>73</v>
      </c>
      <c r="C237" s="32">
        <v>5.8</v>
      </c>
      <c r="D237" s="32">
        <v>2.7</v>
      </c>
      <c r="E237" s="32">
        <v>3.9</v>
      </c>
      <c r="F237" s="32">
        <v>1.2</v>
      </c>
      <c r="G237" s="39">
        <v>1</v>
      </c>
      <c r="H237">
        <f t="shared" si="48"/>
        <v>1</v>
      </c>
      <c r="I237" s="38">
        <f t="shared" si="59"/>
        <v>0.30902968301975525</v>
      </c>
      <c r="J237" s="40">
        <f t="shared" si="60"/>
        <v>-0.16035893913275709</v>
      </c>
      <c r="K237" s="40">
        <f t="shared" si="61"/>
        <v>-0.20766063246342434</v>
      </c>
      <c r="L237" s="40">
        <f t="shared" si="62"/>
        <v>0.85989723516442595</v>
      </c>
      <c r="M237" s="40">
        <f t="shared" si="63"/>
        <v>0.70749002067271083</v>
      </c>
      <c r="N237" s="35">
        <f t="shared" si="49"/>
        <v>3.0208513703470325</v>
      </c>
      <c r="O237" s="35">
        <f t="shared" si="50"/>
        <v>0.95350728228321924</v>
      </c>
      <c r="P237" s="36">
        <f t="shared" si="51"/>
        <v>1</v>
      </c>
      <c r="Q237" s="36">
        <f t="shared" si="52"/>
        <v>-4.6492717716780763E-2</v>
      </c>
      <c r="R237" s="37">
        <f t="shared" si="53"/>
        <v>2.1615728006922599E-3</v>
      </c>
      <c r="T237" s="31">
        <f t="shared" si="54"/>
        <v>-4.1221508132908069E-3</v>
      </c>
      <c r="U237" s="31">
        <f t="shared" si="55"/>
        <v>-2.3908474717086681E-2</v>
      </c>
      <c r="V237" s="31">
        <f t="shared" si="56"/>
        <v>-1.112980719588518E-2</v>
      </c>
      <c r="W237" s="31">
        <f t="shared" si="57"/>
        <v>-1.6076388171834148E-2</v>
      </c>
      <c r="X237" s="31">
        <f t="shared" si="58"/>
        <v>-4.9465809759489682E-3</v>
      </c>
    </row>
    <row r="238" spans="1:24" ht="14.25" customHeight="1" x14ac:dyDescent="0.25">
      <c r="A238" s="41"/>
      <c r="B238" s="38">
        <v>74</v>
      </c>
      <c r="C238" s="32">
        <v>6</v>
      </c>
      <c r="D238" s="32">
        <v>2.7</v>
      </c>
      <c r="E238" s="32">
        <v>5.0999999999999996</v>
      </c>
      <c r="F238" s="32">
        <v>1.6</v>
      </c>
      <c r="G238" s="39">
        <v>1</v>
      </c>
      <c r="H238">
        <f t="shared" si="48"/>
        <v>1</v>
      </c>
      <c r="I238" s="38">
        <f t="shared" si="59"/>
        <v>0.30944189810108436</v>
      </c>
      <c r="J238" s="40">
        <f t="shared" si="60"/>
        <v>-0.15796809166104842</v>
      </c>
      <c r="K238" s="40">
        <f t="shared" si="61"/>
        <v>-0.20654765174383583</v>
      </c>
      <c r="L238" s="40">
        <f t="shared" si="62"/>
        <v>0.86150487398160935</v>
      </c>
      <c r="M238" s="40">
        <f t="shared" si="63"/>
        <v>0.70798467877030569</v>
      </c>
      <c r="N238" s="35">
        <f t="shared" si="49"/>
        <v>4.3304050317651335</v>
      </c>
      <c r="O238" s="35">
        <f t="shared" si="50"/>
        <v>0.98700877796634778</v>
      </c>
      <c r="P238" s="36">
        <f t="shared" si="51"/>
        <v>1</v>
      </c>
      <c r="Q238" s="36">
        <f t="shared" si="52"/>
        <v>-1.2991222033652217E-2</v>
      </c>
      <c r="R238" s="37">
        <f t="shared" si="53"/>
        <v>1.6877184992765084E-4</v>
      </c>
      <c r="T238" s="31">
        <f t="shared" si="54"/>
        <v>-3.3315859470442097E-4</v>
      </c>
      <c r="U238" s="31">
        <f t="shared" si="55"/>
        <v>-1.9989515682265258E-3</v>
      </c>
      <c r="V238" s="31">
        <f t="shared" si="56"/>
        <v>-8.9952820570193674E-4</v>
      </c>
      <c r="W238" s="31">
        <f t="shared" si="57"/>
        <v>-1.6991088329925469E-3</v>
      </c>
      <c r="X238" s="31">
        <f t="shared" si="58"/>
        <v>-5.3305375152707356E-4</v>
      </c>
    </row>
    <row r="239" spans="1:24" ht="14.25" customHeight="1" x14ac:dyDescent="0.25">
      <c r="A239" s="41"/>
      <c r="B239" s="38">
        <v>75</v>
      </c>
      <c r="C239" s="32">
        <v>5.4</v>
      </c>
      <c r="D239" s="32">
        <v>3</v>
      </c>
      <c r="E239" s="32">
        <v>4.5</v>
      </c>
      <c r="F239" s="32">
        <v>1.5</v>
      </c>
      <c r="G239" s="39">
        <v>1</v>
      </c>
      <c r="H239">
        <f t="shared" si="48"/>
        <v>1</v>
      </c>
      <c r="I239" s="38">
        <f t="shared" si="59"/>
        <v>0.30947521396055477</v>
      </c>
      <c r="J239" s="40">
        <f t="shared" si="60"/>
        <v>-0.15776819650422577</v>
      </c>
      <c r="K239" s="40">
        <f t="shared" si="61"/>
        <v>-0.20645769892326563</v>
      </c>
      <c r="L239" s="40">
        <f t="shared" si="62"/>
        <v>0.86167478486490856</v>
      </c>
      <c r="M239" s="40">
        <f t="shared" si="63"/>
        <v>0.70803798414545838</v>
      </c>
      <c r="N239" s="35">
        <f t="shared" si="49"/>
        <v>3.7777473641782144</v>
      </c>
      <c r="O239" s="35">
        <f t="shared" si="50"/>
        <v>0.97763736589737393</v>
      </c>
      <c r="P239" s="36">
        <f t="shared" si="51"/>
        <v>1</v>
      </c>
      <c r="Q239" s="36">
        <f t="shared" si="52"/>
        <v>-2.2362634102626067E-2</v>
      </c>
      <c r="R239" s="37">
        <f t="shared" si="53"/>
        <v>5.0008740400793439E-4</v>
      </c>
      <c r="T239" s="31">
        <f t="shared" si="54"/>
        <v>-9.7780826474554573E-4</v>
      </c>
      <c r="U239" s="31">
        <f t="shared" si="55"/>
        <v>-5.2801646296259473E-3</v>
      </c>
      <c r="V239" s="31">
        <f t="shared" si="56"/>
        <v>-2.933424794236637E-3</v>
      </c>
      <c r="W239" s="31">
        <f t="shared" si="57"/>
        <v>-4.4001371913549555E-3</v>
      </c>
      <c r="X239" s="31">
        <f t="shared" si="58"/>
        <v>-1.4667123971183185E-3</v>
      </c>
    </row>
    <row r="240" spans="1:24" ht="14.25" customHeight="1" x14ac:dyDescent="0.25">
      <c r="A240" s="41"/>
      <c r="B240" s="38">
        <v>76</v>
      </c>
      <c r="C240" s="32">
        <v>6</v>
      </c>
      <c r="D240" s="32">
        <v>3.4</v>
      </c>
      <c r="E240" s="32">
        <v>4.5</v>
      </c>
      <c r="F240" s="32">
        <v>1.6</v>
      </c>
      <c r="G240" s="39">
        <v>1</v>
      </c>
      <c r="H240">
        <f t="shared" si="48"/>
        <v>1</v>
      </c>
      <c r="I240" s="38">
        <f t="shared" si="59"/>
        <v>0.30957299478702932</v>
      </c>
      <c r="J240" s="40">
        <f t="shared" si="60"/>
        <v>-0.15724018004126317</v>
      </c>
      <c r="K240" s="40">
        <f t="shared" si="61"/>
        <v>-0.20616435644384196</v>
      </c>
      <c r="L240" s="40">
        <f t="shared" si="62"/>
        <v>0.86211479858404405</v>
      </c>
      <c r="M240" s="40">
        <f t="shared" si="63"/>
        <v>0.70818465538517017</v>
      </c>
      <c r="N240" s="35">
        <f t="shared" si="49"/>
        <v>3.677785144874858</v>
      </c>
      <c r="O240" s="35">
        <f t="shared" si="50"/>
        <v>0.97534436538796521</v>
      </c>
      <c r="P240" s="36">
        <f t="shared" si="51"/>
        <v>1</v>
      </c>
      <c r="Q240" s="36">
        <f t="shared" si="52"/>
        <v>-2.4655634612034794E-2</v>
      </c>
      <c r="R240" s="37">
        <f t="shared" si="53"/>
        <v>6.0790031812216812E-4</v>
      </c>
      <c r="T240" s="31">
        <f t="shared" si="54"/>
        <v>-1.1858242999960166E-3</v>
      </c>
      <c r="U240" s="31">
        <f t="shared" si="55"/>
        <v>-7.1149457999760994E-3</v>
      </c>
      <c r="V240" s="31">
        <f t="shared" si="56"/>
        <v>-4.0318026199864564E-3</v>
      </c>
      <c r="W240" s="31">
        <f t="shared" si="57"/>
        <v>-5.3362093499820743E-3</v>
      </c>
      <c r="X240" s="31">
        <f t="shared" si="58"/>
        <v>-1.8973188799936266E-3</v>
      </c>
    </row>
    <row r="241" spans="1:24" ht="14.25" customHeight="1" x14ac:dyDescent="0.25">
      <c r="A241" s="41"/>
      <c r="B241" s="38">
        <v>77</v>
      </c>
      <c r="C241" s="32">
        <v>6.7</v>
      </c>
      <c r="D241" s="32">
        <v>3.1</v>
      </c>
      <c r="E241" s="32">
        <v>4.7</v>
      </c>
      <c r="F241" s="32">
        <v>1.5</v>
      </c>
      <c r="G241" s="39">
        <v>1</v>
      </c>
      <c r="H241">
        <f t="shared" si="48"/>
        <v>1</v>
      </c>
      <c r="I241" s="38">
        <f t="shared" si="59"/>
        <v>0.30969157721702895</v>
      </c>
      <c r="J241" s="40">
        <f t="shared" si="60"/>
        <v>-0.15652868546126555</v>
      </c>
      <c r="K241" s="40">
        <f t="shared" si="61"/>
        <v>-0.20576117618184331</v>
      </c>
      <c r="L241" s="40">
        <f t="shared" si="62"/>
        <v>0.86264841951904225</v>
      </c>
      <c r="M241" s="40">
        <f t="shared" si="63"/>
        <v>0.70837438727316948</v>
      </c>
      <c r="N241" s="35">
        <f t="shared" si="49"/>
        <v>3.7400988911120887</v>
      </c>
      <c r="O241" s="35">
        <f t="shared" si="50"/>
        <v>0.97679930307240048</v>
      </c>
      <c r="P241" s="36">
        <f t="shared" si="51"/>
        <v>1</v>
      </c>
      <c r="Q241" s="36">
        <f t="shared" si="52"/>
        <v>-2.3200696927599518E-2</v>
      </c>
      <c r="R241" s="37">
        <f t="shared" si="53"/>
        <v>5.3827233792632571E-4</v>
      </c>
      <c r="T241" s="31">
        <f t="shared" si="54"/>
        <v>-1.0515680890991733E-3</v>
      </c>
      <c r="U241" s="31">
        <f t="shared" si="55"/>
        <v>-7.0455061969644612E-3</v>
      </c>
      <c r="V241" s="31">
        <f t="shared" si="56"/>
        <v>-3.2598610762074372E-3</v>
      </c>
      <c r="W241" s="31">
        <f t="shared" si="57"/>
        <v>-4.9423700187661143E-3</v>
      </c>
      <c r="X241" s="31">
        <f t="shared" si="58"/>
        <v>-1.5773521336487598E-3</v>
      </c>
    </row>
    <row r="242" spans="1:24" ht="14.25" customHeight="1" x14ac:dyDescent="0.25">
      <c r="A242" s="41"/>
      <c r="B242" s="38">
        <v>78</v>
      </c>
      <c r="C242" s="32">
        <v>6.3</v>
      </c>
      <c r="D242" s="32">
        <v>2.2999999999999998</v>
      </c>
      <c r="E242" s="32">
        <v>4.4000000000000004</v>
      </c>
      <c r="F242" s="32">
        <v>1.3</v>
      </c>
      <c r="G242" s="39">
        <v>1</v>
      </c>
      <c r="H242">
        <f t="shared" si="48"/>
        <v>1</v>
      </c>
      <c r="I242" s="38">
        <f t="shared" si="59"/>
        <v>0.30979673402593888</v>
      </c>
      <c r="J242" s="40">
        <f t="shared" si="60"/>
        <v>-0.1558241348415691</v>
      </c>
      <c r="K242" s="40">
        <f t="shared" si="61"/>
        <v>-0.20543519007422256</v>
      </c>
      <c r="L242" s="40">
        <f t="shared" si="62"/>
        <v>0.86314265652091882</v>
      </c>
      <c r="M242" s="40">
        <f t="shared" si="63"/>
        <v>0.70853212248653441</v>
      </c>
      <c r="N242" s="35">
        <f t="shared" si="49"/>
        <v>3.5745231952778798</v>
      </c>
      <c r="O242" s="35">
        <f t="shared" si="50"/>
        <v>0.97273540662946045</v>
      </c>
      <c r="P242" s="36">
        <f t="shared" si="51"/>
        <v>1</v>
      </c>
      <c r="Q242" s="36">
        <f t="shared" si="52"/>
        <v>-2.7264593370539547E-2</v>
      </c>
      <c r="R242" s="37">
        <f t="shared" si="53"/>
        <v>7.43358051660869E-4</v>
      </c>
      <c r="T242" s="31">
        <f t="shared" si="54"/>
        <v>-1.4461813933072378E-3</v>
      </c>
      <c r="U242" s="31">
        <f t="shared" si="55"/>
        <v>-9.1109427778355984E-3</v>
      </c>
      <c r="V242" s="31">
        <f t="shared" si="56"/>
        <v>-3.326217204606647E-3</v>
      </c>
      <c r="W242" s="31">
        <f t="shared" si="57"/>
        <v>-6.3631981305518467E-3</v>
      </c>
      <c r="X242" s="31">
        <f t="shared" si="58"/>
        <v>-1.8800358112994093E-3</v>
      </c>
    </row>
    <row r="243" spans="1:24" ht="14.25" customHeight="1" x14ac:dyDescent="0.25">
      <c r="A243" s="41"/>
      <c r="B243" s="38">
        <v>79</v>
      </c>
      <c r="C243" s="32">
        <v>5.6</v>
      </c>
      <c r="D243" s="32">
        <v>3</v>
      </c>
      <c r="E243" s="32">
        <v>4.0999999999999996</v>
      </c>
      <c r="F243" s="32">
        <v>1.3</v>
      </c>
      <c r="G243" s="39">
        <v>1</v>
      </c>
      <c r="H243">
        <f t="shared" si="48"/>
        <v>1</v>
      </c>
      <c r="I243" s="38">
        <f t="shared" si="59"/>
        <v>0.30994135216526958</v>
      </c>
      <c r="J243" s="40">
        <f t="shared" si="60"/>
        <v>-0.15491304056378555</v>
      </c>
      <c r="K243" s="40">
        <f t="shared" si="61"/>
        <v>-0.20510256835376189</v>
      </c>
      <c r="L243" s="40">
        <f t="shared" si="62"/>
        <v>0.86377897633397405</v>
      </c>
      <c r="M243" s="40">
        <f t="shared" si="63"/>
        <v>0.70872012606766432</v>
      </c>
      <c r="N243" s="35">
        <f t="shared" si="49"/>
        <v>3.289950586804042</v>
      </c>
      <c r="O243" s="35">
        <f t="shared" si="50"/>
        <v>0.96408244310172397</v>
      </c>
      <c r="P243" s="36">
        <f t="shared" si="51"/>
        <v>1</v>
      </c>
      <c r="Q243" s="36">
        <f t="shared" si="52"/>
        <v>-3.5917556898276026E-2</v>
      </c>
      <c r="R243" s="37">
        <f t="shared" si="53"/>
        <v>1.2900708935408957E-3</v>
      </c>
      <c r="T243" s="31">
        <f t="shared" si="54"/>
        <v>-2.4874693976386615E-3</v>
      </c>
      <c r="U243" s="31">
        <f t="shared" si="55"/>
        <v>-1.3929828626776504E-2</v>
      </c>
      <c r="V243" s="31">
        <f t="shared" si="56"/>
        <v>-7.4624081929159846E-3</v>
      </c>
      <c r="W243" s="31">
        <f t="shared" si="57"/>
        <v>-1.0198624530318511E-2</v>
      </c>
      <c r="X243" s="31">
        <f t="shared" si="58"/>
        <v>-3.2337102169302601E-3</v>
      </c>
    </row>
    <row r="244" spans="1:24" ht="14.25" customHeight="1" x14ac:dyDescent="0.25">
      <c r="A244" s="41"/>
      <c r="B244" s="38">
        <v>80</v>
      </c>
      <c r="C244" s="32">
        <v>5.5</v>
      </c>
      <c r="D244" s="32">
        <v>2.5</v>
      </c>
      <c r="E244" s="32">
        <v>4</v>
      </c>
      <c r="F244" s="32">
        <v>1.3</v>
      </c>
      <c r="G244" s="39">
        <v>1</v>
      </c>
      <c r="H244">
        <f t="shared" si="48"/>
        <v>1</v>
      </c>
      <c r="I244" s="38">
        <f t="shared" si="59"/>
        <v>0.31019009910503342</v>
      </c>
      <c r="J244" s="40">
        <f t="shared" si="60"/>
        <v>-0.15352005770110791</v>
      </c>
      <c r="K244" s="40">
        <f t="shared" si="61"/>
        <v>-0.20435632753447031</v>
      </c>
      <c r="L244" s="40">
        <f t="shared" si="62"/>
        <v>0.86479883878700592</v>
      </c>
      <c r="M244" s="40">
        <f t="shared" si="63"/>
        <v>0.70904349708935732</v>
      </c>
      <c r="N244" s="35">
        <f t="shared" si="49"/>
        <v>3.3358908642769523</v>
      </c>
      <c r="O244" s="35">
        <f t="shared" si="50"/>
        <v>0.96563976334545243</v>
      </c>
      <c r="P244" s="36">
        <f t="shared" si="51"/>
        <v>1</v>
      </c>
      <c r="Q244" s="36">
        <f t="shared" si="52"/>
        <v>-3.4360236654547571E-2</v>
      </c>
      <c r="R244" s="37">
        <f t="shared" si="53"/>
        <v>1.1806258629565144E-3</v>
      </c>
      <c r="S244">
        <f>AVERAGE(R165:R244)</f>
        <v>2.4372194996393773E-2</v>
      </c>
      <c r="T244" s="31">
        <f t="shared" si="54"/>
        <v>-2.2801185578096984E-3</v>
      </c>
      <c r="U244" s="31">
        <f t="shared" si="55"/>
        <v>-1.2540652067953342E-2</v>
      </c>
      <c r="V244" s="31">
        <f t="shared" si="56"/>
        <v>-5.7002963945242463E-3</v>
      </c>
      <c r="W244" s="31">
        <f t="shared" si="57"/>
        <v>-9.1204742312387937E-3</v>
      </c>
      <c r="X244" s="31">
        <f t="shared" si="58"/>
        <v>-2.964154125152608E-3</v>
      </c>
    </row>
    <row r="245" spans="1:24" ht="14.25" customHeight="1" x14ac:dyDescent="0.25">
      <c r="A245" s="41" t="s">
        <v>35</v>
      </c>
      <c r="B245" s="38">
        <v>1</v>
      </c>
      <c r="C245" s="32">
        <v>5.0999999999999996</v>
      </c>
      <c r="D245" s="32">
        <v>3.5</v>
      </c>
      <c r="E245" s="32">
        <v>1.4</v>
      </c>
      <c r="F245" s="32">
        <v>0.2</v>
      </c>
      <c r="G245" s="39">
        <v>0</v>
      </c>
      <c r="H245">
        <f t="shared" si="48"/>
        <v>0</v>
      </c>
      <c r="I245" s="38">
        <f t="shared" si="59"/>
        <v>0.3104181109608144</v>
      </c>
      <c r="J245" s="40">
        <f t="shared" si="60"/>
        <v>-0.15226599249431258</v>
      </c>
      <c r="K245" s="40">
        <f t="shared" si="61"/>
        <v>-0.20378629789501787</v>
      </c>
      <c r="L245" s="40">
        <f t="shared" si="62"/>
        <v>0.86571088621012982</v>
      </c>
      <c r="M245" s="40">
        <f t="shared" si="63"/>
        <v>0.70933991250187256</v>
      </c>
      <c r="N245" s="35">
        <f t="shared" si="49"/>
        <v>0.17447272980181378</v>
      </c>
      <c r="O245" s="35">
        <f t="shared" si="50"/>
        <v>0.54350787077966289</v>
      </c>
      <c r="P245" s="36">
        <f t="shared" si="51"/>
        <v>1</v>
      </c>
      <c r="Q245" s="36">
        <f t="shared" si="52"/>
        <v>0.54350787077966289</v>
      </c>
      <c r="R245" s="37">
        <f t="shared" si="53"/>
        <v>0.29540080559944276</v>
      </c>
      <c r="T245" s="31">
        <f t="shared" si="54"/>
        <v>0.26969628544298502</v>
      </c>
      <c r="U245" s="31">
        <f t="shared" si="55"/>
        <v>1.3754510557592234</v>
      </c>
      <c r="V245" s="31">
        <f t="shared" si="56"/>
        <v>0.94393699905044759</v>
      </c>
      <c r="W245" s="31">
        <f t="shared" si="57"/>
        <v>0.37757479962017898</v>
      </c>
      <c r="X245" s="31">
        <f t="shared" si="58"/>
        <v>5.3939257088597009E-2</v>
      </c>
    </row>
    <row r="246" spans="1:24" ht="14.25" customHeight="1" x14ac:dyDescent="0.25">
      <c r="A246" s="41"/>
      <c r="B246" s="38">
        <v>2</v>
      </c>
      <c r="C246" s="32">
        <v>4.9000000000000004</v>
      </c>
      <c r="D246" s="32">
        <v>3</v>
      </c>
      <c r="E246" s="32">
        <v>1.4</v>
      </c>
      <c r="F246" s="32">
        <v>0.2</v>
      </c>
      <c r="G246" s="39">
        <v>0</v>
      </c>
      <c r="H246">
        <f t="shared" si="48"/>
        <v>1</v>
      </c>
      <c r="I246" s="38">
        <f t="shared" si="59"/>
        <v>0.28344848241651588</v>
      </c>
      <c r="J246" s="40">
        <f t="shared" si="60"/>
        <v>-0.28981109807023492</v>
      </c>
      <c r="K246" s="40">
        <f t="shared" si="61"/>
        <v>-0.29817999780006266</v>
      </c>
      <c r="L246" s="40">
        <f t="shared" si="62"/>
        <v>0.82795340624811187</v>
      </c>
      <c r="M246" s="40">
        <f t="shared" si="63"/>
        <v>0.7039459867930129</v>
      </c>
      <c r="N246" s="35">
        <f t="shared" si="49"/>
        <v>-0.73124192542186406</v>
      </c>
      <c r="O246" s="35">
        <f t="shared" si="50"/>
        <v>0.3249222546199656</v>
      </c>
      <c r="P246" s="36">
        <f t="shared" si="51"/>
        <v>0</v>
      </c>
      <c r="Q246" s="36">
        <f t="shared" si="52"/>
        <v>0.3249222546199656</v>
      </c>
      <c r="R246" s="37">
        <f t="shared" si="53"/>
        <v>0.10557447154732176</v>
      </c>
      <c r="T246" s="31">
        <f t="shared" si="54"/>
        <v>0.14254195244370912</v>
      </c>
      <c r="U246" s="31">
        <f t="shared" si="55"/>
        <v>0.69845556697417477</v>
      </c>
      <c r="V246" s="31">
        <f t="shared" si="56"/>
        <v>0.42762585733112735</v>
      </c>
      <c r="W246" s="31">
        <f t="shared" si="57"/>
        <v>0.19955873342119276</v>
      </c>
      <c r="X246" s="31">
        <f t="shared" si="58"/>
        <v>2.8508390488741826E-2</v>
      </c>
    </row>
    <row r="247" spans="1:24" ht="14.25" customHeight="1" x14ac:dyDescent="0.25">
      <c r="A247" s="41"/>
      <c r="B247" s="38">
        <v>3</v>
      </c>
      <c r="C247" s="32">
        <v>4.7</v>
      </c>
      <c r="D247" s="32">
        <v>3.2</v>
      </c>
      <c r="E247" s="32">
        <v>1.3</v>
      </c>
      <c r="F247" s="32">
        <v>0.2</v>
      </c>
      <c r="G247" s="39">
        <v>0</v>
      </c>
      <c r="H247">
        <f t="shared" si="48"/>
        <v>1</v>
      </c>
      <c r="I247" s="38">
        <f t="shared" si="59"/>
        <v>0.26919428717214494</v>
      </c>
      <c r="J247" s="40">
        <f t="shared" si="60"/>
        <v>-0.35965665476765241</v>
      </c>
      <c r="K247" s="40">
        <f t="shared" si="61"/>
        <v>-0.34094258353317541</v>
      </c>
      <c r="L247" s="40">
        <f t="shared" si="62"/>
        <v>0.80799753290599263</v>
      </c>
      <c r="M247" s="40">
        <f t="shared" si="63"/>
        <v>0.70109514774413872</v>
      </c>
      <c r="N247" s="35">
        <f t="shared" si="49"/>
        <v>-1.3215924352153645</v>
      </c>
      <c r="O247" s="35">
        <f t="shared" si="50"/>
        <v>0.21055347576114591</v>
      </c>
      <c r="P247" s="36">
        <f t="shared" si="51"/>
        <v>0</v>
      </c>
      <c r="Q247" s="36">
        <f t="shared" si="52"/>
        <v>0.21055347576114591</v>
      </c>
      <c r="R247" s="37">
        <f t="shared" si="53"/>
        <v>4.4332766155099457E-2</v>
      </c>
      <c r="T247" s="31">
        <f t="shared" si="54"/>
        <v>6.9996696302074349E-2</v>
      </c>
      <c r="U247" s="31">
        <f t="shared" si="55"/>
        <v>0.32898447261974945</v>
      </c>
      <c r="V247" s="31">
        <f t="shared" si="56"/>
        <v>0.22398942816663792</v>
      </c>
      <c r="W247" s="31">
        <f t="shared" si="57"/>
        <v>9.099570519269666E-2</v>
      </c>
      <c r="X247" s="31">
        <f t="shared" si="58"/>
        <v>1.399933926041487E-2</v>
      </c>
    </row>
    <row r="248" spans="1:24" ht="14.25" customHeight="1" x14ac:dyDescent="0.25">
      <c r="A248" s="41"/>
      <c r="B248" s="38">
        <v>4</v>
      </c>
      <c r="C248" s="32">
        <v>4.5999999999999996</v>
      </c>
      <c r="D248" s="32">
        <v>3.1</v>
      </c>
      <c r="E248" s="32">
        <v>1.5</v>
      </c>
      <c r="F248" s="32">
        <v>0.2</v>
      </c>
      <c r="G248" s="39">
        <v>0</v>
      </c>
      <c r="H248">
        <f t="shared" si="48"/>
        <v>1</v>
      </c>
      <c r="I248" s="38">
        <f t="shared" si="59"/>
        <v>0.26219461754193751</v>
      </c>
      <c r="J248" s="40">
        <f t="shared" si="60"/>
        <v>-0.39255510202962735</v>
      </c>
      <c r="K248" s="40">
        <f t="shared" si="61"/>
        <v>-0.36334152634983918</v>
      </c>
      <c r="L248" s="40">
        <f t="shared" si="62"/>
        <v>0.79889796238672295</v>
      </c>
      <c r="M248" s="40">
        <f t="shared" si="63"/>
        <v>0.69969521381809718</v>
      </c>
      <c r="N248" s="35">
        <f t="shared" si="49"/>
        <v>-1.3316315971351453</v>
      </c>
      <c r="O248" s="35">
        <f t="shared" si="50"/>
        <v>0.20888960798519945</v>
      </c>
      <c r="P248" s="36">
        <f t="shared" si="51"/>
        <v>0</v>
      </c>
      <c r="Q248" s="36">
        <f t="shared" si="52"/>
        <v>0.20888960798519945</v>
      </c>
      <c r="R248" s="37">
        <f t="shared" si="53"/>
        <v>4.3634868324210305E-2</v>
      </c>
      <c r="T248" s="31">
        <f t="shared" si="54"/>
        <v>6.9039995570960438E-2</v>
      </c>
      <c r="U248" s="31">
        <f t="shared" si="55"/>
        <v>0.31758397962641799</v>
      </c>
      <c r="V248" s="31">
        <f t="shared" si="56"/>
        <v>0.21402398626997737</v>
      </c>
      <c r="W248" s="31">
        <f t="shared" si="57"/>
        <v>0.10355999335644066</v>
      </c>
      <c r="X248" s="31">
        <f t="shared" si="58"/>
        <v>1.3807999114192088E-2</v>
      </c>
    </row>
    <row r="249" spans="1:24" ht="14.25" customHeight="1" x14ac:dyDescent="0.25">
      <c r="A249" s="41"/>
      <c r="B249" s="38">
        <v>5</v>
      </c>
      <c r="C249" s="32">
        <v>5</v>
      </c>
      <c r="D249" s="32">
        <v>3.6</v>
      </c>
      <c r="E249" s="32">
        <v>1.4</v>
      </c>
      <c r="F249" s="32">
        <v>0.2</v>
      </c>
      <c r="G249" s="39">
        <v>0</v>
      </c>
      <c r="H249">
        <f t="shared" si="48"/>
        <v>1</v>
      </c>
      <c r="I249" s="38">
        <f t="shared" si="59"/>
        <v>0.25529061798484148</v>
      </c>
      <c r="J249" s="40">
        <f t="shared" si="60"/>
        <v>-0.42431349999226914</v>
      </c>
      <c r="K249" s="40">
        <f t="shared" si="61"/>
        <v>-0.3847439249768369</v>
      </c>
      <c r="L249" s="40">
        <f t="shared" si="62"/>
        <v>0.78854196305107893</v>
      </c>
      <c r="M249" s="40">
        <f t="shared" si="63"/>
        <v>0.69831441390667792</v>
      </c>
      <c r="N249" s="35">
        <f t="shared" si="49"/>
        <v>-2.0077333808402709</v>
      </c>
      <c r="O249" s="35">
        <f t="shared" si="50"/>
        <v>0.11839335472839101</v>
      </c>
      <c r="P249" s="36">
        <f t="shared" si="51"/>
        <v>0</v>
      </c>
      <c r="Q249" s="36">
        <f t="shared" si="52"/>
        <v>0.11839335472839101</v>
      </c>
      <c r="R249" s="37">
        <f t="shared" si="53"/>
        <v>1.4016986443842624E-2</v>
      </c>
      <c r="T249" s="31">
        <f t="shared" si="54"/>
        <v>2.4714936791147436E-2</v>
      </c>
      <c r="U249" s="31">
        <f t="shared" si="55"/>
        <v>0.12357468395573717</v>
      </c>
      <c r="V249" s="31">
        <f t="shared" si="56"/>
        <v>8.8973772448130775E-2</v>
      </c>
      <c r="W249" s="31">
        <f t="shared" si="57"/>
        <v>3.4600911507606406E-2</v>
      </c>
      <c r="X249" s="31">
        <f t="shared" si="58"/>
        <v>4.9429873582294871E-3</v>
      </c>
    </row>
    <row r="250" spans="1:24" ht="14.25" customHeight="1" x14ac:dyDescent="0.25">
      <c r="A250" s="41"/>
      <c r="B250" s="38">
        <v>6</v>
      </c>
      <c r="C250" s="32">
        <v>5.4</v>
      </c>
      <c r="D250" s="32">
        <v>3.9</v>
      </c>
      <c r="E250" s="32">
        <v>1.7</v>
      </c>
      <c r="F250" s="32">
        <v>0.4</v>
      </c>
      <c r="G250" s="39">
        <v>0</v>
      </c>
      <c r="H250">
        <f t="shared" si="48"/>
        <v>1</v>
      </c>
      <c r="I250" s="38">
        <f t="shared" si="59"/>
        <v>0.25281912430572673</v>
      </c>
      <c r="J250" s="40">
        <f t="shared" si="60"/>
        <v>-0.43667096838784286</v>
      </c>
      <c r="K250" s="40">
        <f t="shared" si="61"/>
        <v>-0.39364130222165</v>
      </c>
      <c r="L250" s="40">
        <f t="shared" si="62"/>
        <v>0.78508187190031831</v>
      </c>
      <c r="M250" s="40">
        <f t="shared" si="63"/>
        <v>0.69782011517085496</v>
      </c>
      <c r="N250" s="35">
        <f t="shared" si="49"/>
        <v>-2.0266379553541771</v>
      </c>
      <c r="O250" s="35">
        <f t="shared" si="50"/>
        <v>0.11643435468336744</v>
      </c>
      <c r="P250" s="36">
        <f t="shared" si="51"/>
        <v>0</v>
      </c>
      <c r="Q250" s="36">
        <f t="shared" si="52"/>
        <v>0.11643435468336744</v>
      </c>
      <c r="R250" s="37">
        <f t="shared" si="53"/>
        <v>1.3556958950532208E-2</v>
      </c>
      <c r="T250" s="31">
        <f t="shared" si="54"/>
        <v>2.3956926367316174E-2</v>
      </c>
      <c r="U250" s="31">
        <f t="shared" si="55"/>
        <v>0.12936740238350736</v>
      </c>
      <c r="V250" s="31">
        <f t="shared" si="56"/>
        <v>9.3432012832533079E-2</v>
      </c>
      <c r="W250" s="31">
        <f t="shared" si="57"/>
        <v>4.0726774824437498E-2</v>
      </c>
      <c r="X250" s="31">
        <f t="shared" si="58"/>
        <v>9.5827705469264703E-3</v>
      </c>
    </row>
    <row r="251" spans="1:24" ht="14.25" customHeight="1" x14ac:dyDescent="0.25">
      <c r="A251" s="41"/>
      <c r="B251" s="38">
        <v>7</v>
      </c>
      <c r="C251" s="32">
        <v>4.5999999999999996</v>
      </c>
      <c r="D251" s="32">
        <v>3.4</v>
      </c>
      <c r="E251" s="32">
        <v>1.4</v>
      </c>
      <c r="F251" s="32">
        <v>0.3</v>
      </c>
      <c r="G251" s="39">
        <v>0</v>
      </c>
      <c r="H251">
        <f t="shared" si="48"/>
        <v>1</v>
      </c>
      <c r="I251" s="38">
        <f t="shared" si="59"/>
        <v>0.25042343166899511</v>
      </c>
      <c r="J251" s="40">
        <f t="shared" si="60"/>
        <v>-0.44960770862619359</v>
      </c>
      <c r="K251" s="40">
        <f t="shared" si="61"/>
        <v>-0.40298450350490334</v>
      </c>
      <c r="L251" s="40">
        <f t="shared" si="62"/>
        <v>0.78100919441787453</v>
      </c>
      <c r="M251" s="40">
        <f t="shared" si="63"/>
        <v>0.69686183811616231</v>
      </c>
      <c r="N251" s="35">
        <f t="shared" si="49"/>
        <v>-1.8854479163082933</v>
      </c>
      <c r="O251" s="35">
        <f t="shared" si="50"/>
        <v>0.13176436690698717</v>
      </c>
      <c r="P251" s="36">
        <f t="shared" si="51"/>
        <v>0</v>
      </c>
      <c r="Q251" s="36">
        <f t="shared" si="52"/>
        <v>0.13176436690698717</v>
      </c>
      <c r="R251" s="37">
        <f t="shared" si="53"/>
        <v>1.7361848386399138E-2</v>
      </c>
      <c r="T251" s="31">
        <f t="shared" si="54"/>
        <v>3.0148350850860314E-2</v>
      </c>
      <c r="U251" s="31">
        <f t="shared" si="55"/>
        <v>0.13868241391395744</v>
      </c>
      <c r="V251" s="31">
        <f t="shared" si="56"/>
        <v>0.10250439289292507</v>
      </c>
      <c r="W251" s="31">
        <f t="shared" si="57"/>
        <v>4.220769119120444E-2</v>
      </c>
      <c r="X251" s="31">
        <f t="shared" si="58"/>
        <v>9.0445052552580937E-3</v>
      </c>
    </row>
    <row r="252" spans="1:24" ht="14.25" customHeight="1" x14ac:dyDescent="0.25">
      <c r="A252" s="41"/>
      <c r="B252" s="38">
        <v>8</v>
      </c>
      <c r="C252" s="32">
        <v>5</v>
      </c>
      <c r="D252" s="32">
        <v>3.4</v>
      </c>
      <c r="E252" s="32">
        <v>1.5</v>
      </c>
      <c r="F252" s="32">
        <v>0.2</v>
      </c>
      <c r="G252" s="39">
        <v>0</v>
      </c>
      <c r="H252">
        <f t="shared" si="48"/>
        <v>1</v>
      </c>
      <c r="I252" s="38">
        <f t="shared" si="59"/>
        <v>0.24740859658390907</v>
      </c>
      <c r="J252" s="40">
        <f t="shared" si="60"/>
        <v>-0.46347595001758934</v>
      </c>
      <c r="K252" s="40">
        <f t="shared" si="61"/>
        <v>-0.41323494279419581</v>
      </c>
      <c r="L252" s="40">
        <f t="shared" si="62"/>
        <v>0.77678842529875414</v>
      </c>
      <c r="M252" s="40">
        <f t="shared" si="63"/>
        <v>0.69595738759063652</v>
      </c>
      <c r="N252" s="35">
        <f t="shared" si="49"/>
        <v>-2.1705958435380448</v>
      </c>
      <c r="O252" s="35">
        <f t="shared" si="50"/>
        <v>0.10242224342135788</v>
      </c>
      <c r="P252" s="36">
        <f t="shared" si="51"/>
        <v>0</v>
      </c>
      <c r="Q252" s="36">
        <f t="shared" si="52"/>
        <v>0.10242224342135788</v>
      </c>
      <c r="R252" s="37">
        <f t="shared" si="53"/>
        <v>1.0490315947463887E-2</v>
      </c>
      <c r="T252" s="31">
        <f t="shared" si="54"/>
        <v>1.8831748507851576E-2</v>
      </c>
      <c r="U252" s="31">
        <f t="shared" si="55"/>
        <v>9.4158742539257878E-2</v>
      </c>
      <c r="V252" s="31">
        <f t="shared" si="56"/>
        <v>6.4027944926695349E-2</v>
      </c>
      <c r="W252" s="31">
        <f t="shared" si="57"/>
        <v>2.8247622761777363E-2</v>
      </c>
      <c r="X252" s="31">
        <f t="shared" si="58"/>
        <v>3.7663497015703153E-3</v>
      </c>
    </row>
    <row r="253" spans="1:24" ht="14.25" customHeight="1" x14ac:dyDescent="0.25">
      <c r="A253" s="41"/>
      <c r="B253" s="38">
        <v>9</v>
      </c>
      <c r="C253" s="32">
        <v>4.4000000000000004</v>
      </c>
      <c r="D253" s="32">
        <v>2.9</v>
      </c>
      <c r="E253" s="32">
        <v>1.4</v>
      </c>
      <c r="F253" s="32">
        <v>0.2</v>
      </c>
      <c r="G253" s="39">
        <v>0</v>
      </c>
      <c r="H253">
        <f t="shared" si="48"/>
        <v>1</v>
      </c>
      <c r="I253" s="38">
        <f t="shared" si="59"/>
        <v>0.24552542173312392</v>
      </c>
      <c r="J253" s="40">
        <f t="shared" si="60"/>
        <v>-0.4728918242715151</v>
      </c>
      <c r="K253" s="40">
        <f t="shared" si="61"/>
        <v>-0.41963773728686538</v>
      </c>
      <c r="L253" s="40">
        <f t="shared" si="62"/>
        <v>0.77396366302257635</v>
      </c>
      <c r="M253" s="40">
        <f t="shared" si="63"/>
        <v>0.69558075262047947</v>
      </c>
      <c r="N253" s="35">
        <f t="shared" si="49"/>
        <v>-1.8294827644377496</v>
      </c>
      <c r="O253" s="35">
        <f t="shared" si="50"/>
        <v>0.13829990217526331</v>
      </c>
      <c r="P253" s="36">
        <f t="shared" si="51"/>
        <v>0</v>
      </c>
      <c r="Q253" s="36">
        <f t="shared" si="52"/>
        <v>0.13829990217526331</v>
      </c>
      <c r="R253" s="37">
        <f t="shared" si="53"/>
        <v>1.91268629416874E-2</v>
      </c>
      <c r="T253" s="31">
        <f t="shared" si="54"/>
        <v>3.296323933586473E-2</v>
      </c>
      <c r="U253" s="31">
        <f t="shared" si="55"/>
        <v>0.14503825307780482</v>
      </c>
      <c r="V253" s="31">
        <f t="shared" si="56"/>
        <v>9.5593394074007715E-2</v>
      </c>
      <c r="W253" s="31">
        <f t="shared" si="57"/>
        <v>4.614853507021062E-2</v>
      </c>
      <c r="X253" s="31">
        <f t="shared" si="58"/>
        <v>6.5926478671729464E-3</v>
      </c>
    </row>
    <row r="254" spans="1:24" ht="14.25" customHeight="1" x14ac:dyDescent="0.25">
      <c r="A254" s="41"/>
      <c r="B254" s="38">
        <v>10</v>
      </c>
      <c r="C254" s="32">
        <v>4.9000000000000004</v>
      </c>
      <c r="D254" s="32">
        <v>3.1</v>
      </c>
      <c r="E254" s="32">
        <v>1.5</v>
      </c>
      <c r="F254" s="32">
        <v>0.1</v>
      </c>
      <c r="G254" s="39">
        <v>0</v>
      </c>
      <c r="H254">
        <f t="shared" si="48"/>
        <v>1</v>
      </c>
      <c r="I254" s="38">
        <f t="shared" si="59"/>
        <v>0.24222909779953744</v>
      </c>
      <c r="J254" s="40">
        <f t="shared" si="60"/>
        <v>-0.4873956495792956</v>
      </c>
      <c r="K254" s="40">
        <f t="shared" si="61"/>
        <v>-0.42919707669426616</v>
      </c>
      <c r="L254" s="40">
        <f t="shared" si="62"/>
        <v>0.76934880951555529</v>
      </c>
      <c r="M254" s="40">
        <f t="shared" si="63"/>
        <v>0.69492148783376217</v>
      </c>
      <c r="N254" s="35">
        <f t="shared" si="49"/>
        <v>-2.2530051598345273</v>
      </c>
      <c r="O254" s="35">
        <f t="shared" si="50"/>
        <v>9.5090561021259484E-2</v>
      </c>
      <c r="P254" s="36">
        <f t="shared" si="51"/>
        <v>0</v>
      </c>
      <c r="Q254" s="36">
        <f t="shared" si="52"/>
        <v>9.5090561021259484E-2</v>
      </c>
      <c r="R254" s="37">
        <f t="shared" si="53"/>
        <v>9.0422147953378735E-3</v>
      </c>
      <c r="T254" s="31">
        <f t="shared" si="54"/>
        <v>1.6364771035148926E-2</v>
      </c>
      <c r="U254" s="31">
        <f t="shared" si="55"/>
        <v>8.018737807222974E-2</v>
      </c>
      <c r="V254" s="31">
        <f t="shared" si="56"/>
        <v>5.0730790208961672E-2</v>
      </c>
      <c r="W254" s="31">
        <f t="shared" si="57"/>
        <v>2.4547156552723388E-2</v>
      </c>
      <c r="X254" s="31">
        <f t="shared" si="58"/>
        <v>1.6364771035148927E-3</v>
      </c>
    </row>
    <row r="255" spans="1:24" ht="14.25" customHeight="1" x14ac:dyDescent="0.25">
      <c r="A255" s="41"/>
      <c r="B255" s="38">
        <v>11</v>
      </c>
      <c r="C255" s="32">
        <v>5.4</v>
      </c>
      <c r="D255" s="32">
        <v>3.7</v>
      </c>
      <c r="E255" s="32">
        <v>1.5</v>
      </c>
      <c r="F255" s="32">
        <v>0.2</v>
      </c>
      <c r="G255" s="39">
        <v>0</v>
      </c>
      <c r="H255">
        <f t="shared" si="48"/>
        <v>1</v>
      </c>
      <c r="I255" s="38">
        <f t="shared" si="59"/>
        <v>0.24059262069602255</v>
      </c>
      <c r="J255" s="40">
        <f t="shared" si="60"/>
        <v>-0.49541438738651855</v>
      </c>
      <c r="K255" s="40">
        <f t="shared" si="61"/>
        <v>-0.43427015571516231</v>
      </c>
      <c r="L255" s="40">
        <f t="shared" si="62"/>
        <v>0.76689409386028295</v>
      </c>
      <c r="M255" s="40">
        <f t="shared" si="63"/>
        <v>0.69475784012341069</v>
      </c>
      <c r="N255" s="35">
        <f t="shared" si="49"/>
        <v>-2.7521519385221724</v>
      </c>
      <c r="O255" s="35">
        <f t="shared" si="50"/>
        <v>5.9965231757170195E-2</v>
      </c>
      <c r="P255" s="36">
        <f t="shared" si="51"/>
        <v>0</v>
      </c>
      <c r="Q255" s="36">
        <f t="shared" si="52"/>
        <v>5.9965231757170195E-2</v>
      </c>
      <c r="R255" s="37">
        <f t="shared" si="53"/>
        <v>3.5958290196911329E-3</v>
      </c>
      <c r="T255" s="31">
        <f t="shared" si="54"/>
        <v>6.7604085983323922E-3</v>
      </c>
      <c r="U255" s="31">
        <f t="shared" si="55"/>
        <v>3.650620643099492E-2</v>
      </c>
      <c r="V255" s="31">
        <f t="shared" si="56"/>
        <v>2.5013511813829853E-2</v>
      </c>
      <c r="W255" s="31">
        <f t="shared" si="57"/>
        <v>1.0140612897498588E-2</v>
      </c>
      <c r="X255" s="31">
        <f t="shared" si="58"/>
        <v>1.3520817196664785E-3</v>
      </c>
    </row>
    <row r="256" spans="1:24" ht="14.25" customHeight="1" x14ac:dyDescent="0.25">
      <c r="A256" s="41"/>
      <c r="B256" s="38">
        <v>12</v>
      </c>
      <c r="C256" s="32">
        <v>4.8</v>
      </c>
      <c r="D256" s="32">
        <v>3.4</v>
      </c>
      <c r="E256" s="32">
        <v>1.6</v>
      </c>
      <c r="F256" s="32">
        <v>0.2</v>
      </c>
      <c r="G256" s="39">
        <v>0</v>
      </c>
      <c r="H256">
        <f t="shared" si="48"/>
        <v>1</v>
      </c>
      <c r="I256" s="38">
        <f t="shared" si="59"/>
        <v>0.2399165798361893</v>
      </c>
      <c r="J256" s="40">
        <f t="shared" si="60"/>
        <v>-0.49906500802961806</v>
      </c>
      <c r="K256" s="40">
        <f t="shared" si="61"/>
        <v>-0.43677150689654531</v>
      </c>
      <c r="L256" s="40">
        <f t="shared" si="62"/>
        <v>0.76588003257053305</v>
      </c>
      <c r="M256" s="40">
        <f t="shared" si="63"/>
        <v>0.69462263195144403</v>
      </c>
      <c r="N256" s="35">
        <f t="shared" si="49"/>
        <v>-2.2762860036510895</v>
      </c>
      <c r="O256" s="35">
        <f t="shared" si="50"/>
        <v>9.3106079522914081E-2</v>
      </c>
      <c r="P256" s="36">
        <f t="shared" si="51"/>
        <v>0</v>
      </c>
      <c r="Q256" s="36">
        <f t="shared" si="52"/>
        <v>9.3106079522914081E-2</v>
      </c>
      <c r="R256" s="37">
        <f t="shared" si="53"/>
        <v>8.6687420441272003E-3</v>
      </c>
      <c r="T256" s="31">
        <f t="shared" si="54"/>
        <v>1.5723258916006132E-2</v>
      </c>
      <c r="U256" s="31">
        <f t="shared" si="55"/>
        <v>7.5471642796829427E-2</v>
      </c>
      <c r="V256" s="31">
        <f t="shared" si="56"/>
        <v>5.345908031442085E-2</v>
      </c>
      <c r="W256" s="31">
        <f t="shared" si="57"/>
        <v>2.5157214265609813E-2</v>
      </c>
      <c r="X256" s="31">
        <f t="shared" si="58"/>
        <v>3.1446517832012266E-3</v>
      </c>
    </row>
    <row r="257" spans="1:24" ht="14.25" customHeight="1" x14ac:dyDescent="0.25">
      <c r="A257" s="41"/>
      <c r="B257" s="38">
        <v>13</v>
      </c>
      <c r="C257" s="32">
        <v>4.8</v>
      </c>
      <c r="D257" s="32">
        <v>3</v>
      </c>
      <c r="E257" s="32">
        <v>1.4</v>
      </c>
      <c r="F257" s="32">
        <v>0.1</v>
      </c>
      <c r="G257" s="39">
        <v>0</v>
      </c>
      <c r="H257">
        <f t="shared" si="48"/>
        <v>1</v>
      </c>
      <c r="I257" s="38">
        <f t="shared" si="59"/>
        <v>0.23834425394458869</v>
      </c>
      <c r="J257" s="40">
        <f t="shared" si="60"/>
        <v>-0.506612172309301</v>
      </c>
      <c r="K257" s="40">
        <f t="shared" si="61"/>
        <v>-0.4421174149279874</v>
      </c>
      <c r="L257" s="40">
        <f t="shared" si="62"/>
        <v>0.76336431114397207</v>
      </c>
      <c r="M257" s="40">
        <f t="shared" si="63"/>
        <v>0.6943081667731239</v>
      </c>
      <c r="N257" s="35">
        <f t="shared" si="49"/>
        <v>-2.3816055656451449</v>
      </c>
      <c r="O257" s="35">
        <f t="shared" si="50"/>
        <v>8.4586161679100796E-2</v>
      </c>
      <c r="P257" s="36">
        <f t="shared" si="51"/>
        <v>0</v>
      </c>
      <c r="Q257" s="36">
        <f t="shared" si="52"/>
        <v>8.4586161679100796E-2</v>
      </c>
      <c r="R257" s="37">
        <f t="shared" si="53"/>
        <v>7.1548187476029798E-3</v>
      </c>
      <c r="T257" s="31">
        <f t="shared" si="54"/>
        <v>1.3099240184467145E-2</v>
      </c>
      <c r="U257" s="31">
        <f t="shared" si="55"/>
        <v>6.2876352885442285E-2</v>
      </c>
      <c r="V257" s="31">
        <f t="shared" si="56"/>
        <v>3.929772055340143E-2</v>
      </c>
      <c r="W257" s="31">
        <f t="shared" si="57"/>
        <v>1.8338936258254002E-2</v>
      </c>
      <c r="X257" s="31">
        <f t="shared" si="58"/>
        <v>1.3099240184467145E-3</v>
      </c>
    </row>
    <row r="258" spans="1:24" ht="14.25" customHeight="1" x14ac:dyDescent="0.25">
      <c r="A258" s="41"/>
      <c r="B258" s="38">
        <v>14</v>
      </c>
      <c r="C258" s="32">
        <v>4.3</v>
      </c>
      <c r="D258" s="32">
        <v>3</v>
      </c>
      <c r="E258" s="32">
        <v>1.1000000000000001</v>
      </c>
      <c r="F258" s="32">
        <v>0.1</v>
      </c>
      <c r="G258" s="39">
        <v>0</v>
      </c>
      <c r="H258">
        <f t="shared" si="48"/>
        <v>1</v>
      </c>
      <c r="I258" s="38">
        <f t="shared" si="59"/>
        <v>0.23703432992614198</v>
      </c>
      <c r="J258" s="40">
        <f t="shared" si="60"/>
        <v>-0.51289980759784526</v>
      </c>
      <c r="K258" s="40">
        <f t="shared" si="61"/>
        <v>-0.44604718698332751</v>
      </c>
      <c r="L258" s="40">
        <f t="shared" si="62"/>
        <v>0.76153041751814665</v>
      </c>
      <c r="M258" s="40">
        <f t="shared" si="63"/>
        <v>0.69417717437127924</v>
      </c>
      <c r="N258" s="35">
        <f t="shared" si="49"/>
        <v>-2.3994752269874859</v>
      </c>
      <c r="O258" s="35">
        <f t="shared" si="50"/>
        <v>8.3212721813702761E-2</v>
      </c>
      <c r="P258" s="36">
        <f t="shared" si="51"/>
        <v>0</v>
      </c>
      <c r="Q258" s="36">
        <f t="shared" si="52"/>
        <v>8.3212721813702761E-2</v>
      </c>
      <c r="R258" s="37">
        <f t="shared" si="53"/>
        <v>6.9243570716446831E-3</v>
      </c>
      <c r="T258" s="31">
        <f t="shared" si="54"/>
        <v>1.2696324945806338E-2</v>
      </c>
      <c r="U258" s="31">
        <f t="shared" si="55"/>
        <v>5.4594197266967251E-2</v>
      </c>
      <c r="V258" s="31">
        <f t="shared" si="56"/>
        <v>3.8088974837419014E-2</v>
      </c>
      <c r="W258" s="31">
        <f t="shared" si="57"/>
        <v>1.3965957440386973E-2</v>
      </c>
      <c r="X258" s="31">
        <f t="shared" si="58"/>
        <v>1.269632494580634E-3</v>
      </c>
    </row>
    <row r="259" spans="1:24" ht="14.25" customHeight="1" x14ac:dyDescent="0.25">
      <c r="A259" s="41"/>
      <c r="B259" s="38">
        <v>15</v>
      </c>
      <c r="C259" s="32">
        <v>5.8</v>
      </c>
      <c r="D259" s="32">
        <v>4</v>
      </c>
      <c r="E259" s="32">
        <v>1.2</v>
      </c>
      <c r="F259" s="32">
        <v>0.2</v>
      </c>
      <c r="G259" s="39">
        <v>0</v>
      </c>
      <c r="H259">
        <f t="shared" si="48"/>
        <v>1</v>
      </c>
      <c r="I259" s="38">
        <f t="shared" si="59"/>
        <v>0.23576469743156134</v>
      </c>
      <c r="J259" s="40">
        <f t="shared" si="60"/>
        <v>-0.51835922732454198</v>
      </c>
      <c r="K259" s="40">
        <f t="shared" si="61"/>
        <v>-0.44985608446706943</v>
      </c>
      <c r="L259" s="40">
        <f t="shared" si="62"/>
        <v>0.76013382177410793</v>
      </c>
      <c r="M259" s="40">
        <f t="shared" si="63"/>
        <v>0.69405021112182119</v>
      </c>
      <c r="N259" s="35">
        <f t="shared" si="49"/>
        <v>-3.5191725305657662</v>
      </c>
      <c r="O259" s="35">
        <f t="shared" si="50"/>
        <v>2.8771609556309946E-2</v>
      </c>
      <c r="P259" s="36">
        <f t="shared" si="51"/>
        <v>0</v>
      </c>
      <c r="Q259" s="36">
        <f t="shared" si="52"/>
        <v>2.8771609556309946E-2</v>
      </c>
      <c r="R259" s="37">
        <f t="shared" si="53"/>
        <v>8.2780551646074584E-4</v>
      </c>
      <c r="T259" s="31">
        <f t="shared" si="54"/>
        <v>1.6079764387051554E-3</v>
      </c>
      <c r="U259" s="31">
        <f t="shared" si="55"/>
        <v>9.3262633444899014E-3</v>
      </c>
      <c r="V259" s="31">
        <f t="shared" si="56"/>
        <v>6.4319057548206217E-3</v>
      </c>
      <c r="W259" s="31">
        <f t="shared" si="57"/>
        <v>1.9295717264461863E-3</v>
      </c>
      <c r="X259" s="31">
        <f t="shared" si="58"/>
        <v>3.2159528774103113E-4</v>
      </c>
    </row>
    <row r="260" spans="1:24" ht="14.25" customHeight="1" x14ac:dyDescent="0.25">
      <c r="A260" s="41"/>
      <c r="B260" s="38">
        <v>16</v>
      </c>
      <c r="C260" s="32">
        <v>5.7</v>
      </c>
      <c r="D260" s="32">
        <v>4.4000000000000004</v>
      </c>
      <c r="E260" s="32">
        <v>1.5</v>
      </c>
      <c r="F260" s="32">
        <v>0.4</v>
      </c>
      <c r="G260" s="39">
        <v>0</v>
      </c>
      <c r="H260">
        <f t="shared" si="48"/>
        <v>1</v>
      </c>
      <c r="I260" s="38">
        <f t="shared" si="59"/>
        <v>0.23560389978769083</v>
      </c>
      <c r="J260" s="40">
        <f t="shared" si="60"/>
        <v>-0.519291853658991</v>
      </c>
      <c r="K260" s="40">
        <f t="shared" si="61"/>
        <v>-0.45049927504255149</v>
      </c>
      <c r="L260" s="40">
        <f t="shared" si="62"/>
        <v>0.75994086460146326</v>
      </c>
      <c r="M260" s="40">
        <f t="shared" si="63"/>
        <v>0.69401805159304708</v>
      </c>
      <c r="N260" s="35">
        <f t="shared" si="49"/>
        <v>-3.2890379587163703</v>
      </c>
      <c r="O260" s="35">
        <f t="shared" si="50"/>
        <v>3.5949172302635148E-2</v>
      </c>
      <c r="P260" s="36">
        <f t="shared" si="51"/>
        <v>0</v>
      </c>
      <c r="Q260" s="36">
        <f t="shared" si="52"/>
        <v>3.5949172302635148E-2</v>
      </c>
      <c r="R260" s="37">
        <f t="shared" si="53"/>
        <v>1.2923429892445501E-3</v>
      </c>
      <c r="T260" s="31">
        <f t="shared" si="54"/>
        <v>2.4917686569001902E-3</v>
      </c>
      <c r="U260" s="31">
        <f t="shared" si="55"/>
        <v>1.4203081344331084E-2</v>
      </c>
      <c r="V260" s="31">
        <f t="shared" si="56"/>
        <v>1.0963782090360837E-2</v>
      </c>
      <c r="W260" s="31">
        <f t="shared" si="57"/>
        <v>3.737652985350285E-3</v>
      </c>
      <c r="X260" s="31">
        <f t="shared" si="58"/>
        <v>9.9670746276007602E-4</v>
      </c>
    </row>
    <row r="261" spans="1:24" ht="14.25" customHeight="1" x14ac:dyDescent="0.25">
      <c r="A261" s="41"/>
      <c r="B261" s="38">
        <v>17</v>
      </c>
      <c r="C261" s="32">
        <v>5.4</v>
      </c>
      <c r="D261" s="32">
        <v>3.9</v>
      </c>
      <c r="E261" s="32">
        <v>1.3</v>
      </c>
      <c r="F261" s="32">
        <v>0.4</v>
      </c>
      <c r="G261" s="39">
        <v>0</v>
      </c>
      <c r="H261">
        <f t="shared" ref="H261:H324" si="64">IF(G261=P261, 1, 0)</f>
        <v>1</v>
      </c>
      <c r="I261" s="38">
        <f t="shared" si="59"/>
        <v>0.23535472292200083</v>
      </c>
      <c r="J261" s="40">
        <f t="shared" si="60"/>
        <v>-0.52071216179342406</v>
      </c>
      <c r="K261" s="40">
        <f t="shared" si="61"/>
        <v>-0.45159565325158757</v>
      </c>
      <c r="L261" s="40">
        <f t="shared" si="62"/>
        <v>0.75956709930292821</v>
      </c>
      <c r="M261" s="40">
        <f t="shared" si="63"/>
        <v>0.69391838084677104</v>
      </c>
      <c r="N261" s="35">
        <f t="shared" ref="N261:N324" si="65">I261+J261*C261+K261*D261+L261*E261+F261*M261</f>
        <v>-3.0727094170111653</v>
      </c>
      <c r="O261" s="35">
        <f t="shared" ref="O261:O324" si="66">1/(1+EXP(-N261))</f>
        <v>4.4247106649733449E-2</v>
      </c>
      <c r="P261" s="36">
        <f t="shared" ref="P261:P324" si="67">IF(O261&gt;0.5,1,0)</f>
        <v>0</v>
      </c>
      <c r="Q261" s="36">
        <f t="shared" ref="Q261:Q324" si="68">O261-G261</f>
        <v>4.4247106649733449E-2</v>
      </c>
      <c r="R261" s="37">
        <f t="shared" ref="R261:R324" si="69">Q261^2</f>
        <v>1.9578064468728858E-3</v>
      </c>
      <c r="T261" s="31">
        <f t="shared" ref="T261:T324" si="70">2*(O261-G261)*(1-O261)*O261</f>
        <v>3.7423583524371314E-3</v>
      </c>
      <c r="U261" s="31">
        <f t="shared" ref="U261:U324" si="71">2*(O261-G261)*(1-O261)*O261*C261</f>
        <v>2.020873510316051E-2</v>
      </c>
      <c r="V261" s="31">
        <f t="shared" ref="V261:V324" si="72">2*(O261-G261)*(1-O261)*O261*D261</f>
        <v>1.4595197574504813E-2</v>
      </c>
      <c r="W261" s="31">
        <f t="shared" ref="W261:W324" si="73">2*(O261-G261)*(1-O261)*O261*E261</f>
        <v>4.8650658581682708E-3</v>
      </c>
      <c r="X261" s="31">
        <f t="shared" ref="X261:X324" si="74">2*(O261-G261)*(1-O261)*O261*F261</f>
        <v>1.4969433409748527E-3</v>
      </c>
    </row>
    <row r="262" spans="1:24" ht="14.25" customHeight="1" x14ac:dyDescent="0.25">
      <c r="A262" s="41"/>
      <c r="B262" s="38">
        <v>18</v>
      </c>
      <c r="C262" s="32">
        <v>5.0999999999999996</v>
      </c>
      <c r="D262" s="32">
        <v>3.5</v>
      </c>
      <c r="E262" s="32">
        <v>1.4</v>
      </c>
      <c r="F262" s="32">
        <v>0.3</v>
      </c>
      <c r="G262" s="39">
        <v>0</v>
      </c>
      <c r="H262">
        <f t="shared" si="64"/>
        <v>1</v>
      </c>
      <c r="I262" s="38">
        <f t="shared" ref="I262:I325" si="75">I261-0.1*T261</f>
        <v>0.23498048708675712</v>
      </c>
      <c r="J262" s="40">
        <f t="shared" ref="J262:J325" si="76">J261-0.1*U261</f>
        <v>-0.52273303530374016</v>
      </c>
      <c r="K262" s="40">
        <f t="shared" ref="K262:K325" si="77">K261-0.1*V261</f>
        <v>-0.45305517300903803</v>
      </c>
      <c r="L262" s="40">
        <f t="shared" ref="L262:L325" si="78">L261-0.1*W261</f>
        <v>0.75908059271711137</v>
      </c>
      <c r="M262" s="40">
        <f t="shared" ref="M262:M325" si="79">M261-0.1*X261</f>
        <v>0.69376868651267354</v>
      </c>
      <c r="N262" s="35">
        <f t="shared" si="65"/>
        <v>-2.7458076627361927</v>
      </c>
      <c r="O262" s="35">
        <f t="shared" si="66"/>
        <v>6.0323854759678643E-2</v>
      </c>
      <c r="P262" s="36">
        <f t="shared" si="67"/>
        <v>0</v>
      </c>
      <c r="Q262" s="36">
        <f t="shared" si="68"/>
        <v>6.0323854759678643E-2</v>
      </c>
      <c r="R262" s="37">
        <f t="shared" si="69"/>
        <v>3.6389674530668036E-3</v>
      </c>
      <c r="T262" s="31">
        <f t="shared" si="70"/>
        <v>6.8389018179056084E-3</v>
      </c>
      <c r="U262" s="31">
        <f t="shared" si="71"/>
        <v>3.4878399271318597E-2</v>
      </c>
      <c r="V262" s="31">
        <f t="shared" si="72"/>
        <v>2.3936156362669631E-2</v>
      </c>
      <c r="W262" s="31">
        <f t="shared" si="73"/>
        <v>9.5744625450678508E-3</v>
      </c>
      <c r="X262" s="31">
        <f t="shared" si="74"/>
        <v>2.0516705453716825E-3</v>
      </c>
    </row>
    <row r="263" spans="1:24" ht="14.25" customHeight="1" x14ac:dyDescent="0.25">
      <c r="A263" s="41"/>
      <c r="B263" s="38">
        <v>19</v>
      </c>
      <c r="C263" s="32">
        <v>5.7</v>
      </c>
      <c r="D263" s="32">
        <v>3.8</v>
      </c>
      <c r="E263" s="32">
        <v>1.7</v>
      </c>
      <c r="F263" s="32">
        <v>0.3</v>
      </c>
      <c r="G263" s="39">
        <v>0</v>
      </c>
      <c r="H263">
        <f t="shared" si="64"/>
        <v>1</v>
      </c>
      <c r="I263" s="38">
        <f t="shared" si="75"/>
        <v>0.23429659690496657</v>
      </c>
      <c r="J263" s="40">
        <f t="shared" si="76"/>
        <v>-0.52622087523087202</v>
      </c>
      <c r="K263" s="40">
        <f t="shared" si="77"/>
        <v>-0.45544878864530497</v>
      </c>
      <c r="L263" s="40">
        <f t="shared" si="78"/>
        <v>0.75812314646260459</v>
      </c>
      <c r="M263" s="40">
        <f t="shared" si="79"/>
        <v>0.69356351945813632</v>
      </c>
      <c r="N263" s="35">
        <f t="shared" si="65"/>
        <v>-2.998989383939294</v>
      </c>
      <c r="O263" s="35">
        <f t="shared" si="66"/>
        <v>4.7471550323324903E-2</v>
      </c>
      <c r="P263" s="36">
        <f t="shared" si="67"/>
        <v>0</v>
      </c>
      <c r="Q263" s="36">
        <f t="shared" si="68"/>
        <v>4.7471550323324903E-2</v>
      </c>
      <c r="R263" s="37">
        <f t="shared" si="69"/>
        <v>2.2535480900999689E-3</v>
      </c>
      <c r="T263" s="31">
        <f t="shared" si="70"/>
        <v>4.2931373370695101E-3</v>
      </c>
      <c r="U263" s="31">
        <f t="shared" si="71"/>
        <v>2.4470882821296207E-2</v>
      </c>
      <c r="V263" s="31">
        <f t="shared" si="72"/>
        <v>1.6313921880864137E-2</v>
      </c>
      <c r="W263" s="31">
        <f t="shared" si="73"/>
        <v>7.2983334730181669E-3</v>
      </c>
      <c r="X263" s="31">
        <f t="shared" si="74"/>
        <v>1.287941201120853E-3</v>
      </c>
    </row>
    <row r="264" spans="1:24" ht="14.25" customHeight="1" x14ac:dyDescent="0.25">
      <c r="A264" s="41"/>
      <c r="B264" s="38">
        <v>20</v>
      </c>
      <c r="C264" s="32">
        <v>5.0999999999999996</v>
      </c>
      <c r="D264" s="32">
        <v>3.8</v>
      </c>
      <c r="E264" s="32">
        <v>1.5</v>
      </c>
      <c r="F264" s="32">
        <v>0.3</v>
      </c>
      <c r="G264" s="39">
        <v>0</v>
      </c>
      <c r="H264">
        <f t="shared" si="64"/>
        <v>1</v>
      </c>
      <c r="I264" s="38">
        <f t="shared" si="75"/>
        <v>0.23386728317125963</v>
      </c>
      <c r="J264" s="40">
        <f t="shared" si="76"/>
        <v>-0.5286679635130016</v>
      </c>
      <c r="K264" s="40">
        <f t="shared" si="77"/>
        <v>-0.45708018083339136</v>
      </c>
      <c r="L264" s="40">
        <f t="shared" si="78"/>
        <v>0.75739331311530278</v>
      </c>
      <c r="M264" s="40">
        <f t="shared" si="79"/>
        <v>0.69343472533802419</v>
      </c>
      <c r="N264" s="35">
        <f t="shared" si="65"/>
        <v>-2.855123630637574</v>
      </c>
      <c r="O264" s="35">
        <f t="shared" si="66"/>
        <v>5.4417073726177267E-2</v>
      </c>
      <c r="P264" s="36">
        <f t="shared" si="67"/>
        <v>0</v>
      </c>
      <c r="Q264" s="36">
        <f t="shared" si="68"/>
        <v>5.4417073726177267E-2</v>
      </c>
      <c r="R264" s="37">
        <f t="shared" si="69"/>
        <v>2.9612179129202124E-3</v>
      </c>
      <c r="T264" s="31">
        <f t="shared" si="70"/>
        <v>5.6001541988671124E-3</v>
      </c>
      <c r="U264" s="31">
        <f t="shared" si="71"/>
        <v>2.8560786414222272E-2</v>
      </c>
      <c r="V264" s="31">
        <f t="shared" si="72"/>
        <v>2.1280585955695028E-2</v>
      </c>
      <c r="W264" s="31">
        <f t="shared" si="73"/>
        <v>8.4002312983006682E-3</v>
      </c>
      <c r="X264" s="31">
        <f t="shared" si="74"/>
        <v>1.6800462596601336E-3</v>
      </c>
    </row>
    <row r="265" spans="1:24" ht="14.25" customHeight="1" x14ac:dyDescent="0.25">
      <c r="A265" s="41"/>
      <c r="B265" s="38">
        <v>21</v>
      </c>
      <c r="C265" s="32">
        <v>5.4</v>
      </c>
      <c r="D265" s="32">
        <v>3.4</v>
      </c>
      <c r="E265" s="32">
        <v>1.7</v>
      </c>
      <c r="F265" s="32">
        <v>0.2</v>
      </c>
      <c r="G265" s="39">
        <v>0</v>
      </c>
      <c r="H265">
        <f t="shared" si="64"/>
        <v>1</v>
      </c>
      <c r="I265" s="38">
        <f t="shared" si="75"/>
        <v>0.23330726775137292</v>
      </c>
      <c r="J265" s="40">
        <f t="shared" si="76"/>
        <v>-0.53152404215442384</v>
      </c>
      <c r="K265" s="40">
        <f t="shared" si="77"/>
        <v>-0.45920823942896088</v>
      </c>
      <c r="L265" s="40">
        <f t="shared" si="78"/>
        <v>0.75655328998547267</v>
      </c>
      <c r="M265" s="40">
        <f t="shared" si="79"/>
        <v>0.69326672071205819</v>
      </c>
      <c r="N265" s="35">
        <f t="shared" si="65"/>
        <v>-2.7734366368232681</v>
      </c>
      <c r="O265" s="35">
        <f t="shared" si="66"/>
        <v>5.8776603600637974E-2</v>
      </c>
      <c r="P265" s="36">
        <f t="shared" si="67"/>
        <v>0</v>
      </c>
      <c r="Q265" s="36">
        <f t="shared" si="68"/>
        <v>5.8776603600637974E-2</v>
      </c>
      <c r="R265" s="37">
        <f t="shared" si="69"/>
        <v>3.4546891308265288E-3</v>
      </c>
      <c r="T265" s="31">
        <f t="shared" si="70"/>
        <v>6.5032684744410112E-3</v>
      </c>
      <c r="U265" s="31">
        <f t="shared" si="71"/>
        <v>3.5117649761981465E-2</v>
      </c>
      <c r="V265" s="31">
        <f t="shared" si="72"/>
        <v>2.2111112813099437E-2</v>
      </c>
      <c r="W265" s="31">
        <f t="shared" si="73"/>
        <v>1.1055556406549719E-2</v>
      </c>
      <c r="X265" s="31">
        <f t="shared" si="74"/>
        <v>1.3006536948882022E-3</v>
      </c>
    </row>
    <row r="266" spans="1:24" ht="14.25" customHeight="1" x14ac:dyDescent="0.25">
      <c r="A266" s="41"/>
      <c r="B266" s="38">
        <v>22</v>
      </c>
      <c r="C266" s="32">
        <v>5.0999999999999996</v>
      </c>
      <c r="D266" s="32">
        <v>3.7</v>
      </c>
      <c r="E266" s="32">
        <v>1.5</v>
      </c>
      <c r="F266" s="32">
        <v>0.4</v>
      </c>
      <c r="G266" s="39">
        <v>0</v>
      </c>
      <c r="H266">
        <f t="shared" si="64"/>
        <v>1</v>
      </c>
      <c r="I266" s="38">
        <f t="shared" si="75"/>
        <v>0.23265694090392883</v>
      </c>
      <c r="J266" s="40">
        <f t="shared" si="76"/>
        <v>-0.53503580713062193</v>
      </c>
      <c r="K266" s="40">
        <f t="shared" si="77"/>
        <v>-0.46141935071027085</v>
      </c>
      <c r="L266" s="40">
        <f t="shared" si="78"/>
        <v>0.75544773434481771</v>
      </c>
      <c r="M266" s="40">
        <f t="shared" si="79"/>
        <v>0.69313665534256941</v>
      </c>
      <c r="N266" s="35">
        <f t="shared" si="65"/>
        <v>-2.7928510094359904</v>
      </c>
      <c r="O266" s="35">
        <f t="shared" si="66"/>
        <v>5.7711718671725885E-2</v>
      </c>
      <c r="P266" s="36">
        <f t="shared" si="67"/>
        <v>0</v>
      </c>
      <c r="Q266" s="36">
        <f t="shared" si="68"/>
        <v>5.7711718671725885E-2</v>
      </c>
      <c r="R266" s="37">
        <f t="shared" si="69"/>
        <v>3.3306424720444343E-3</v>
      </c>
      <c r="T266" s="31">
        <f t="shared" si="70"/>
        <v>6.2768507414034088E-3</v>
      </c>
      <c r="U266" s="31">
        <f t="shared" si="71"/>
        <v>3.2011938781157386E-2</v>
      </c>
      <c r="V266" s="31">
        <f t="shared" si="72"/>
        <v>2.3224347743192614E-2</v>
      </c>
      <c r="W266" s="31">
        <f t="shared" si="73"/>
        <v>9.4152761121051136E-3</v>
      </c>
      <c r="X266" s="31">
        <f t="shared" si="74"/>
        <v>2.5107402965613636E-3</v>
      </c>
    </row>
    <row r="267" spans="1:24" ht="14.25" customHeight="1" x14ac:dyDescent="0.25">
      <c r="A267" s="41"/>
      <c r="B267" s="38">
        <v>23</v>
      </c>
      <c r="C267" s="32">
        <v>4.5999999999999996</v>
      </c>
      <c r="D267" s="32">
        <v>3.6</v>
      </c>
      <c r="E267" s="32">
        <v>1</v>
      </c>
      <c r="F267" s="32">
        <v>0.2</v>
      </c>
      <c r="G267" s="39">
        <v>0</v>
      </c>
      <c r="H267">
        <f t="shared" si="64"/>
        <v>1</v>
      </c>
      <c r="I267" s="38">
        <f t="shared" si="75"/>
        <v>0.23202925582978848</v>
      </c>
      <c r="J267" s="40">
        <f t="shared" si="76"/>
        <v>-0.53823700100873773</v>
      </c>
      <c r="K267" s="40">
        <f t="shared" si="77"/>
        <v>-0.46374178548459011</v>
      </c>
      <c r="L267" s="40">
        <f t="shared" si="78"/>
        <v>0.75450620673360724</v>
      </c>
      <c r="M267" s="40">
        <f t="shared" si="79"/>
        <v>0.69288558131291322</v>
      </c>
      <c r="N267" s="35">
        <f t="shared" si="65"/>
        <v>-3.0202480535587397</v>
      </c>
      <c r="O267" s="35">
        <f t="shared" si="66"/>
        <v>4.6519470759802818E-2</v>
      </c>
      <c r="P267" s="36">
        <f t="shared" si="67"/>
        <v>0</v>
      </c>
      <c r="Q267" s="36">
        <f t="shared" si="68"/>
        <v>4.6519470759802818E-2</v>
      </c>
      <c r="R267" s="37">
        <f t="shared" si="69"/>
        <v>2.1640611597721492E-3</v>
      </c>
      <c r="T267" s="31">
        <f t="shared" si="70"/>
        <v>4.1267803598554077E-3</v>
      </c>
      <c r="U267" s="31">
        <f t="shared" si="71"/>
        <v>1.8983189655334874E-2</v>
      </c>
      <c r="V267" s="31">
        <f t="shared" si="72"/>
        <v>1.4856409295479468E-2</v>
      </c>
      <c r="W267" s="31">
        <f t="shared" si="73"/>
        <v>4.1267803598554077E-3</v>
      </c>
      <c r="X267" s="31">
        <f t="shared" si="74"/>
        <v>8.2535607197108162E-4</v>
      </c>
    </row>
    <row r="268" spans="1:24" ht="14.25" customHeight="1" x14ac:dyDescent="0.25">
      <c r="A268" s="41"/>
      <c r="B268" s="38">
        <v>24</v>
      </c>
      <c r="C268" s="32">
        <v>5.0999999999999996</v>
      </c>
      <c r="D268" s="32">
        <v>3.3</v>
      </c>
      <c r="E268" s="32">
        <v>1.7</v>
      </c>
      <c r="F268" s="32">
        <v>0.5</v>
      </c>
      <c r="G268" s="39">
        <v>0</v>
      </c>
      <c r="H268">
        <f t="shared" si="64"/>
        <v>1</v>
      </c>
      <c r="I268" s="38">
        <f t="shared" si="75"/>
        <v>0.23161657779380293</v>
      </c>
      <c r="J268" s="40">
        <f t="shared" si="76"/>
        <v>-0.54013531997427122</v>
      </c>
      <c r="K268" s="40">
        <f t="shared" si="77"/>
        <v>-0.46522742641413806</v>
      </c>
      <c r="L268" s="40">
        <f t="shared" si="78"/>
        <v>0.7540935286976217</v>
      </c>
      <c r="M268" s="40">
        <f t="shared" si="79"/>
        <v>0.69280304570571616</v>
      </c>
      <c r="N268" s="35">
        <f t="shared" si="65"/>
        <v>-2.429963539602821</v>
      </c>
      <c r="O268" s="35">
        <f t="shared" si="66"/>
        <v>8.0916178688222609E-2</v>
      </c>
      <c r="P268" s="36">
        <f t="shared" si="67"/>
        <v>0</v>
      </c>
      <c r="Q268" s="36">
        <f t="shared" si="68"/>
        <v>8.0916178688222609E-2</v>
      </c>
      <c r="R268" s="37">
        <f t="shared" si="69"/>
        <v>6.5474279735043706E-3</v>
      </c>
      <c r="T268" s="31">
        <f t="shared" si="70"/>
        <v>1.2035270243304048E-2</v>
      </c>
      <c r="U268" s="31">
        <f t="shared" si="71"/>
        <v>6.1379878240850637E-2</v>
      </c>
      <c r="V268" s="31">
        <f t="shared" si="72"/>
        <v>3.9716391802903359E-2</v>
      </c>
      <c r="W268" s="31">
        <f t="shared" si="73"/>
        <v>2.045995941361688E-2</v>
      </c>
      <c r="X268" s="31">
        <f t="shared" si="74"/>
        <v>6.0176351216520239E-3</v>
      </c>
    </row>
    <row r="269" spans="1:24" ht="14.25" customHeight="1" x14ac:dyDescent="0.25">
      <c r="A269" s="41"/>
      <c r="B269" s="38">
        <v>25</v>
      </c>
      <c r="C269" s="32">
        <v>4.8</v>
      </c>
      <c r="D269" s="32">
        <v>3.4</v>
      </c>
      <c r="E269" s="32">
        <v>1.9</v>
      </c>
      <c r="F269" s="32">
        <v>0.2</v>
      </c>
      <c r="G269" s="39">
        <v>0</v>
      </c>
      <c r="H269">
        <f t="shared" si="64"/>
        <v>1</v>
      </c>
      <c r="I269" s="38">
        <f t="shared" si="75"/>
        <v>0.23041305076947252</v>
      </c>
      <c r="J269" s="40">
        <f t="shared" si="76"/>
        <v>-0.54627330779835626</v>
      </c>
      <c r="K269" s="40">
        <f t="shared" si="77"/>
        <v>-0.46919906559442837</v>
      </c>
      <c r="L269" s="40">
        <f t="shared" si="78"/>
        <v>0.75204753275626002</v>
      </c>
      <c r="M269" s="40">
        <f t="shared" si="79"/>
        <v>0.69220128219355093</v>
      </c>
      <c r="N269" s="35">
        <f t="shared" si="65"/>
        <v>-2.4196450810080892</v>
      </c>
      <c r="O269" s="35">
        <f t="shared" si="66"/>
        <v>8.1686875448455973E-2</v>
      </c>
      <c r="P269" s="36">
        <f t="shared" si="67"/>
        <v>0</v>
      </c>
      <c r="Q269" s="36">
        <f t="shared" si="68"/>
        <v>8.1686875448455973E-2</v>
      </c>
      <c r="R269" s="37">
        <f t="shared" si="69"/>
        <v>6.6727456205315592E-3</v>
      </c>
      <c r="T269" s="31">
        <f t="shared" si="70"/>
        <v>1.2255339760255935E-2</v>
      </c>
      <c r="U269" s="31">
        <f t="shared" si="71"/>
        <v>5.8825630849228483E-2</v>
      </c>
      <c r="V269" s="31">
        <f t="shared" si="72"/>
        <v>4.166815518487018E-2</v>
      </c>
      <c r="W269" s="31">
        <f t="shared" si="73"/>
        <v>2.3285145544486276E-2</v>
      </c>
      <c r="X269" s="31">
        <f t="shared" si="74"/>
        <v>2.4510679520511874E-3</v>
      </c>
    </row>
    <row r="270" spans="1:24" ht="14.25" customHeight="1" x14ac:dyDescent="0.25">
      <c r="A270" s="41"/>
      <c r="B270" s="38">
        <v>26</v>
      </c>
      <c r="C270" s="32">
        <v>5</v>
      </c>
      <c r="D270" s="32">
        <v>3</v>
      </c>
      <c r="E270" s="32">
        <v>1.6</v>
      </c>
      <c r="F270" s="32">
        <v>0.2</v>
      </c>
      <c r="G270" s="39">
        <v>0</v>
      </c>
      <c r="H270">
        <f t="shared" si="64"/>
        <v>1</v>
      </c>
      <c r="I270" s="38">
        <f t="shared" si="75"/>
        <v>0.22918751679344693</v>
      </c>
      <c r="J270" s="40">
        <f t="shared" si="76"/>
        <v>-0.55215587088327911</v>
      </c>
      <c r="K270" s="40">
        <f t="shared" si="77"/>
        <v>-0.47336588111291539</v>
      </c>
      <c r="L270" s="40">
        <f t="shared" si="78"/>
        <v>0.74971901820181142</v>
      </c>
      <c r="M270" s="40">
        <f t="shared" si="79"/>
        <v>0.69195617539834586</v>
      </c>
      <c r="N270" s="35">
        <f t="shared" si="65"/>
        <v>-2.6137478167591279</v>
      </c>
      <c r="O270" s="35">
        <f t="shared" si="66"/>
        <v>6.8258858096919645E-2</v>
      </c>
      <c r="P270" s="36">
        <f t="shared" si="67"/>
        <v>0</v>
      </c>
      <c r="Q270" s="36">
        <f t="shared" si="68"/>
        <v>6.8258858096919645E-2</v>
      </c>
      <c r="R270" s="37">
        <f t="shared" si="69"/>
        <v>4.6592717086954127E-3</v>
      </c>
      <c r="T270" s="31">
        <f t="shared" si="70"/>
        <v>8.6824702845931592E-3</v>
      </c>
      <c r="U270" s="31">
        <f t="shared" si="71"/>
        <v>4.3412351422965796E-2</v>
      </c>
      <c r="V270" s="31">
        <f t="shared" si="72"/>
        <v>2.6047410853779478E-2</v>
      </c>
      <c r="W270" s="31">
        <f t="shared" si="73"/>
        <v>1.3891952455349056E-2</v>
      </c>
      <c r="X270" s="31">
        <f t="shared" si="74"/>
        <v>1.736494056918632E-3</v>
      </c>
    </row>
    <row r="271" spans="1:24" ht="14.25" customHeight="1" x14ac:dyDescent="0.25">
      <c r="A271" s="41"/>
      <c r="B271" s="38">
        <v>27</v>
      </c>
      <c r="C271" s="32">
        <v>5</v>
      </c>
      <c r="D271" s="32">
        <v>3.4</v>
      </c>
      <c r="E271" s="32">
        <v>1.6</v>
      </c>
      <c r="F271" s="32">
        <v>0.4</v>
      </c>
      <c r="G271" s="39">
        <v>0</v>
      </c>
      <c r="H271">
        <f t="shared" si="64"/>
        <v>1</v>
      </c>
      <c r="I271" s="38">
        <f t="shared" si="75"/>
        <v>0.22831926976498762</v>
      </c>
      <c r="J271" s="40">
        <f t="shared" si="76"/>
        <v>-0.55649710602557567</v>
      </c>
      <c r="K271" s="40">
        <f t="shared" si="77"/>
        <v>-0.47597062219829334</v>
      </c>
      <c r="L271" s="40">
        <f t="shared" si="78"/>
        <v>0.74832982295627648</v>
      </c>
      <c r="M271" s="40">
        <f t="shared" si="79"/>
        <v>0.691782525992654</v>
      </c>
      <c r="N271" s="35">
        <f t="shared" si="65"/>
        <v>-2.6984256487099838</v>
      </c>
      <c r="O271" s="35">
        <f t="shared" si="66"/>
        <v>6.3066318867589399E-2</v>
      </c>
      <c r="P271" s="36">
        <f t="shared" si="67"/>
        <v>0</v>
      </c>
      <c r="Q271" s="36">
        <f t="shared" si="68"/>
        <v>6.3066318867589399E-2</v>
      </c>
      <c r="R271" s="37">
        <f t="shared" si="69"/>
        <v>3.977360575508463E-3</v>
      </c>
      <c r="T271" s="31">
        <f t="shared" si="70"/>
        <v>7.4530461704041349E-3</v>
      </c>
      <c r="U271" s="31">
        <f t="shared" si="71"/>
        <v>3.7265230852020673E-2</v>
      </c>
      <c r="V271" s="31">
        <f t="shared" si="72"/>
        <v>2.5340356979374059E-2</v>
      </c>
      <c r="W271" s="31">
        <f t="shared" si="73"/>
        <v>1.1924873872646617E-2</v>
      </c>
      <c r="X271" s="31">
        <f t="shared" si="74"/>
        <v>2.9812184681616543E-3</v>
      </c>
    </row>
    <row r="272" spans="1:24" ht="14.25" customHeight="1" x14ac:dyDescent="0.25">
      <c r="A272" s="41"/>
      <c r="B272" s="38">
        <v>28</v>
      </c>
      <c r="C272" s="32">
        <v>5.2</v>
      </c>
      <c r="D272" s="32">
        <v>3.5</v>
      </c>
      <c r="E272" s="32">
        <v>1.5</v>
      </c>
      <c r="F272" s="32">
        <v>0.2</v>
      </c>
      <c r="G272" s="39">
        <v>0</v>
      </c>
      <c r="H272">
        <f t="shared" si="64"/>
        <v>1</v>
      </c>
      <c r="I272" s="38">
        <f t="shared" si="75"/>
        <v>0.2275739651479472</v>
      </c>
      <c r="J272" s="40">
        <f t="shared" si="76"/>
        <v>-0.56022362911077772</v>
      </c>
      <c r="K272" s="40">
        <f t="shared" si="77"/>
        <v>-0.47850465789623076</v>
      </c>
      <c r="L272" s="40">
        <f t="shared" si="78"/>
        <v>0.74713733556901185</v>
      </c>
      <c r="M272" s="40">
        <f t="shared" si="79"/>
        <v>0.69148440414583778</v>
      </c>
      <c r="N272" s="35">
        <f t="shared" si="65"/>
        <v>-3.1013523246822192</v>
      </c>
      <c r="O272" s="35">
        <f t="shared" si="66"/>
        <v>4.3051507327007653E-2</v>
      </c>
      <c r="P272" s="36">
        <f t="shared" si="67"/>
        <v>0</v>
      </c>
      <c r="Q272" s="36">
        <f t="shared" si="68"/>
        <v>4.3051507327007653E-2</v>
      </c>
      <c r="R272" s="37">
        <f t="shared" si="69"/>
        <v>1.8534322831273936E-3</v>
      </c>
      <c r="T272" s="31">
        <f t="shared" si="70"/>
        <v>3.5472784592204443E-3</v>
      </c>
      <c r="U272" s="31">
        <f t="shared" si="71"/>
        <v>1.8445847987946309E-2</v>
      </c>
      <c r="V272" s="31">
        <f t="shared" si="72"/>
        <v>1.2415474607271555E-2</v>
      </c>
      <c r="W272" s="31">
        <f t="shared" si="73"/>
        <v>5.3209176888306666E-3</v>
      </c>
      <c r="X272" s="31">
        <f t="shared" si="74"/>
        <v>7.0945569184408886E-4</v>
      </c>
    </row>
    <row r="273" spans="1:24" ht="14.25" customHeight="1" x14ac:dyDescent="0.25">
      <c r="A273" s="41"/>
      <c r="B273" s="38">
        <v>29</v>
      </c>
      <c r="C273" s="32">
        <v>5.2</v>
      </c>
      <c r="D273" s="32">
        <v>3.4</v>
      </c>
      <c r="E273" s="32">
        <v>1.4</v>
      </c>
      <c r="F273" s="32">
        <v>0.2</v>
      </c>
      <c r="G273" s="39">
        <v>0</v>
      </c>
      <c r="H273">
        <f t="shared" si="64"/>
        <v>1</v>
      </c>
      <c r="I273" s="38">
        <f t="shared" si="75"/>
        <v>0.22721923730202515</v>
      </c>
      <c r="J273" s="40">
        <f t="shared" si="76"/>
        <v>-0.5620682139095724</v>
      </c>
      <c r="K273" s="40">
        <f t="shared" si="77"/>
        <v>-0.47974620535695789</v>
      </c>
      <c r="L273" s="40">
        <f t="shared" si="78"/>
        <v>0.74660524380012883</v>
      </c>
      <c r="M273" s="40">
        <f t="shared" si="79"/>
        <v>0.69141345857665337</v>
      </c>
      <c r="N273" s="35">
        <f t="shared" si="65"/>
        <v>-3.1431425402058975</v>
      </c>
      <c r="O273" s="35">
        <f t="shared" si="66"/>
        <v>4.1362333148430068E-2</v>
      </c>
      <c r="P273" s="36">
        <f t="shared" si="67"/>
        <v>0</v>
      </c>
      <c r="Q273" s="36">
        <f t="shared" si="68"/>
        <v>4.1362333148430068E-2</v>
      </c>
      <c r="R273" s="37">
        <f t="shared" si="69"/>
        <v>1.7108426034817168E-3</v>
      </c>
      <c r="T273" s="31">
        <f t="shared" si="70"/>
        <v>3.2801563235039569E-3</v>
      </c>
      <c r="U273" s="31">
        <f t="shared" si="71"/>
        <v>1.7056812882220575E-2</v>
      </c>
      <c r="V273" s="31">
        <f t="shared" si="72"/>
        <v>1.1152531499913453E-2</v>
      </c>
      <c r="W273" s="31">
        <f t="shared" si="73"/>
        <v>4.5922188529055391E-3</v>
      </c>
      <c r="X273" s="31">
        <f t="shared" si="74"/>
        <v>6.560312647007914E-4</v>
      </c>
    </row>
    <row r="274" spans="1:24" ht="14.25" customHeight="1" x14ac:dyDescent="0.25">
      <c r="A274" s="41"/>
      <c r="B274" s="38">
        <v>30</v>
      </c>
      <c r="C274" s="32">
        <v>4.7</v>
      </c>
      <c r="D274" s="32">
        <v>3.2</v>
      </c>
      <c r="E274" s="32">
        <v>1.6</v>
      </c>
      <c r="F274" s="32">
        <v>0.2</v>
      </c>
      <c r="G274" s="39">
        <v>0</v>
      </c>
      <c r="H274">
        <f t="shared" si="64"/>
        <v>1</v>
      </c>
      <c r="I274" s="38">
        <f t="shared" si="75"/>
        <v>0.22689122166967474</v>
      </c>
      <c r="J274" s="40">
        <f t="shared" si="76"/>
        <v>-0.56377389519779442</v>
      </c>
      <c r="K274" s="40">
        <f t="shared" si="77"/>
        <v>-0.48086145850694922</v>
      </c>
      <c r="L274" s="40">
        <f t="shared" si="78"/>
        <v>0.74614602191483825</v>
      </c>
      <c r="M274" s="40">
        <f t="shared" si="79"/>
        <v>0.69134785545018329</v>
      </c>
      <c r="N274" s="35">
        <f t="shared" si="65"/>
        <v>-2.6294995468284186</v>
      </c>
      <c r="O274" s="35">
        <f t="shared" si="66"/>
        <v>6.7263841929424834E-2</v>
      </c>
      <c r="P274" s="36">
        <f t="shared" si="67"/>
        <v>0</v>
      </c>
      <c r="Q274" s="36">
        <f t="shared" si="68"/>
        <v>6.7263841929424834E-2</v>
      </c>
      <c r="R274" s="37">
        <f t="shared" si="69"/>
        <v>4.5244244311066504E-3</v>
      </c>
      <c r="T274" s="31">
        <f t="shared" si="70"/>
        <v>8.4401885227021294E-3</v>
      </c>
      <c r="U274" s="31">
        <f t="shared" si="71"/>
        <v>3.9668886056700006E-2</v>
      </c>
      <c r="V274" s="31">
        <f t="shared" si="72"/>
        <v>2.7008603272646814E-2</v>
      </c>
      <c r="W274" s="31">
        <f t="shared" si="73"/>
        <v>1.3504301636323407E-2</v>
      </c>
      <c r="X274" s="31">
        <f t="shared" si="74"/>
        <v>1.6880377045404259E-3</v>
      </c>
    </row>
    <row r="275" spans="1:24" ht="14.25" customHeight="1" x14ac:dyDescent="0.25">
      <c r="A275" s="41"/>
      <c r="B275" s="38">
        <v>31</v>
      </c>
      <c r="C275" s="32">
        <v>4.8</v>
      </c>
      <c r="D275" s="32">
        <v>3.1</v>
      </c>
      <c r="E275" s="32">
        <v>1.6</v>
      </c>
      <c r="F275" s="32">
        <v>0.2</v>
      </c>
      <c r="G275" s="39">
        <v>0</v>
      </c>
      <c r="H275">
        <f t="shared" si="64"/>
        <v>1</v>
      </c>
      <c r="I275" s="38">
        <f t="shared" si="75"/>
        <v>0.22604720281740454</v>
      </c>
      <c r="J275" s="40">
        <f t="shared" si="76"/>
        <v>-0.56774078380346438</v>
      </c>
      <c r="K275" s="40">
        <f t="shared" si="77"/>
        <v>-0.48356231883421391</v>
      </c>
      <c r="L275" s="40">
        <f t="shared" si="78"/>
        <v>0.74479559175120591</v>
      </c>
      <c r="M275" s="40">
        <f t="shared" si="79"/>
        <v>0.69117905167972926</v>
      </c>
      <c r="N275" s="35">
        <f t="shared" si="65"/>
        <v>-2.6682429906874123</v>
      </c>
      <c r="O275" s="35">
        <f t="shared" si="66"/>
        <v>6.4873475960678662E-2</v>
      </c>
      <c r="P275" s="36">
        <f t="shared" si="67"/>
        <v>0</v>
      </c>
      <c r="Q275" s="36">
        <f t="shared" si="68"/>
        <v>6.4873475960678662E-2</v>
      </c>
      <c r="R275" s="37">
        <f t="shared" si="69"/>
        <v>4.2085678832207525E-3</v>
      </c>
      <c r="T275" s="31">
        <f t="shared" si="70"/>
        <v>7.8710869116394924E-3</v>
      </c>
      <c r="U275" s="31">
        <f t="shared" si="71"/>
        <v>3.7781217175869561E-2</v>
      </c>
      <c r="V275" s="31">
        <f t="shared" si="72"/>
        <v>2.4400369426082428E-2</v>
      </c>
      <c r="W275" s="31">
        <f t="shared" si="73"/>
        <v>1.2593739058623189E-2</v>
      </c>
      <c r="X275" s="31">
        <f t="shared" si="74"/>
        <v>1.5742173823278987E-3</v>
      </c>
    </row>
    <row r="276" spans="1:24" ht="14.25" customHeight="1" x14ac:dyDescent="0.25">
      <c r="A276" s="41"/>
      <c r="B276" s="38">
        <v>32</v>
      </c>
      <c r="C276" s="32">
        <v>5.4</v>
      </c>
      <c r="D276" s="32">
        <v>3.4</v>
      </c>
      <c r="E276" s="32">
        <v>1.5</v>
      </c>
      <c r="F276" s="32">
        <v>0.4</v>
      </c>
      <c r="G276" s="39">
        <v>0</v>
      </c>
      <c r="H276">
        <f t="shared" si="64"/>
        <v>1</v>
      </c>
      <c r="I276" s="38">
        <f t="shared" si="75"/>
        <v>0.2252600941262406</v>
      </c>
      <c r="J276" s="40">
        <f t="shared" si="76"/>
        <v>-0.57151890552105133</v>
      </c>
      <c r="K276" s="40">
        <f t="shared" si="77"/>
        <v>-0.48600235577682216</v>
      </c>
      <c r="L276" s="40">
        <f t="shared" si="78"/>
        <v>0.74353621784534363</v>
      </c>
      <c r="M276" s="40">
        <f t="shared" si="79"/>
        <v>0.69102162994149652</v>
      </c>
      <c r="N276" s="35">
        <f t="shared" si="65"/>
        <v>-3.1216370265840188</v>
      </c>
      <c r="O276" s="35">
        <f t="shared" si="66"/>
        <v>4.222351971668193E-2</v>
      </c>
      <c r="P276" s="36">
        <f t="shared" si="67"/>
        <v>0</v>
      </c>
      <c r="Q276" s="36">
        <f t="shared" si="68"/>
        <v>4.222351971668193E-2</v>
      </c>
      <c r="R276" s="37">
        <f t="shared" si="69"/>
        <v>1.7828256172650278E-3</v>
      </c>
      <c r="T276" s="31">
        <f t="shared" si="70"/>
        <v>3.4150968893260645E-3</v>
      </c>
      <c r="U276" s="31">
        <f t="shared" si="71"/>
        <v>1.8441523202360748E-2</v>
      </c>
      <c r="V276" s="31">
        <f t="shared" si="72"/>
        <v>1.1611329423708619E-2</v>
      </c>
      <c r="W276" s="31">
        <f t="shared" si="73"/>
        <v>5.1226453339890971E-3</v>
      </c>
      <c r="X276" s="31">
        <f t="shared" si="74"/>
        <v>1.3660387557304259E-3</v>
      </c>
    </row>
    <row r="277" spans="1:24" ht="14.25" customHeight="1" x14ac:dyDescent="0.25">
      <c r="A277" s="41"/>
      <c r="B277" s="38">
        <v>33</v>
      </c>
      <c r="C277" s="32">
        <v>5.2</v>
      </c>
      <c r="D277" s="32">
        <v>4.0999999999999996</v>
      </c>
      <c r="E277" s="32">
        <v>1.5</v>
      </c>
      <c r="F277" s="32">
        <v>0.1</v>
      </c>
      <c r="G277" s="39">
        <v>0</v>
      </c>
      <c r="H277">
        <f t="shared" si="64"/>
        <v>1</v>
      </c>
      <c r="I277" s="38">
        <f t="shared" si="75"/>
        <v>0.224918584437308</v>
      </c>
      <c r="J277" s="40">
        <f t="shared" si="76"/>
        <v>-0.57336305784128738</v>
      </c>
      <c r="K277" s="40">
        <f t="shared" si="77"/>
        <v>-0.48716348871919302</v>
      </c>
      <c r="L277" s="40">
        <f t="shared" si="78"/>
        <v>0.74302395331194471</v>
      </c>
      <c r="M277" s="40">
        <f t="shared" si="79"/>
        <v>0.6908850260659235</v>
      </c>
      <c r="N277" s="35">
        <f t="shared" si="65"/>
        <v>-3.5703151875115684</v>
      </c>
      <c r="O277" s="35">
        <f t="shared" si="66"/>
        <v>2.7376417218026999E-2</v>
      </c>
      <c r="P277" s="36">
        <f t="shared" si="67"/>
        <v>0</v>
      </c>
      <c r="Q277" s="36">
        <f t="shared" si="68"/>
        <v>2.7376417218026999E-2</v>
      </c>
      <c r="R277" s="37">
        <f t="shared" si="69"/>
        <v>7.494682196954851E-4</v>
      </c>
      <c r="T277" s="31">
        <f t="shared" si="70"/>
        <v>1.4579009300428993E-3</v>
      </c>
      <c r="U277" s="31">
        <f t="shared" si="71"/>
        <v>7.5810848362230761E-3</v>
      </c>
      <c r="V277" s="31">
        <f t="shared" si="72"/>
        <v>5.977393813175887E-3</v>
      </c>
      <c r="W277" s="31">
        <f t="shared" si="73"/>
        <v>2.1868513950643489E-3</v>
      </c>
      <c r="X277" s="31">
        <f t="shared" si="74"/>
        <v>1.4579009300428992E-4</v>
      </c>
    </row>
    <row r="278" spans="1:24" ht="14.25" customHeight="1" x14ac:dyDescent="0.25">
      <c r="A278" s="41"/>
      <c r="B278" s="38">
        <v>34</v>
      </c>
      <c r="C278" s="32">
        <v>5.5</v>
      </c>
      <c r="D278" s="32">
        <v>4.2</v>
      </c>
      <c r="E278" s="32">
        <v>1.4</v>
      </c>
      <c r="F278" s="32">
        <v>0.2</v>
      </c>
      <c r="G278" s="39">
        <v>0</v>
      </c>
      <c r="H278">
        <f t="shared" si="64"/>
        <v>1</v>
      </c>
      <c r="I278" s="38">
        <f t="shared" si="75"/>
        <v>0.22477279434430372</v>
      </c>
      <c r="J278" s="40">
        <f t="shared" si="76"/>
        <v>-0.57412116632490973</v>
      </c>
      <c r="K278" s="40">
        <f t="shared" si="77"/>
        <v>-0.48776122810051059</v>
      </c>
      <c r="L278" s="40">
        <f t="shared" si="78"/>
        <v>0.7428052681724383</v>
      </c>
      <c r="M278" s="40">
        <f t="shared" si="79"/>
        <v>0.69087044705662304</v>
      </c>
      <c r="N278" s="35">
        <f t="shared" si="65"/>
        <v>-3.8033893136121062</v>
      </c>
      <c r="O278" s="35">
        <f t="shared" si="66"/>
        <v>2.1808848645460413E-2</v>
      </c>
      <c r="P278" s="36">
        <f t="shared" si="67"/>
        <v>0</v>
      </c>
      <c r="Q278" s="36">
        <f t="shared" si="68"/>
        <v>2.1808848645460413E-2</v>
      </c>
      <c r="R278" s="37">
        <f t="shared" si="69"/>
        <v>4.7562587924060049E-4</v>
      </c>
      <c r="T278" s="31">
        <f t="shared" si="70"/>
        <v>9.305060528567564E-4</v>
      </c>
      <c r="U278" s="31">
        <f t="shared" si="71"/>
        <v>5.11778329071216E-3</v>
      </c>
      <c r="V278" s="31">
        <f t="shared" si="72"/>
        <v>3.9081254219983774E-3</v>
      </c>
      <c r="W278" s="31">
        <f t="shared" si="73"/>
        <v>1.3027084739994589E-3</v>
      </c>
      <c r="X278" s="31">
        <f t="shared" si="74"/>
        <v>1.861012105713513E-4</v>
      </c>
    </row>
    <row r="279" spans="1:24" ht="14.25" customHeight="1" x14ac:dyDescent="0.25">
      <c r="A279" s="41"/>
      <c r="B279" s="38">
        <v>35</v>
      </c>
      <c r="C279" s="32">
        <v>4.9000000000000004</v>
      </c>
      <c r="D279" s="32">
        <v>3.1</v>
      </c>
      <c r="E279" s="32">
        <v>1.5</v>
      </c>
      <c r="F279" s="32">
        <v>0.1</v>
      </c>
      <c r="G279" s="39">
        <v>0</v>
      </c>
      <c r="H279">
        <f t="shared" si="64"/>
        <v>1</v>
      </c>
      <c r="I279" s="38">
        <f t="shared" si="75"/>
        <v>0.22467974373901806</v>
      </c>
      <c r="J279" s="40">
        <f t="shared" si="76"/>
        <v>-0.57463294465398096</v>
      </c>
      <c r="K279" s="40">
        <f t="shared" si="77"/>
        <v>-0.48815204064271045</v>
      </c>
      <c r="L279" s="40">
        <f t="shared" si="78"/>
        <v>0.74267499732503839</v>
      </c>
      <c r="M279" s="40">
        <f t="shared" si="79"/>
        <v>0.69085183693556595</v>
      </c>
      <c r="N279" s="35">
        <f t="shared" si="65"/>
        <v>-2.9211953313767767</v>
      </c>
      <c r="O279" s="35">
        <f t="shared" si="66"/>
        <v>5.1115692786018539E-2</v>
      </c>
      <c r="P279" s="36">
        <f t="shared" si="67"/>
        <v>0</v>
      </c>
      <c r="Q279" s="36">
        <f t="shared" si="68"/>
        <v>5.1115692786018539E-2</v>
      </c>
      <c r="R279" s="37">
        <f t="shared" si="69"/>
        <v>2.6128140489946276E-3</v>
      </c>
      <c r="T279" s="31">
        <f t="shared" si="70"/>
        <v>4.9585164975184497E-3</v>
      </c>
      <c r="U279" s="31">
        <f t="shared" si="71"/>
        <v>2.4296730837840404E-2</v>
      </c>
      <c r="V279" s="31">
        <f t="shared" si="72"/>
        <v>1.5371401142307194E-2</v>
      </c>
      <c r="W279" s="31">
        <f t="shared" si="73"/>
        <v>7.4377747462776745E-3</v>
      </c>
      <c r="X279" s="31">
        <f t="shared" si="74"/>
        <v>4.9585164975184495E-4</v>
      </c>
    </row>
    <row r="280" spans="1:24" ht="14.25" customHeight="1" x14ac:dyDescent="0.25">
      <c r="A280" s="41"/>
      <c r="B280" s="38">
        <v>36</v>
      </c>
      <c r="C280" s="32">
        <v>5</v>
      </c>
      <c r="D280" s="32">
        <v>3.2</v>
      </c>
      <c r="E280" s="32">
        <v>1.2</v>
      </c>
      <c r="F280" s="32">
        <v>0.2</v>
      </c>
      <c r="G280" s="39">
        <v>0</v>
      </c>
      <c r="H280">
        <f t="shared" si="64"/>
        <v>1</v>
      </c>
      <c r="I280" s="38">
        <f t="shared" si="75"/>
        <v>0.2241838920892662</v>
      </c>
      <c r="J280" s="40">
        <f t="shared" si="76"/>
        <v>-0.57706261773776502</v>
      </c>
      <c r="K280" s="40">
        <f t="shared" si="77"/>
        <v>-0.48968918075694118</v>
      </c>
      <c r="L280" s="40">
        <f t="shared" si="78"/>
        <v>0.74193121985041066</v>
      </c>
      <c r="M280" s="40">
        <f t="shared" si="79"/>
        <v>0.69080225177059074</v>
      </c>
      <c r="N280" s="35">
        <f t="shared" si="65"/>
        <v>-3.1996566608471606</v>
      </c>
      <c r="O280" s="35">
        <f t="shared" si="66"/>
        <v>3.9178645300940403E-2</v>
      </c>
      <c r="P280" s="36">
        <f t="shared" si="67"/>
        <v>0</v>
      </c>
      <c r="Q280" s="36">
        <f t="shared" si="68"/>
        <v>3.9178645300940403E-2</v>
      </c>
      <c r="R280" s="37">
        <f t="shared" si="69"/>
        <v>1.5349662476168994E-3</v>
      </c>
      <c r="T280" s="31">
        <f t="shared" si="70"/>
        <v>2.949656698905203E-3</v>
      </c>
      <c r="U280" s="31">
        <f t="shared" si="71"/>
        <v>1.4748283494526015E-2</v>
      </c>
      <c r="V280" s="31">
        <f t="shared" si="72"/>
        <v>9.4389014364966509E-3</v>
      </c>
      <c r="W280" s="31">
        <f t="shared" si="73"/>
        <v>3.5395880386862432E-3</v>
      </c>
      <c r="X280" s="31">
        <f t="shared" si="74"/>
        <v>5.8993133978104068E-4</v>
      </c>
    </row>
    <row r="281" spans="1:24" ht="14.25" customHeight="1" x14ac:dyDescent="0.25">
      <c r="A281" s="41"/>
      <c r="B281" s="38">
        <v>37</v>
      </c>
      <c r="C281" s="32">
        <v>5.5</v>
      </c>
      <c r="D281" s="32">
        <v>3.5</v>
      </c>
      <c r="E281" s="32">
        <v>1.3</v>
      </c>
      <c r="F281" s="32">
        <v>0.2</v>
      </c>
      <c r="G281" s="39">
        <v>0</v>
      </c>
      <c r="H281">
        <f t="shared" si="64"/>
        <v>1</v>
      </c>
      <c r="I281" s="38">
        <f t="shared" si="75"/>
        <v>0.22388892641937569</v>
      </c>
      <c r="J281" s="40">
        <f t="shared" si="76"/>
        <v>-0.57853744608721758</v>
      </c>
      <c r="K281" s="40">
        <f t="shared" si="77"/>
        <v>-0.49063307090059083</v>
      </c>
      <c r="L281" s="40">
        <f t="shared" si="78"/>
        <v>0.74157726104654209</v>
      </c>
      <c r="M281" s="40">
        <f t="shared" si="79"/>
        <v>0.69074325863661268</v>
      </c>
      <c r="N281" s="35">
        <f t="shared" si="65"/>
        <v>-3.5730836841245623</v>
      </c>
      <c r="O281" s="35">
        <f t="shared" si="66"/>
        <v>2.7302796975838699E-2</v>
      </c>
      <c r="P281" s="36">
        <f t="shared" si="67"/>
        <v>0</v>
      </c>
      <c r="Q281" s="36">
        <f t="shared" si="68"/>
        <v>2.7302796975838699E-2</v>
      </c>
      <c r="R281" s="37">
        <f t="shared" si="69"/>
        <v>7.4544272270386683E-4</v>
      </c>
      <c r="T281" s="31">
        <f t="shared" si="70"/>
        <v>1.4501801027775334E-3</v>
      </c>
      <c r="U281" s="31">
        <f t="shared" si="71"/>
        <v>7.9759905652764338E-3</v>
      </c>
      <c r="V281" s="31">
        <f t="shared" si="72"/>
        <v>5.0756303597213667E-3</v>
      </c>
      <c r="W281" s="31">
        <f t="shared" si="73"/>
        <v>1.8852341336107934E-3</v>
      </c>
      <c r="X281" s="31">
        <f t="shared" si="74"/>
        <v>2.900360205555067E-4</v>
      </c>
    </row>
    <row r="282" spans="1:24" ht="14.25" customHeight="1" x14ac:dyDescent="0.25">
      <c r="A282" s="41"/>
      <c r="B282" s="38">
        <v>38</v>
      </c>
      <c r="C282" s="32">
        <v>4.9000000000000004</v>
      </c>
      <c r="D282" s="32">
        <v>3.1</v>
      </c>
      <c r="E282" s="32">
        <v>1.5</v>
      </c>
      <c r="F282" s="32">
        <v>0.1</v>
      </c>
      <c r="G282" s="39">
        <v>0</v>
      </c>
      <c r="H282">
        <f t="shared" si="64"/>
        <v>1</v>
      </c>
      <c r="I282" s="38">
        <f t="shared" si="75"/>
        <v>0.22374390840909794</v>
      </c>
      <c r="J282" s="40">
        <f t="shared" si="76"/>
        <v>-0.57933504514374523</v>
      </c>
      <c r="K282" s="40">
        <f t="shared" si="77"/>
        <v>-0.49114063393656299</v>
      </c>
      <c r="L282" s="40">
        <f t="shared" si="78"/>
        <v>0.74138873763318103</v>
      </c>
      <c r="M282" s="40">
        <f t="shared" si="79"/>
        <v>0.69071425503455708</v>
      </c>
      <c r="N282" s="35">
        <f t="shared" si="65"/>
        <v>-2.9563792460453717</v>
      </c>
      <c r="O282" s="35">
        <f t="shared" si="66"/>
        <v>4.9435875136149401E-2</v>
      </c>
      <c r="P282" s="36">
        <f t="shared" si="67"/>
        <v>0</v>
      </c>
      <c r="Q282" s="36">
        <f t="shared" si="68"/>
        <v>4.9435875136149401E-2</v>
      </c>
      <c r="R282" s="37">
        <f t="shared" si="69"/>
        <v>2.4439057504769546E-3</v>
      </c>
      <c r="T282" s="31">
        <f t="shared" si="70"/>
        <v>4.6461782619037165E-3</v>
      </c>
      <c r="U282" s="31">
        <f t="shared" si="71"/>
        <v>2.2766273483328214E-2</v>
      </c>
      <c r="V282" s="31">
        <f t="shared" si="72"/>
        <v>1.4403152611901521E-2</v>
      </c>
      <c r="W282" s="31">
        <f t="shared" si="73"/>
        <v>6.9692673928555748E-3</v>
      </c>
      <c r="X282" s="31">
        <f t="shared" si="74"/>
        <v>4.6461782619037166E-4</v>
      </c>
    </row>
    <row r="283" spans="1:24" ht="14.25" customHeight="1" x14ac:dyDescent="0.25">
      <c r="A283" s="41"/>
      <c r="B283" s="38">
        <v>39</v>
      </c>
      <c r="C283" s="32">
        <v>4.4000000000000004</v>
      </c>
      <c r="D283" s="32">
        <v>3</v>
      </c>
      <c r="E283" s="32">
        <v>1.3</v>
      </c>
      <c r="F283" s="32">
        <v>0.2</v>
      </c>
      <c r="G283" s="39">
        <v>0</v>
      </c>
      <c r="H283">
        <f t="shared" si="64"/>
        <v>1</v>
      </c>
      <c r="I283" s="38">
        <f t="shared" si="75"/>
        <v>0.22327929058290757</v>
      </c>
      <c r="J283" s="40">
        <f t="shared" si="76"/>
        <v>-0.58161167249207801</v>
      </c>
      <c r="K283" s="40">
        <f t="shared" si="77"/>
        <v>-0.49258094919775314</v>
      </c>
      <c r="L283" s="40">
        <f t="shared" si="78"/>
        <v>0.74069181089389546</v>
      </c>
      <c r="M283" s="40">
        <f t="shared" si="79"/>
        <v>0.69066779325193806</v>
      </c>
      <c r="N283" s="35">
        <f t="shared" si="65"/>
        <v>-2.7125220031630435</v>
      </c>
      <c r="O283" s="35">
        <f t="shared" si="66"/>
        <v>6.2238492400750599E-2</v>
      </c>
      <c r="P283" s="36">
        <f t="shared" si="67"/>
        <v>0</v>
      </c>
      <c r="Q283" s="36">
        <f t="shared" si="68"/>
        <v>6.2238492400750599E-2</v>
      </c>
      <c r="R283" s="37">
        <f t="shared" si="69"/>
        <v>3.8736299363182902E-3</v>
      </c>
      <c r="T283" s="31">
        <f t="shared" si="70"/>
        <v>7.265082097926848E-3</v>
      </c>
      <c r="U283" s="31">
        <f t="shared" si="71"/>
        <v>3.1966361230878135E-2</v>
      </c>
      <c r="V283" s="31">
        <f t="shared" si="72"/>
        <v>2.1795246293780546E-2</v>
      </c>
      <c r="W283" s="31">
        <f t="shared" si="73"/>
        <v>9.4446067273049033E-3</v>
      </c>
      <c r="X283" s="31">
        <f t="shared" si="74"/>
        <v>1.4530164195853696E-3</v>
      </c>
    </row>
    <row r="284" spans="1:24" ht="14.25" customHeight="1" x14ac:dyDescent="0.25">
      <c r="A284" s="41"/>
      <c r="B284" s="38">
        <v>40</v>
      </c>
      <c r="C284" s="32">
        <v>5.0999999999999996</v>
      </c>
      <c r="D284" s="32">
        <v>3.4</v>
      </c>
      <c r="E284" s="32">
        <v>1.5</v>
      </c>
      <c r="F284" s="32">
        <v>0.2</v>
      </c>
      <c r="G284" s="39">
        <v>0</v>
      </c>
      <c r="H284">
        <f t="shared" si="64"/>
        <v>1</v>
      </c>
      <c r="I284" s="38">
        <f t="shared" si="75"/>
        <v>0.22255278237311488</v>
      </c>
      <c r="J284" s="40">
        <f t="shared" si="76"/>
        <v>-0.58480830861516586</v>
      </c>
      <c r="K284" s="40">
        <f t="shared" si="77"/>
        <v>-0.49476047382713118</v>
      </c>
      <c r="L284" s="40">
        <f t="shared" si="78"/>
        <v>0.739747350221165</v>
      </c>
      <c r="M284" s="40">
        <f t="shared" si="79"/>
        <v>0.69052249160997947</v>
      </c>
      <c r="N284" s="35">
        <f t="shared" si="65"/>
        <v>-3.1944296789227336</v>
      </c>
      <c r="O284" s="35">
        <f t="shared" si="66"/>
        <v>3.9375882768708646E-2</v>
      </c>
      <c r="P284" s="36">
        <f t="shared" si="67"/>
        <v>0</v>
      </c>
      <c r="Q284" s="36">
        <f t="shared" si="68"/>
        <v>3.9375882768708646E-2</v>
      </c>
      <c r="R284" s="37">
        <f t="shared" si="69"/>
        <v>1.5504601438150864E-3</v>
      </c>
      <c r="T284" s="31">
        <f t="shared" si="70"/>
        <v>2.9788188139093369E-3</v>
      </c>
      <c r="U284" s="31">
        <f t="shared" si="71"/>
        <v>1.5191975950937617E-2</v>
      </c>
      <c r="V284" s="31">
        <f t="shared" si="72"/>
        <v>1.0127983967291745E-2</v>
      </c>
      <c r="W284" s="31">
        <f t="shared" si="73"/>
        <v>4.4682282208640053E-3</v>
      </c>
      <c r="X284" s="31">
        <f t="shared" si="74"/>
        <v>5.9576376278186742E-4</v>
      </c>
    </row>
    <row r="285" spans="1:24" ht="14.25" customHeight="1" x14ac:dyDescent="0.25">
      <c r="A285" s="41"/>
      <c r="B285" s="38">
        <v>41</v>
      </c>
      <c r="C285" s="32">
        <v>7</v>
      </c>
      <c r="D285" s="32">
        <v>3.2</v>
      </c>
      <c r="E285" s="32">
        <v>4.7</v>
      </c>
      <c r="F285" s="32">
        <v>1.4</v>
      </c>
      <c r="G285" s="39">
        <v>1</v>
      </c>
      <c r="H285">
        <f t="shared" si="64"/>
        <v>0</v>
      </c>
      <c r="I285" s="38">
        <f t="shared" si="75"/>
        <v>0.22225490049172394</v>
      </c>
      <c r="J285" s="40">
        <f t="shared" si="76"/>
        <v>-0.58632750621025964</v>
      </c>
      <c r="K285" s="40">
        <f t="shared" si="77"/>
        <v>-0.49577327222386036</v>
      </c>
      <c r="L285" s="40">
        <f t="shared" si="78"/>
        <v>0.73930052739907859</v>
      </c>
      <c r="M285" s="40">
        <f t="shared" si="79"/>
        <v>0.69046291523370129</v>
      </c>
      <c r="N285" s="35">
        <f t="shared" si="65"/>
        <v>-1.0271515539935963</v>
      </c>
      <c r="O285" s="35">
        <f t="shared" si="66"/>
        <v>0.26363670738496814</v>
      </c>
      <c r="P285" s="36">
        <f t="shared" si="67"/>
        <v>0</v>
      </c>
      <c r="Q285" s="36">
        <f t="shared" si="68"/>
        <v>-0.73636329261503186</v>
      </c>
      <c r="R285" s="37">
        <f t="shared" si="69"/>
        <v>0.54223089871085106</v>
      </c>
      <c r="T285" s="31">
        <f t="shared" si="70"/>
        <v>-0.28590393755704185</v>
      </c>
      <c r="U285" s="31">
        <f t="shared" si="71"/>
        <v>-2.0013275628992928</v>
      </c>
      <c r="V285" s="31">
        <f t="shared" si="72"/>
        <v>-0.91489260018253393</v>
      </c>
      <c r="W285" s="31">
        <f t="shared" si="73"/>
        <v>-1.3437485065180967</v>
      </c>
      <c r="X285" s="31">
        <f t="shared" si="74"/>
        <v>-0.4002655125798586</v>
      </c>
    </row>
    <row r="286" spans="1:24" ht="14.25" customHeight="1" x14ac:dyDescent="0.25">
      <c r="A286" s="41"/>
      <c r="B286" s="38">
        <v>42</v>
      </c>
      <c r="C286" s="32">
        <v>6.4</v>
      </c>
      <c r="D286" s="32">
        <v>3.2</v>
      </c>
      <c r="E286" s="32">
        <v>4.5</v>
      </c>
      <c r="F286" s="32">
        <v>1.5</v>
      </c>
      <c r="G286" s="39">
        <v>1</v>
      </c>
      <c r="H286">
        <f t="shared" si="64"/>
        <v>1</v>
      </c>
      <c r="I286" s="38">
        <f t="shared" si="75"/>
        <v>0.25084529424742813</v>
      </c>
      <c r="J286" s="40">
        <f t="shared" si="76"/>
        <v>-0.38619474992033032</v>
      </c>
      <c r="K286" s="40">
        <f t="shared" si="77"/>
        <v>-0.40428401220560695</v>
      </c>
      <c r="L286" s="40">
        <f t="shared" si="78"/>
        <v>0.87367537805088824</v>
      </c>
      <c r="M286" s="40">
        <f t="shared" si="79"/>
        <v>0.73048946649168711</v>
      </c>
      <c r="N286" s="35">
        <f t="shared" si="65"/>
        <v>1.5127634566658994</v>
      </c>
      <c r="O286" s="35">
        <f t="shared" si="66"/>
        <v>0.81947038993533983</v>
      </c>
      <c r="P286" s="36">
        <f t="shared" si="67"/>
        <v>1</v>
      </c>
      <c r="Q286" s="36">
        <f t="shared" si="68"/>
        <v>-0.18052961006466017</v>
      </c>
      <c r="R286" s="37">
        <f t="shared" si="69"/>
        <v>3.2590940110098249E-2</v>
      </c>
      <c r="T286" s="31">
        <f t="shared" si="70"/>
        <v>-5.3414620800763035E-2</v>
      </c>
      <c r="U286" s="31">
        <f t="shared" si="71"/>
        <v>-0.34185357312488346</v>
      </c>
      <c r="V286" s="31">
        <f t="shared" si="72"/>
        <v>-0.17092678656244173</v>
      </c>
      <c r="W286" s="31">
        <f t="shared" si="73"/>
        <v>-0.24036579360343366</v>
      </c>
      <c r="X286" s="31">
        <f t="shared" si="74"/>
        <v>-8.0121931201144553E-2</v>
      </c>
    </row>
    <row r="287" spans="1:24" ht="14.25" customHeight="1" x14ac:dyDescent="0.25">
      <c r="A287" s="41"/>
      <c r="B287" s="38">
        <v>43</v>
      </c>
      <c r="C287" s="32">
        <v>6.9</v>
      </c>
      <c r="D287" s="32">
        <v>3.1</v>
      </c>
      <c r="E287" s="32">
        <v>4.9000000000000004</v>
      </c>
      <c r="F287" s="32">
        <v>1.5</v>
      </c>
      <c r="G287" s="39">
        <v>1</v>
      </c>
      <c r="H287">
        <f t="shared" si="64"/>
        <v>1</v>
      </c>
      <c r="I287" s="38">
        <f t="shared" si="75"/>
        <v>0.25618675632750443</v>
      </c>
      <c r="J287" s="40">
        <f t="shared" si="76"/>
        <v>-0.35200939260784198</v>
      </c>
      <c r="K287" s="40">
        <f t="shared" si="77"/>
        <v>-0.38719133354936275</v>
      </c>
      <c r="L287" s="40">
        <f t="shared" si="78"/>
        <v>0.89771195741123155</v>
      </c>
      <c r="M287" s="40">
        <f t="shared" si="79"/>
        <v>0.73850165961180159</v>
      </c>
      <c r="N287" s="35">
        <f t="shared" si="65"/>
        <v>2.1335698940631072</v>
      </c>
      <c r="O287" s="35">
        <f t="shared" si="66"/>
        <v>0.89412343428012298</v>
      </c>
      <c r="P287" s="36">
        <f t="shared" si="67"/>
        <v>1</v>
      </c>
      <c r="Q287" s="36">
        <f t="shared" si="68"/>
        <v>-0.10587656571987702</v>
      </c>
      <c r="R287" s="37">
        <f t="shared" si="69"/>
        <v>1.1209847168635439E-2</v>
      </c>
      <c r="T287" s="31">
        <f t="shared" si="70"/>
        <v>-2.0045974096351265E-2</v>
      </c>
      <c r="U287" s="31">
        <f t="shared" si="71"/>
        <v>-0.13831722126482374</v>
      </c>
      <c r="V287" s="31">
        <f t="shared" si="72"/>
        <v>-6.2142519698688926E-2</v>
      </c>
      <c r="W287" s="31">
        <f t="shared" si="73"/>
        <v>-9.82252730721212E-2</v>
      </c>
      <c r="X287" s="31">
        <f t="shared" si="74"/>
        <v>-3.0068961144526896E-2</v>
      </c>
    </row>
    <row r="288" spans="1:24" ht="14.25" customHeight="1" x14ac:dyDescent="0.25">
      <c r="A288" s="41"/>
      <c r="B288" s="38">
        <v>44</v>
      </c>
      <c r="C288" s="32">
        <v>5.5</v>
      </c>
      <c r="D288" s="32">
        <v>2.2999999999999998</v>
      </c>
      <c r="E288" s="32">
        <v>4</v>
      </c>
      <c r="F288" s="32">
        <v>1.3</v>
      </c>
      <c r="G288" s="39">
        <v>1</v>
      </c>
      <c r="H288">
        <f t="shared" si="64"/>
        <v>1</v>
      </c>
      <c r="I288" s="38">
        <f t="shared" si="75"/>
        <v>0.25819135373713953</v>
      </c>
      <c r="J288" s="40">
        <f t="shared" si="76"/>
        <v>-0.3381776704813596</v>
      </c>
      <c r="K288" s="40">
        <f t="shared" si="77"/>
        <v>-0.38097708157949384</v>
      </c>
      <c r="L288" s="40">
        <f t="shared" si="78"/>
        <v>0.90753448471844367</v>
      </c>
      <c r="M288" s="40">
        <f t="shared" si="79"/>
        <v>0.74150855572625429</v>
      </c>
      <c r="N288" s="35">
        <f t="shared" si="65"/>
        <v>2.1160659397747317</v>
      </c>
      <c r="O288" s="35">
        <f t="shared" si="66"/>
        <v>0.89245492438656293</v>
      </c>
      <c r="P288" s="36">
        <f t="shared" si="67"/>
        <v>1</v>
      </c>
      <c r="Q288" s="36">
        <f t="shared" si="68"/>
        <v>-0.10754507561343707</v>
      </c>
      <c r="R288" s="37">
        <f t="shared" si="69"/>
        <v>1.1565943288699896E-2</v>
      </c>
      <c r="T288" s="31">
        <f t="shared" si="70"/>
        <v>-2.0644166086351882E-2</v>
      </c>
      <c r="U288" s="31">
        <f t="shared" si="71"/>
        <v>-0.11354291347493535</v>
      </c>
      <c r="V288" s="31">
        <f t="shared" si="72"/>
        <v>-4.7481581998609329E-2</v>
      </c>
      <c r="W288" s="31">
        <f t="shared" si="73"/>
        <v>-8.257666434540753E-2</v>
      </c>
      <c r="X288" s="31">
        <f t="shared" si="74"/>
        <v>-2.6837415912257447E-2</v>
      </c>
    </row>
    <row r="289" spans="1:24" ht="14.25" customHeight="1" x14ac:dyDescent="0.25">
      <c r="A289" s="41"/>
      <c r="B289" s="38">
        <v>45</v>
      </c>
      <c r="C289" s="32">
        <v>6.5</v>
      </c>
      <c r="D289" s="32">
        <v>2.8</v>
      </c>
      <c r="E289" s="32">
        <v>4.5999999999999996</v>
      </c>
      <c r="F289" s="32">
        <v>1.5</v>
      </c>
      <c r="G289" s="39">
        <v>1</v>
      </c>
      <c r="H289">
        <f t="shared" si="64"/>
        <v>1</v>
      </c>
      <c r="I289" s="38">
        <f t="shared" si="75"/>
        <v>0.26025577034577474</v>
      </c>
      <c r="J289" s="40">
        <f t="shared" si="76"/>
        <v>-0.32682337913386605</v>
      </c>
      <c r="K289" s="40">
        <f t="shared" si="77"/>
        <v>-0.37622892337963293</v>
      </c>
      <c r="L289" s="40">
        <f t="shared" si="78"/>
        <v>0.9157921511529844</v>
      </c>
      <c r="M289" s="40">
        <f t="shared" si="79"/>
        <v>0.74419229731748004</v>
      </c>
      <c r="N289" s="35">
        <f t="shared" si="65"/>
        <v>2.4113951617926217</v>
      </c>
      <c r="O289" s="35">
        <f t="shared" si="66"/>
        <v>0.91769212446056325</v>
      </c>
      <c r="P289" s="36">
        <f t="shared" si="67"/>
        <v>1</v>
      </c>
      <c r="Q289" s="36">
        <f t="shared" si="68"/>
        <v>-8.2307875539436748E-2</v>
      </c>
      <c r="R289" s="37">
        <f t="shared" si="69"/>
        <v>6.77458637581541E-3</v>
      </c>
      <c r="T289" s="31">
        <f t="shared" si="70"/>
        <v>-1.2433969127127263E-2</v>
      </c>
      <c r="U289" s="31">
        <f t="shared" si="71"/>
        <v>-8.0820799326327214E-2</v>
      </c>
      <c r="V289" s="31">
        <f t="shared" si="72"/>
        <v>-3.4815113555956331E-2</v>
      </c>
      <c r="W289" s="31">
        <f t="shared" si="73"/>
        <v>-5.7196257984785406E-2</v>
      </c>
      <c r="X289" s="31">
        <f t="shared" si="74"/>
        <v>-1.8650953690690895E-2</v>
      </c>
    </row>
    <row r="290" spans="1:24" ht="14.25" customHeight="1" x14ac:dyDescent="0.25">
      <c r="A290" s="41"/>
      <c r="B290" s="38">
        <v>46</v>
      </c>
      <c r="C290" s="32">
        <v>5.7</v>
      </c>
      <c r="D290" s="32">
        <v>2.8</v>
      </c>
      <c r="E290" s="32">
        <v>4.5</v>
      </c>
      <c r="F290" s="32">
        <v>1.3</v>
      </c>
      <c r="G290" s="39">
        <v>1</v>
      </c>
      <c r="H290">
        <f t="shared" si="64"/>
        <v>1</v>
      </c>
      <c r="I290" s="38">
        <f t="shared" si="75"/>
        <v>0.26149916725848749</v>
      </c>
      <c r="J290" s="40">
        <f t="shared" si="76"/>
        <v>-0.31874129920123334</v>
      </c>
      <c r="K290" s="40">
        <f t="shared" si="77"/>
        <v>-0.37274741202403727</v>
      </c>
      <c r="L290" s="40">
        <f t="shared" si="78"/>
        <v>0.92151177695146291</v>
      </c>
      <c r="M290" s="40">
        <f t="shared" si="79"/>
        <v>0.74605739268654914</v>
      </c>
      <c r="N290" s="35">
        <f t="shared" si="65"/>
        <v>2.5176586149182492</v>
      </c>
      <c r="O290" s="35">
        <f t="shared" si="66"/>
        <v>0.92537051992119801</v>
      </c>
      <c r="P290" s="36">
        <f t="shared" si="67"/>
        <v>1</v>
      </c>
      <c r="Q290" s="36">
        <f t="shared" si="68"/>
        <v>-7.4629480078801991E-2</v>
      </c>
      <c r="R290" s="37">
        <f t="shared" si="69"/>
        <v>5.5695592968323035E-3</v>
      </c>
      <c r="T290" s="31">
        <f t="shared" si="70"/>
        <v>-1.0307811964483301E-2</v>
      </c>
      <c r="U290" s="31">
        <f t="shared" si="71"/>
        <v>-5.8754528197554813E-2</v>
      </c>
      <c r="V290" s="31">
        <f t="shared" si="72"/>
        <v>-2.8861873500553241E-2</v>
      </c>
      <c r="W290" s="31">
        <f t="shared" si="73"/>
        <v>-4.6385153840174852E-2</v>
      </c>
      <c r="X290" s="31">
        <f t="shared" si="74"/>
        <v>-1.3400155553828291E-2</v>
      </c>
    </row>
    <row r="291" spans="1:24" ht="14.25" customHeight="1" x14ac:dyDescent="0.25">
      <c r="A291" s="41"/>
      <c r="B291" s="38">
        <v>47</v>
      </c>
      <c r="C291" s="32">
        <v>6.3</v>
      </c>
      <c r="D291" s="32">
        <v>3.3</v>
      </c>
      <c r="E291" s="32">
        <v>4.7</v>
      </c>
      <c r="F291" s="32">
        <v>1.6</v>
      </c>
      <c r="G291" s="39">
        <v>1</v>
      </c>
      <c r="H291">
        <f t="shared" si="64"/>
        <v>1</v>
      </c>
      <c r="I291" s="38">
        <f t="shared" si="75"/>
        <v>0.26252994845493582</v>
      </c>
      <c r="J291" s="40">
        <f t="shared" si="76"/>
        <v>-0.31286584638147785</v>
      </c>
      <c r="K291" s="40">
        <f t="shared" si="77"/>
        <v>-0.36986122467398197</v>
      </c>
      <c r="L291" s="40">
        <f t="shared" si="78"/>
        <v>0.92615029233548041</v>
      </c>
      <c r="M291" s="40">
        <f t="shared" si="79"/>
        <v>0.74739740824193202</v>
      </c>
      <c r="N291" s="35">
        <f t="shared" si="65"/>
        <v>2.6196753019913341</v>
      </c>
      <c r="O291" s="35">
        <f t="shared" si="66"/>
        <v>0.93211716411800105</v>
      </c>
      <c r="P291" s="36">
        <f t="shared" si="67"/>
        <v>1</v>
      </c>
      <c r="Q291" s="36">
        <f t="shared" si="68"/>
        <v>-6.7882835881998949E-2</v>
      </c>
      <c r="R291" s="37">
        <f t="shared" si="69"/>
        <v>4.608079407382404E-3</v>
      </c>
      <c r="T291" s="31">
        <f t="shared" si="70"/>
        <v>-8.5905398184796915E-3</v>
      </c>
      <c r="U291" s="31">
        <f t="shared" si="71"/>
        <v>-5.4120400856422057E-2</v>
      </c>
      <c r="V291" s="31">
        <f t="shared" si="72"/>
        <v>-2.8348781400982979E-2</v>
      </c>
      <c r="W291" s="31">
        <f t="shared" si="73"/>
        <v>-4.0375537146854552E-2</v>
      </c>
      <c r="X291" s="31">
        <f t="shared" si="74"/>
        <v>-1.3744863709567507E-2</v>
      </c>
    </row>
    <row r="292" spans="1:24" ht="14.25" customHeight="1" x14ac:dyDescent="0.25">
      <c r="A292" s="41"/>
      <c r="B292" s="38">
        <v>48</v>
      </c>
      <c r="C292" s="32">
        <v>4.9000000000000004</v>
      </c>
      <c r="D292" s="32">
        <v>2.4</v>
      </c>
      <c r="E292" s="32">
        <v>3.3</v>
      </c>
      <c r="F292" s="32">
        <v>1</v>
      </c>
      <c r="G292" s="39">
        <v>1</v>
      </c>
      <c r="H292">
        <f t="shared" si="64"/>
        <v>1</v>
      </c>
      <c r="I292" s="38">
        <f t="shared" si="75"/>
        <v>0.26338900243678381</v>
      </c>
      <c r="J292" s="40">
        <f t="shared" si="76"/>
        <v>-0.30745380629583563</v>
      </c>
      <c r="K292" s="40">
        <f t="shared" si="77"/>
        <v>-0.36702634653388366</v>
      </c>
      <c r="L292" s="40">
        <f t="shared" si="78"/>
        <v>0.93018784605016591</v>
      </c>
      <c r="M292" s="40">
        <f t="shared" si="79"/>
        <v>0.74877189461288873</v>
      </c>
      <c r="N292" s="35">
        <f t="shared" si="65"/>
        <v>1.6943939064843043</v>
      </c>
      <c r="O292" s="35">
        <f t="shared" si="66"/>
        <v>0.84480112773612304</v>
      </c>
      <c r="P292" s="36">
        <f t="shared" si="67"/>
        <v>1</v>
      </c>
      <c r="Q292" s="36">
        <f t="shared" si="68"/>
        <v>-0.15519887226387696</v>
      </c>
      <c r="R292" s="37">
        <f t="shared" si="69"/>
        <v>2.4086689951979198E-2</v>
      </c>
      <c r="T292" s="31">
        <f t="shared" si="70"/>
        <v>-4.0696925669724743E-2</v>
      </c>
      <c r="U292" s="31">
        <f t="shared" si="71"/>
        <v>-0.19941493578165126</v>
      </c>
      <c r="V292" s="31">
        <f t="shared" si="72"/>
        <v>-9.7672621607339374E-2</v>
      </c>
      <c r="W292" s="31">
        <f t="shared" si="73"/>
        <v>-0.13429985471009165</v>
      </c>
      <c r="X292" s="31">
        <f t="shared" si="74"/>
        <v>-4.0696925669724743E-2</v>
      </c>
    </row>
    <row r="293" spans="1:24" ht="14.25" customHeight="1" x14ac:dyDescent="0.25">
      <c r="A293" s="41"/>
      <c r="B293" s="38">
        <v>49</v>
      </c>
      <c r="C293" s="32">
        <v>6.6</v>
      </c>
      <c r="D293" s="32">
        <v>2.9</v>
      </c>
      <c r="E293" s="32">
        <v>4.5999999999999996</v>
      </c>
      <c r="F293" s="32">
        <v>1.3</v>
      </c>
      <c r="G293" s="39">
        <v>1</v>
      </c>
      <c r="H293">
        <f t="shared" si="64"/>
        <v>1</v>
      </c>
      <c r="I293" s="38">
        <f t="shared" si="75"/>
        <v>0.2674586950037563</v>
      </c>
      <c r="J293" s="40">
        <f t="shared" si="76"/>
        <v>-0.28751231271767053</v>
      </c>
      <c r="K293" s="40">
        <f t="shared" si="77"/>
        <v>-0.35725908437314974</v>
      </c>
      <c r="L293" s="40">
        <f t="shared" si="78"/>
        <v>0.94361783152117507</v>
      </c>
      <c r="M293" s="40">
        <f t="shared" si="79"/>
        <v>0.75284158717986116</v>
      </c>
      <c r="N293" s="35">
        <f t="shared" si="65"/>
        <v>2.6531621747162211</v>
      </c>
      <c r="O293" s="35">
        <f t="shared" si="66"/>
        <v>0.93420562216193337</v>
      </c>
      <c r="P293" s="36">
        <f t="shared" si="67"/>
        <v>1</v>
      </c>
      <c r="Q293" s="36">
        <f t="shared" si="68"/>
        <v>-6.5794377838066631E-2</v>
      </c>
      <c r="R293" s="37">
        <f t="shared" si="69"/>
        <v>4.3289001550982737E-3</v>
      </c>
      <c r="T293" s="31">
        <f t="shared" si="70"/>
        <v>-8.0881657253409449E-3</v>
      </c>
      <c r="U293" s="31">
        <f t="shared" si="71"/>
        <v>-5.338189378725023E-2</v>
      </c>
      <c r="V293" s="31">
        <f t="shared" si="72"/>
        <v>-2.3455680603488738E-2</v>
      </c>
      <c r="W293" s="31">
        <f t="shared" si="73"/>
        <v>-3.720556233656834E-2</v>
      </c>
      <c r="X293" s="31">
        <f t="shared" si="74"/>
        <v>-1.0514615442943229E-2</v>
      </c>
    </row>
    <row r="294" spans="1:24" ht="14.25" customHeight="1" x14ac:dyDescent="0.25">
      <c r="A294" s="41"/>
      <c r="B294" s="38">
        <v>50</v>
      </c>
      <c r="C294" s="32">
        <v>5.2</v>
      </c>
      <c r="D294" s="32">
        <v>2.7</v>
      </c>
      <c r="E294" s="32">
        <v>3.9</v>
      </c>
      <c r="F294" s="32">
        <v>1.4</v>
      </c>
      <c r="G294" s="39">
        <v>1</v>
      </c>
      <c r="H294">
        <f t="shared" si="64"/>
        <v>1</v>
      </c>
      <c r="I294" s="38">
        <f t="shared" si="75"/>
        <v>0.26826751157629042</v>
      </c>
      <c r="J294" s="40">
        <f t="shared" si="76"/>
        <v>-0.28217412333894548</v>
      </c>
      <c r="K294" s="40">
        <f t="shared" si="77"/>
        <v>-0.35491351631280088</v>
      </c>
      <c r="L294" s="40">
        <f t="shared" si="78"/>
        <v>0.94733838775483192</v>
      </c>
      <c r="M294" s="40">
        <f t="shared" si="79"/>
        <v>0.75389304872415552</v>
      </c>
      <c r="N294" s="35">
        <f t="shared" si="65"/>
        <v>2.5927655566268735</v>
      </c>
      <c r="O294" s="35">
        <f t="shared" si="66"/>
        <v>0.93039452940664169</v>
      </c>
      <c r="P294" s="36">
        <f t="shared" si="67"/>
        <v>1</v>
      </c>
      <c r="Q294" s="36">
        <f t="shared" si="68"/>
        <v>-6.960547059335831E-2</v>
      </c>
      <c r="R294" s="37">
        <f t="shared" si="69"/>
        <v>4.8449215365228681E-3</v>
      </c>
      <c r="T294" s="31">
        <f t="shared" si="70"/>
        <v>-9.0153769859705937E-3</v>
      </c>
      <c r="U294" s="31">
        <f t="shared" si="71"/>
        <v>-4.6879960327047089E-2</v>
      </c>
      <c r="V294" s="31">
        <f t="shared" si="72"/>
        <v>-2.4341517862120604E-2</v>
      </c>
      <c r="W294" s="31">
        <f t="shared" si="73"/>
        <v>-3.5159970245285312E-2</v>
      </c>
      <c r="X294" s="31">
        <f t="shared" si="74"/>
        <v>-1.262152778035883E-2</v>
      </c>
    </row>
    <row r="295" spans="1:24" ht="14.25" customHeight="1" x14ac:dyDescent="0.25">
      <c r="A295" s="41"/>
      <c r="B295" s="38">
        <v>51</v>
      </c>
      <c r="C295" s="32">
        <v>5</v>
      </c>
      <c r="D295" s="32">
        <v>2</v>
      </c>
      <c r="E295" s="32">
        <v>3.5</v>
      </c>
      <c r="F295" s="32">
        <v>1</v>
      </c>
      <c r="G295" s="39">
        <v>1</v>
      </c>
      <c r="H295">
        <f t="shared" si="64"/>
        <v>1</v>
      </c>
      <c r="I295" s="38">
        <f t="shared" si="75"/>
        <v>0.2691690492748875</v>
      </c>
      <c r="J295" s="40">
        <f t="shared" si="76"/>
        <v>-0.27748612730624078</v>
      </c>
      <c r="K295" s="40">
        <f t="shared" si="77"/>
        <v>-0.35247936452658885</v>
      </c>
      <c r="L295" s="40">
        <f t="shared" si="78"/>
        <v>0.95085438477936046</v>
      </c>
      <c r="M295" s="40">
        <f t="shared" si="79"/>
        <v>0.7551552015021914</v>
      </c>
      <c r="N295" s="35">
        <f t="shared" si="65"/>
        <v>2.2599252319204588</v>
      </c>
      <c r="O295" s="35">
        <f t="shared" si="66"/>
        <v>0.90550323355400664</v>
      </c>
      <c r="P295" s="36">
        <f t="shared" si="67"/>
        <v>1</v>
      </c>
      <c r="Q295" s="36">
        <f t="shared" si="68"/>
        <v>-9.4496766445993363E-2</v>
      </c>
      <c r="R295" s="37">
        <f t="shared" si="69"/>
        <v>8.9296388687486166E-3</v>
      </c>
      <c r="T295" s="31">
        <f t="shared" si="70"/>
        <v>-1.617163374024283E-2</v>
      </c>
      <c r="U295" s="31">
        <f t="shared" si="71"/>
        <v>-8.085816870121415E-2</v>
      </c>
      <c r="V295" s="31">
        <f t="shared" si="72"/>
        <v>-3.234326748048566E-2</v>
      </c>
      <c r="W295" s="31">
        <f t="shared" si="73"/>
        <v>-5.6600718090849905E-2</v>
      </c>
      <c r="X295" s="31">
        <f t="shared" si="74"/>
        <v>-1.617163374024283E-2</v>
      </c>
    </row>
    <row r="296" spans="1:24" ht="14.25" customHeight="1" x14ac:dyDescent="0.25">
      <c r="A296" s="41"/>
      <c r="B296" s="38">
        <v>52</v>
      </c>
      <c r="C296" s="32">
        <v>5.9</v>
      </c>
      <c r="D296" s="32">
        <v>3</v>
      </c>
      <c r="E296" s="32">
        <v>4.2</v>
      </c>
      <c r="F296" s="32">
        <v>1.5</v>
      </c>
      <c r="G296" s="39">
        <v>1</v>
      </c>
      <c r="H296">
        <f t="shared" si="64"/>
        <v>1</v>
      </c>
      <c r="I296" s="38">
        <f t="shared" si="75"/>
        <v>0.27078621264891178</v>
      </c>
      <c r="J296" s="40">
        <f t="shared" si="76"/>
        <v>-0.26940031043611934</v>
      </c>
      <c r="K296" s="40">
        <f t="shared" si="77"/>
        <v>-0.34924503777854027</v>
      </c>
      <c r="L296" s="40">
        <f t="shared" si="78"/>
        <v>0.95651445658844547</v>
      </c>
      <c r="M296" s="40">
        <f t="shared" si="79"/>
        <v>0.75677236487621569</v>
      </c>
      <c r="N296" s="35">
        <f t="shared" si="65"/>
        <v>2.7861085327259811</v>
      </c>
      <c r="O296" s="35">
        <f t="shared" si="66"/>
        <v>0.94192052288251238</v>
      </c>
      <c r="P296" s="36">
        <f t="shared" si="67"/>
        <v>1</v>
      </c>
      <c r="Q296" s="36">
        <f t="shared" si="68"/>
        <v>-5.8079477117487621E-2</v>
      </c>
      <c r="R296" s="37">
        <f t="shared" si="69"/>
        <v>3.3732256622407684E-3</v>
      </c>
      <c r="T296" s="31">
        <f t="shared" si="70"/>
        <v>-6.3546209591570672E-3</v>
      </c>
      <c r="U296" s="31">
        <f t="shared" si="71"/>
        <v>-3.7492263659026699E-2</v>
      </c>
      <c r="V296" s="31">
        <f t="shared" si="72"/>
        <v>-1.9063862877471201E-2</v>
      </c>
      <c r="W296" s="31">
        <f t="shared" si="73"/>
        <v>-2.6689408028459684E-2</v>
      </c>
      <c r="X296" s="31">
        <f t="shared" si="74"/>
        <v>-9.5319314387356004E-3</v>
      </c>
    </row>
    <row r="297" spans="1:24" ht="14.25" customHeight="1" x14ac:dyDescent="0.25">
      <c r="A297" s="41"/>
      <c r="B297" s="38">
        <v>53</v>
      </c>
      <c r="C297" s="32">
        <v>6</v>
      </c>
      <c r="D297" s="32">
        <v>2.2000000000000002</v>
      </c>
      <c r="E297" s="32">
        <v>4</v>
      </c>
      <c r="F297" s="32">
        <v>1</v>
      </c>
      <c r="G297" s="39">
        <v>1</v>
      </c>
      <c r="H297">
        <f t="shared" si="64"/>
        <v>1</v>
      </c>
      <c r="I297" s="38">
        <f t="shared" si="75"/>
        <v>0.27142167474482748</v>
      </c>
      <c r="J297" s="40">
        <f t="shared" si="76"/>
        <v>-0.26565108407021665</v>
      </c>
      <c r="K297" s="40">
        <f t="shared" si="77"/>
        <v>-0.34733865149079313</v>
      </c>
      <c r="L297" s="40">
        <f t="shared" si="78"/>
        <v>0.95918339739129144</v>
      </c>
      <c r="M297" s="40">
        <f t="shared" si="79"/>
        <v>0.75772555802008923</v>
      </c>
      <c r="N297" s="35">
        <f t="shared" si="65"/>
        <v>2.5078292846290378</v>
      </c>
      <c r="O297" s="35">
        <f t="shared" si="66"/>
        <v>0.92468886255570071</v>
      </c>
      <c r="P297" s="36">
        <f t="shared" si="67"/>
        <v>1</v>
      </c>
      <c r="Q297" s="36">
        <f t="shared" si="68"/>
        <v>-7.5311137444299292E-2</v>
      </c>
      <c r="R297" s="37">
        <f t="shared" si="69"/>
        <v>5.6717674231541388E-3</v>
      </c>
      <c r="T297" s="31">
        <f t="shared" si="70"/>
        <v>-1.0489240334393756E-2</v>
      </c>
      <c r="U297" s="31">
        <f t="shared" si="71"/>
        <v>-6.293544200636253E-2</v>
      </c>
      <c r="V297" s="31">
        <f t="shared" si="72"/>
        <v>-2.3076328735666264E-2</v>
      </c>
      <c r="W297" s="31">
        <f t="shared" si="73"/>
        <v>-4.1956961337575024E-2</v>
      </c>
      <c r="X297" s="31">
        <f t="shared" si="74"/>
        <v>-1.0489240334393756E-2</v>
      </c>
    </row>
    <row r="298" spans="1:24" ht="14.25" customHeight="1" x14ac:dyDescent="0.25">
      <c r="A298" s="41"/>
      <c r="B298" s="38">
        <v>54</v>
      </c>
      <c r="C298" s="32">
        <v>6.1</v>
      </c>
      <c r="D298" s="32">
        <v>2.9</v>
      </c>
      <c r="E298" s="32">
        <v>4.7</v>
      </c>
      <c r="F298" s="32">
        <v>1.4</v>
      </c>
      <c r="G298" s="39">
        <v>1</v>
      </c>
      <c r="H298">
        <f t="shared" si="64"/>
        <v>1</v>
      </c>
      <c r="I298" s="38">
        <f t="shared" si="75"/>
        <v>0.27247059877826685</v>
      </c>
      <c r="J298" s="40">
        <f t="shared" si="76"/>
        <v>-0.25935753986958038</v>
      </c>
      <c r="K298" s="40">
        <f t="shared" si="77"/>
        <v>-0.34503101861722651</v>
      </c>
      <c r="L298" s="40">
        <f t="shared" si="78"/>
        <v>0.96337909352504891</v>
      </c>
      <c r="M298" s="40">
        <f t="shared" si="79"/>
        <v>0.7587744820535286</v>
      </c>
      <c r="N298" s="35">
        <f t="shared" si="65"/>
        <v>3.2799656660265404</v>
      </c>
      <c r="O298" s="35">
        <f t="shared" si="66"/>
        <v>0.96373508367990712</v>
      </c>
      <c r="P298" s="36">
        <f t="shared" si="67"/>
        <v>1</v>
      </c>
      <c r="Q298" s="36">
        <f t="shared" si="68"/>
        <v>-3.6264916320092877E-2</v>
      </c>
      <c r="R298" s="37">
        <f t="shared" si="69"/>
        <v>1.3151441557033388E-3</v>
      </c>
      <c r="T298" s="31">
        <f t="shared" si="70"/>
        <v>-2.534901125895796E-3</v>
      </c>
      <c r="U298" s="31">
        <f t="shared" si="71"/>
        <v>-1.5462896867964355E-2</v>
      </c>
      <c r="V298" s="31">
        <f t="shared" si="72"/>
        <v>-7.351213265097808E-3</v>
      </c>
      <c r="W298" s="31">
        <f t="shared" si="73"/>
        <v>-1.1914035291710241E-2</v>
      </c>
      <c r="X298" s="31">
        <f t="shared" si="74"/>
        <v>-3.5488615762541142E-3</v>
      </c>
    </row>
    <row r="299" spans="1:24" ht="14.25" customHeight="1" x14ac:dyDescent="0.25">
      <c r="A299" s="41"/>
      <c r="B299" s="38">
        <v>55</v>
      </c>
      <c r="C299" s="32">
        <v>5.6</v>
      </c>
      <c r="D299" s="32">
        <v>2.9</v>
      </c>
      <c r="E299" s="32">
        <v>3.6</v>
      </c>
      <c r="F299" s="32">
        <v>1.3</v>
      </c>
      <c r="G299" s="39">
        <v>1</v>
      </c>
      <c r="H299">
        <f t="shared" si="64"/>
        <v>1</v>
      </c>
      <c r="I299" s="38">
        <f t="shared" si="75"/>
        <v>0.27272408889085642</v>
      </c>
      <c r="J299" s="40">
        <f t="shared" si="76"/>
        <v>-0.25781125018278395</v>
      </c>
      <c r="K299" s="40">
        <f t="shared" si="77"/>
        <v>-0.34429589729071675</v>
      </c>
      <c r="L299" s="40">
        <f t="shared" si="78"/>
        <v>0.96457049705421993</v>
      </c>
      <c r="M299" s="40">
        <f t="shared" si="79"/>
        <v>0.75912936821115395</v>
      </c>
      <c r="N299" s="35">
        <f t="shared" si="65"/>
        <v>2.2898449537938799</v>
      </c>
      <c r="O299" s="35">
        <f t="shared" si="66"/>
        <v>0.90803250306060179</v>
      </c>
      <c r="P299" s="36">
        <f t="shared" si="67"/>
        <v>1</v>
      </c>
      <c r="Q299" s="36">
        <f t="shared" si="68"/>
        <v>-9.1967496939398208E-2</v>
      </c>
      <c r="R299" s="37">
        <f t="shared" si="69"/>
        <v>8.4580204932982184E-3</v>
      </c>
      <c r="T299" s="31">
        <f t="shared" si="70"/>
        <v>-1.5360315038934895E-2</v>
      </c>
      <c r="U299" s="31">
        <f t="shared" si="71"/>
        <v>-8.6017764218035406E-2</v>
      </c>
      <c r="V299" s="31">
        <f t="shared" si="72"/>
        <v>-4.4544913612911193E-2</v>
      </c>
      <c r="W299" s="31">
        <f t="shared" si="73"/>
        <v>-5.529713414016562E-2</v>
      </c>
      <c r="X299" s="31">
        <f t="shared" si="74"/>
        <v>-1.9968409550615365E-2</v>
      </c>
    </row>
    <row r="300" spans="1:24" ht="14.25" customHeight="1" x14ac:dyDescent="0.25">
      <c r="A300" s="41"/>
      <c r="B300" s="38">
        <v>56</v>
      </c>
      <c r="C300" s="32">
        <v>6.7</v>
      </c>
      <c r="D300" s="32">
        <v>3.1</v>
      </c>
      <c r="E300" s="32">
        <v>4.4000000000000004</v>
      </c>
      <c r="F300" s="32">
        <v>1.4</v>
      </c>
      <c r="G300" s="39">
        <v>1</v>
      </c>
      <c r="H300">
        <f t="shared" si="64"/>
        <v>1</v>
      </c>
      <c r="I300" s="38">
        <f t="shared" si="75"/>
        <v>0.2742601203947499</v>
      </c>
      <c r="J300" s="40">
        <f t="shared" si="76"/>
        <v>-0.2492094737609804</v>
      </c>
      <c r="K300" s="40">
        <f t="shared" si="77"/>
        <v>-0.33984140592942563</v>
      </c>
      <c r="L300" s="40">
        <f t="shared" si="78"/>
        <v>0.97010021046823647</v>
      </c>
      <c r="M300" s="40">
        <f t="shared" si="79"/>
        <v>0.76112620916621554</v>
      </c>
      <c r="N300" s="35">
        <f t="shared" si="65"/>
        <v>2.8850659067079043</v>
      </c>
      <c r="O300" s="35">
        <f t="shared" si="66"/>
        <v>0.94710323453242451</v>
      </c>
      <c r="P300" s="36">
        <f t="shared" si="67"/>
        <v>1</v>
      </c>
      <c r="Q300" s="36">
        <f t="shared" si="68"/>
        <v>-5.2896765467575491E-2</v>
      </c>
      <c r="R300" s="37">
        <f t="shared" si="69"/>
        <v>2.7980677969316869E-3</v>
      </c>
      <c r="T300" s="31">
        <f t="shared" si="70"/>
        <v>-5.3001181218300317E-3</v>
      </c>
      <c r="U300" s="31">
        <f t="shared" si="71"/>
        <v>-3.5510791416261213E-2</v>
      </c>
      <c r="V300" s="31">
        <f t="shared" si="72"/>
        <v>-1.64303661776731E-2</v>
      </c>
      <c r="W300" s="31">
        <f t="shared" si="73"/>
        <v>-2.3320519736052141E-2</v>
      </c>
      <c r="X300" s="31">
        <f t="shared" si="74"/>
        <v>-7.420165370562044E-3</v>
      </c>
    </row>
    <row r="301" spans="1:24" ht="14.25" customHeight="1" x14ac:dyDescent="0.25">
      <c r="A301" s="41"/>
      <c r="B301" s="38">
        <v>57</v>
      </c>
      <c r="C301" s="32">
        <v>5.6</v>
      </c>
      <c r="D301" s="32">
        <v>3</v>
      </c>
      <c r="E301" s="32">
        <v>4.5</v>
      </c>
      <c r="F301" s="32">
        <v>1.5</v>
      </c>
      <c r="G301" s="39">
        <v>1</v>
      </c>
      <c r="H301">
        <f t="shared" si="64"/>
        <v>1</v>
      </c>
      <c r="I301" s="38">
        <f t="shared" si="75"/>
        <v>0.27479013220693288</v>
      </c>
      <c r="J301" s="40">
        <f t="shared" si="76"/>
        <v>-0.24565839461935429</v>
      </c>
      <c r="K301" s="40">
        <f t="shared" si="77"/>
        <v>-0.33819836931165831</v>
      </c>
      <c r="L301" s="40">
        <f t="shared" si="78"/>
        <v>0.97243226244184167</v>
      </c>
      <c r="M301" s="40">
        <f t="shared" si="79"/>
        <v>0.76186822570327173</v>
      </c>
      <c r="N301" s="35">
        <f t="shared" si="65"/>
        <v>3.4032555339467683</v>
      </c>
      <c r="O301" s="35">
        <f t="shared" si="66"/>
        <v>0.96780612399941257</v>
      </c>
      <c r="P301" s="36">
        <f t="shared" si="67"/>
        <v>1</v>
      </c>
      <c r="Q301" s="36">
        <f t="shared" si="68"/>
        <v>-3.2193876000587429E-2</v>
      </c>
      <c r="R301" s="37">
        <f t="shared" si="69"/>
        <v>1.0364456519411991E-3</v>
      </c>
      <c r="T301" s="31">
        <f t="shared" si="70"/>
        <v>-2.0061568982825124E-3</v>
      </c>
      <c r="U301" s="31">
        <f t="shared" si="71"/>
        <v>-1.1234478630382069E-2</v>
      </c>
      <c r="V301" s="31">
        <f t="shared" si="72"/>
        <v>-6.0184706948475369E-3</v>
      </c>
      <c r="W301" s="31">
        <f t="shared" si="73"/>
        <v>-9.0277060422713062E-3</v>
      </c>
      <c r="X301" s="31">
        <f t="shared" si="74"/>
        <v>-3.0092353474237684E-3</v>
      </c>
    </row>
    <row r="302" spans="1:24" ht="14.25" customHeight="1" x14ac:dyDescent="0.25">
      <c r="A302" s="41"/>
      <c r="B302" s="38">
        <v>58</v>
      </c>
      <c r="C302" s="32">
        <v>5.8</v>
      </c>
      <c r="D302" s="32">
        <v>2.7</v>
      </c>
      <c r="E302" s="32">
        <v>4.0999999999999996</v>
      </c>
      <c r="F302" s="32">
        <v>1</v>
      </c>
      <c r="G302" s="39">
        <v>1</v>
      </c>
      <c r="H302">
        <f t="shared" si="64"/>
        <v>1</v>
      </c>
      <c r="I302" s="38">
        <f t="shared" si="75"/>
        <v>0.27499074789676115</v>
      </c>
      <c r="J302" s="40">
        <f t="shared" si="76"/>
        <v>-0.2445349467563161</v>
      </c>
      <c r="K302" s="40">
        <f t="shared" si="77"/>
        <v>-0.33759652224217357</v>
      </c>
      <c r="L302" s="40">
        <f t="shared" si="78"/>
        <v>0.97333503304606883</v>
      </c>
      <c r="M302" s="40">
        <f t="shared" si="79"/>
        <v>0.76216914923801415</v>
      </c>
      <c r="N302" s="35">
        <f t="shared" si="65"/>
        <v>2.6980202313831549</v>
      </c>
      <c r="O302" s="35">
        <f t="shared" si="66"/>
        <v>0.93690972120094906</v>
      </c>
      <c r="P302" s="36">
        <f t="shared" si="67"/>
        <v>1</v>
      </c>
      <c r="Q302" s="36">
        <f t="shared" si="68"/>
        <v>-6.3090278799050936E-2</v>
      </c>
      <c r="R302" s="37">
        <f t="shared" si="69"/>
        <v>3.980383278941976E-3</v>
      </c>
      <c r="T302" s="31">
        <f t="shared" si="70"/>
        <v>-7.4585195762928921E-3</v>
      </c>
      <c r="U302" s="31">
        <f t="shared" si="71"/>
        <v>-4.3259413542498772E-2</v>
      </c>
      <c r="V302" s="31">
        <f t="shared" si="72"/>
        <v>-2.0138002855990812E-2</v>
      </c>
      <c r="W302" s="31">
        <f t="shared" si="73"/>
        <v>-3.0579930262800856E-2</v>
      </c>
      <c r="X302" s="31">
        <f t="shared" si="74"/>
        <v>-7.4585195762928921E-3</v>
      </c>
    </row>
    <row r="303" spans="1:24" ht="14.25" customHeight="1" x14ac:dyDescent="0.25">
      <c r="A303" s="41"/>
      <c r="B303" s="38">
        <v>59</v>
      </c>
      <c r="C303" s="32">
        <v>6.2</v>
      </c>
      <c r="D303" s="32">
        <v>2.2000000000000002</v>
      </c>
      <c r="E303" s="32">
        <v>4.5</v>
      </c>
      <c r="F303" s="32">
        <v>1.5</v>
      </c>
      <c r="G303" s="39">
        <v>1</v>
      </c>
      <c r="H303">
        <f t="shared" si="64"/>
        <v>1</v>
      </c>
      <c r="I303" s="38">
        <f t="shared" si="75"/>
        <v>0.27573659985439042</v>
      </c>
      <c r="J303" s="40">
        <f t="shared" si="76"/>
        <v>-0.24020900540206622</v>
      </c>
      <c r="K303" s="40">
        <f t="shared" si="77"/>
        <v>-0.33558272195657451</v>
      </c>
      <c r="L303" s="40">
        <f t="shared" si="78"/>
        <v>0.9763930260723489</v>
      </c>
      <c r="M303" s="40">
        <f t="shared" si="79"/>
        <v>0.76291500119564348</v>
      </c>
      <c r="N303" s="35">
        <f t="shared" si="65"/>
        <v>3.5862998971761506</v>
      </c>
      <c r="O303" s="35">
        <f t="shared" si="66"/>
        <v>0.97304600653038165</v>
      </c>
      <c r="P303" s="36">
        <f t="shared" si="67"/>
        <v>1</v>
      </c>
      <c r="Q303" s="36">
        <f t="shared" si="68"/>
        <v>-2.6953993469618354E-2</v>
      </c>
      <c r="R303" s="37">
        <f t="shared" si="69"/>
        <v>7.2651776396022883E-4</v>
      </c>
      <c r="T303" s="31">
        <f t="shared" si="70"/>
        <v>-1.4138704177897661E-3</v>
      </c>
      <c r="U303" s="31">
        <f t="shared" si="71"/>
        <v>-8.7659965902965493E-3</v>
      </c>
      <c r="V303" s="31">
        <f t="shared" si="72"/>
        <v>-3.1105149191374857E-3</v>
      </c>
      <c r="W303" s="31">
        <f t="shared" si="73"/>
        <v>-6.3624168800539473E-3</v>
      </c>
      <c r="X303" s="31">
        <f t="shared" si="74"/>
        <v>-2.1208056266846494E-3</v>
      </c>
    </row>
    <row r="304" spans="1:24" ht="14.25" customHeight="1" x14ac:dyDescent="0.25">
      <c r="A304" s="41"/>
      <c r="B304" s="38">
        <v>60</v>
      </c>
      <c r="C304" s="32">
        <v>5.6</v>
      </c>
      <c r="D304" s="32">
        <v>2.5</v>
      </c>
      <c r="E304" s="32">
        <v>3.9</v>
      </c>
      <c r="F304" s="32">
        <v>1.1000000000000001</v>
      </c>
      <c r="G304" s="39">
        <v>1</v>
      </c>
      <c r="H304">
        <f t="shared" si="64"/>
        <v>1</v>
      </c>
      <c r="I304" s="38">
        <f t="shared" si="75"/>
        <v>0.27587798689616938</v>
      </c>
      <c r="J304" s="40">
        <f t="shared" si="76"/>
        <v>-0.23933240574303657</v>
      </c>
      <c r="K304" s="40">
        <f t="shared" si="77"/>
        <v>-0.33527167046466078</v>
      </c>
      <c r="L304" s="40">
        <f t="shared" si="78"/>
        <v>0.97702926776035426</v>
      </c>
      <c r="M304" s="40">
        <f t="shared" si="79"/>
        <v>0.7631270817583119</v>
      </c>
      <c r="N304" s="35">
        <f t="shared" si="65"/>
        <v>2.7472912727730376</v>
      </c>
      <c r="O304" s="35">
        <f t="shared" si="66"/>
        <v>0.9397601886704543</v>
      </c>
      <c r="P304" s="36">
        <f t="shared" si="67"/>
        <v>1</v>
      </c>
      <c r="Q304" s="36">
        <f t="shared" si="68"/>
        <v>-6.0239811329545701E-2</v>
      </c>
      <c r="R304" s="37">
        <f t="shared" si="69"/>
        <v>3.6288348690192624E-3</v>
      </c>
      <c r="T304" s="31">
        <f t="shared" si="70"/>
        <v>-6.8204690823269309E-3</v>
      </c>
      <c r="U304" s="31">
        <f t="shared" si="71"/>
        <v>-3.8194626861030812E-2</v>
      </c>
      <c r="V304" s="31">
        <f t="shared" si="72"/>
        <v>-1.7051172705817328E-2</v>
      </c>
      <c r="W304" s="31">
        <f t="shared" si="73"/>
        <v>-2.6599829421075031E-2</v>
      </c>
      <c r="X304" s="31">
        <f t="shared" si="74"/>
        <v>-7.5025159905596243E-3</v>
      </c>
    </row>
    <row r="305" spans="1:24" ht="14.25" customHeight="1" x14ac:dyDescent="0.25">
      <c r="A305" s="41"/>
      <c r="B305" s="38">
        <v>61</v>
      </c>
      <c r="C305" s="32">
        <v>5.9</v>
      </c>
      <c r="D305" s="32">
        <v>3.2</v>
      </c>
      <c r="E305" s="32">
        <v>4.8</v>
      </c>
      <c r="F305" s="32">
        <v>1.8</v>
      </c>
      <c r="G305" s="39">
        <v>1</v>
      </c>
      <c r="H305">
        <f t="shared" si="64"/>
        <v>1</v>
      </c>
      <c r="I305" s="38">
        <f t="shared" si="75"/>
        <v>0.27656003380440208</v>
      </c>
      <c r="J305" s="40">
        <f t="shared" si="76"/>
        <v>-0.23551294305693349</v>
      </c>
      <c r="K305" s="40">
        <f t="shared" si="77"/>
        <v>-0.33356655319407902</v>
      </c>
      <c r="L305" s="40">
        <f t="shared" si="78"/>
        <v>0.97968925070246171</v>
      </c>
      <c r="M305" s="40">
        <f t="shared" si="79"/>
        <v>0.76387733335736785</v>
      </c>
      <c r="N305" s="35">
        <f t="shared" si="65"/>
        <v>3.8971083029625198</v>
      </c>
      <c r="O305" s="35">
        <f t="shared" si="66"/>
        <v>0.98010338224500049</v>
      </c>
      <c r="P305" s="36">
        <f t="shared" si="67"/>
        <v>1</v>
      </c>
      <c r="Q305" s="36">
        <f t="shared" si="68"/>
        <v>-1.9896617754999513E-2</v>
      </c>
      <c r="R305" s="37">
        <f t="shared" si="69"/>
        <v>3.9587539808856186E-4</v>
      </c>
      <c r="T305" s="31">
        <f t="shared" si="70"/>
        <v>-7.7599763322837095E-4</v>
      </c>
      <c r="U305" s="31">
        <f t="shared" si="71"/>
        <v>-4.5783860360473893E-3</v>
      </c>
      <c r="V305" s="31">
        <f t="shared" si="72"/>
        <v>-2.483192426330787E-3</v>
      </c>
      <c r="W305" s="31">
        <f t="shared" si="73"/>
        <v>-3.7247886394961805E-3</v>
      </c>
      <c r="X305" s="31">
        <f t="shared" si="74"/>
        <v>-1.3967957398110678E-3</v>
      </c>
    </row>
    <row r="306" spans="1:24" ht="14.25" customHeight="1" x14ac:dyDescent="0.25">
      <c r="A306" s="41"/>
      <c r="B306" s="38">
        <v>62</v>
      </c>
      <c r="C306" s="32">
        <v>6.1</v>
      </c>
      <c r="D306" s="32">
        <v>2.8</v>
      </c>
      <c r="E306" s="32">
        <v>4</v>
      </c>
      <c r="F306" s="32">
        <v>1.3</v>
      </c>
      <c r="G306" s="39">
        <v>1</v>
      </c>
      <c r="H306">
        <f t="shared" si="64"/>
        <v>1</v>
      </c>
      <c r="I306" s="38">
        <f t="shared" si="75"/>
        <v>0.27663763356772492</v>
      </c>
      <c r="J306" s="40">
        <f t="shared" si="76"/>
        <v>-0.23505510445332875</v>
      </c>
      <c r="K306" s="40">
        <f t="shared" si="77"/>
        <v>-0.33331823395144594</v>
      </c>
      <c r="L306" s="40">
        <f t="shared" si="78"/>
        <v>0.98006172956641135</v>
      </c>
      <c r="M306" s="40">
        <f t="shared" si="79"/>
        <v>0.76401701293134894</v>
      </c>
      <c r="N306" s="35">
        <f t="shared" si="65"/>
        <v>2.8229794764147704</v>
      </c>
      <c r="O306" s="35">
        <f t="shared" si="66"/>
        <v>0.94390503351224719</v>
      </c>
      <c r="P306" s="36">
        <f t="shared" si="67"/>
        <v>1</v>
      </c>
      <c r="Q306" s="36">
        <f t="shared" si="68"/>
        <v>-5.6094966487752806E-2</v>
      </c>
      <c r="R306" s="37">
        <f t="shared" si="69"/>
        <v>3.1466452652621105E-3</v>
      </c>
      <c r="T306" s="31">
        <f t="shared" si="70"/>
        <v>-5.9402686091167729E-3</v>
      </c>
      <c r="U306" s="31">
        <f t="shared" si="71"/>
        <v>-3.623563851561231E-2</v>
      </c>
      <c r="V306" s="31">
        <f t="shared" si="72"/>
        <v>-1.6632752105526963E-2</v>
      </c>
      <c r="W306" s="31">
        <f t="shared" si="73"/>
        <v>-2.3761074436467092E-2</v>
      </c>
      <c r="X306" s="31">
        <f t="shared" si="74"/>
        <v>-7.7223491918518052E-3</v>
      </c>
    </row>
    <row r="307" spans="1:24" ht="14.25" customHeight="1" x14ac:dyDescent="0.25">
      <c r="A307" s="41"/>
      <c r="B307" s="38">
        <v>63</v>
      </c>
      <c r="C307" s="32">
        <v>6.3</v>
      </c>
      <c r="D307" s="32">
        <v>2.5</v>
      </c>
      <c r="E307" s="32">
        <v>4.9000000000000004</v>
      </c>
      <c r="F307" s="32">
        <v>1.5</v>
      </c>
      <c r="G307" s="39">
        <v>1</v>
      </c>
      <c r="H307">
        <f t="shared" si="64"/>
        <v>1</v>
      </c>
      <c r="I307" s="38">
        <f t="shared" si="75"/>
        <v>0.27723166042863662</v>
      </c>
      <c r="J307" s="40">
        <f t="shared" si="76"/>
        <v>-0.23143154060176752</v>
      </c>
      <c r="K307" s="40">
        <f t="shared" si="77"/>
        <v>-0.33165495874089324</v>
      </c>
      <c r="L307" s="40">
        <f t="shared" si="78"/>
        <v>0.98243783701005805</v>
      </c>
      <c r="M307" s="40">
        <f t="shared" si="79"/>
        <v>0.76478924785053415</v>
      </c>
      <c r="N307" s="35">
        <f t="shared" si="65"/>
        <v>3.9512048309103545</v>
      </c>
      <c r="O307" s="35">
        <f t="shared" si="66"/>
        <v>0.98113135557254139</v>
      </c>
      <c r="P307" s="36">
        <f t="shared" si="67"/>
        <v>1</v>
      </c>
      <c r="Q307" s="36">
        <f t="shared" si="68"/>
        <v>-1.8868644427458614E-2</v>
      </c>
      <c r="R307" s="37">
        <f t="shared" si="69"/>
        <v>3.5602574252986501E-4</v>
      </c>
      <c r="T307" s="31">
        <f t="shared" si="70"/>
        <v>-6.9861603877409406E-4</v>
      </c>
      <c r="U307" s="31">
        <f t="shared" si="71"/>
        <v>-4.4012810442767922E-3</v>
      </c>
      <c r="V307" s="31">
        <f t="shared" si="72"/>
        <v>-1.7465400969352352E-3</v>
      </c>
      <c r="W307" s="31">
        <f t="shared" si="73"/>
        <v>-3.4232185899930614E-3</v>
      </c>
      <c r="X307" s="31">
        <f t="shared" si="74"/>
        <v>-1.047924058161141E-3</v>
      </c>
    </row>
    <row r="308" spans="1:24" ht="14.25" customHeight="1" x14ac:dyDescent="0.25">
      <c r="A308" s="41"/>
      <c r="B308" s="38">
        <v>64</v>
      </c>
      <c r="C308" s="32">
        <v>6.1</v>
      </c>
      <c r="D308" s="32">
        <v>2.8</v>
      </c>
      <c r="E308" s="32">
        <v>4.7</v>
      </c>
      <c r="F308" s="32">
        <v>1.2</v>
      </c>
      <c r="G308" s="39">
        <v>1</v>
      </c>
      <c r="H308">
        <f t="shared" si="64"/>
        <v>1</v>
      </c>
      <c r="I308" s="38">
        <f t="shared" si="75"/>
        <v>0.27730152203251401</v>
      </c>
      <c r="J308" s="40">
        <f t="shared" si="76"/>
        <v>-0.23099141249733984</v>
      </c>
      <c r="K308" s="40">
        <f t="shared" si="77"/>
        <v>-0.33148030473119972</v>
      </c>
      <c r="L308" s="40">
        <f t="shared" si="78"/>
        <v>0.98278015886905734</v>
      </c>
      <c r="M308" s="40">
        <f t="shared" si="79"/>
        <v>0.76489404025635022</v>
      </c>
      <c r="N308" s="35">
        <f t="shared" si="65"/>
        <v>3.4770486475435716</v>
      </c>
      <c r="O308" s="35">
        <f t="shared" si="66"/>
        <v>0.9700276314303492</v>
      </c>
      <c r="P308" s="36">
        <f t="shared" si="67"/>
        <v>1</v>
      </c>
      <c r="Q308" s="36">
        <f t="shared" si="68"/>
        <v>-2.9972368569650798E-2</v>
      </c>
      <c r="R308" s="37">
        <f t="shared" si="69"/>
        <v>8.9834287767499106E-4</v>
      </c>
      <c r="T308" s="31">
        <f t="shared" si="70"/>
        <v>-1.742834827686791E-3</v>
      </c>
      <c r="U308" s="31">
        <f t="shared" si="71"/>
        <v>-1.0631292448889424E-2</v>
      </c>
      <c r="V308" s="31">
        <f t="shared" si="72"/>
        <v>-4.8799375175230149E-3</v>
      </c>
      <c r="W308" s="31">
        <f t="shared" si="73"/>
        <v>-8.1913236901279187E-3</v>
      </c>
      <c r="X308" s="31">
        <f t="shared" si="74"/>
        <v>-2.0914017932241492E-3</v>
      </c>
    </row>
    <row r="309" spans="1:24" ht="14.25" customHeight="1" x14ac:dyDescent="0.25">
      <c r="A309" s="41"/>
      <c r="B309" s="38">
        <v>65</v>
      </c>
      <c r="C309" s="32">
        <v>6.4</v>
      </c>
      <c r="D309" s="32">
        <v>2.9</v>
      </c>
      <c r="E309" s="32">
        <v>4.3</v>
      </c>
      <c r="F309" s="32">
        <v>1.3</v>
      </c>
      <c r="G309" s="39">
        <v>1</v>
      </c>
      <c r="H309">
        <f t="shared" si="64"/>
        <v>1</v>
      </c>
      <c r="I309" s="38">
        <f t="shared" si="75"/>
        <v>0.27747580551528267</v>
      </c>
      <c r="J309" s="40">
        <f t="shared" si="76"/>
        <v>-0.2299282832524509</v>
      </c>
      <c r="K309" s="40">
        <f t="shared" si="77"/>
        <v>-0.33099231097944742</v>
      </c>
      <c r="L309" s="40">
        <f t="shared" si="78"/>
        <v>0.98359929123807011</v>
      </c>
      <c r="M309" s="40">
        <f t="shared" si="79"/>
        <v>0.7651031804356726</v>
      </c>
      <c r="N309" s="35">
        <f t="shared" si="65"/>
        <v>3.0701681777492755</v>
      </c>
      <c r="O309" s="35">
        <f t="shared" si="66"/>
        <v>0.95564530156779093</v>
      </c>
      <c r="P309" s="36">
        <f t="shared" si="67"/>
        <v>1</v>
      </c>
      <c r="Q309" s="36">
        <f t="shared" si="68"/>
        <v>-4.4354698432209072E-2</v>
      </c>
      <c r="R309" s="37">
        <f t="shared" si="69"/>
        <v>1.9673392730122099E-3</v>
      </c>
      <c r="T309" s="31">
        <f t="shared" si="70"/>
        <v>-3.7601570656878238E-3</v>
      </c>
      <c r="U309" s="31">
        <f t="shared" si="71"/>
        <v>-2.4065005220402072E-2</v>
      </c>
      <c r="V309" s="31">
        <f t="shared" si="72"/>
        <v>-1.0904455490494689E-2</v>
      </c>
      <c r="W309" s="31">
        <f t="shared" si="73"/>
        <v>-1.6168675382457642E-2</v>
      </c>
      <c r="X309" s="31">
        <f t="shared" si="74"/>
        <v>-4.8882041853941707E-3</v>
      </c>
    </row>
    <row r="310" spans="1:24" ht="14.25" customHeight="1" x14ac:dyDescent="0.25">
      <c r="A310" s="41"/>
      <c r="B310" s="38">
        <v>66</v>
      </c>
      <c r="C310" s="32">
        <v>6.6</v>
      </c>
      <c r="D310" s="32">
        <v>3</v>
      </c>
      <c r="E310" s="32">
        <v>4.4000000000000004</v>
      </c>
      <c r="F310" s="32">
        <v>1.4</v>
      </c>
      <c r="G310" s="39">
        <v>1</v>
      </c>
      <c r="H310">
        <f t="shared" si="64"/>
        <v>1</v>
      </c>
      <c r="I310" s="38">
        <f t="shared" si="75"/>
        <v>0.27785182122185142</v>
      </c>
      <c r="J310" s="40">
        <f t="shared" si="76"/>
        <v>-0.22752178273041071</v>
      </c>
      <c r="K310" s="40">
        <f t="shared" si="77"/>
        <v>-0.32990186543039796</v>
      </c>
      <c r="L310" s="40">
        <f t="shared" si="78"/>
        <v>0.98521615877631585</v>
      </c>
      <c r="M310" s="40">
        <f t="shared" si="79"/>
        <v>0.76559200085421197</v>
      </c>
      <c r="N310" s="35">
        <f t="shared" si="65"/>
        <v>3.1932823587216341</v>
      </c>
      <c r="O310" s="35">
        <f t="shared" si="66"/>
        <v>0.96058069641738442</v>
      </c>
      <c r="P310" s="36">
        <f t="shared" si="67"/>
        <v>1</v>
      </c>
      <c r="Q310" s="36">
        <f t="shared" si="68"/>
        <v>-3.9419303582615584E-2</v>
      </c>
      <c r="R310" s="37">
        <f t="shared" si="69"/>
        <v>1.5538814949384097E-3</v>
      </c>
      <c r="T310" s="31">
        <f t="shared" si="70"/>
        <v>-2.985257137116048E-3</v>
      </c>
      <c r="U310" s="31">
        <f t="shared" si="71"/>
        <v>-1.9702697104965916E-2</v>
      </c>
      <c r="V310" s="31">
        <f t="shared" si="72"/>
        <v>-8.9557714113481443E-3</v>
      </c>
      <c r="W310" s="31">
        <f t="shared" si="73"/>
        <v>-1.3135131403310612E-2</v>
      </c>
      <c r="X310" s="31">
        <f t="shared" si="74"/>
        <v>-4.1793599919624667E-3</v>
      </c>
    </row>
    <row r="311" spans="1:24" ht="14.25" customHeight="1" x14ac:dyDescent="0.25">
      <c r="A311" s="41"/>
      <c r="B311" s="38">
        <v>67</v>
      </c>
      <c r="C311" s="32">
        <v>6.8</v>
      </c>
      <c r="D311" s="32">
        <v>2.8</v>
      </c>
      <c r="E311" s="32">
        <v>4.8</v>
      </c>
      <c r="F311" s="32">
        <v>1.4</v>
      </c>
      <c r="G311" s="39">
        <v>1</v>
      </c>
      <c r="H311">
        <f t="shared" si="64"/>
        <v>1</v>
      </c>
      <c r="I311" s="38">
        <f t="shared" si="75"/>
        <v>0.27815034693556301</v>
      </c>
      <c r="J311" s="40">
        <f t="shared" si="76"/>
        <v>-0.22555151301991411</v>
      </c>
      <c r="K311" s="40">
        <f t="shared" si="77"/>
        <v>-0.32900628828926315</v>
      </c>
      <c r="L311" s="40">
        <f t="shared" si="78"/>
        <v>0.98652967191664687</v>
      </c>
      <c r="M311" s="40">
        <f t="shared" si="79"/>
        <v>0.76600993685340824</v>
      </c>
      <c r="N311" s="35">
        <f t="shared" si="65"/>
        <v>3.6309387879848867</v>
      </c>
      <c r="O311" s="35">
        <f t="shared" si="66"/>
        <v>0.97419237460972985</v>
      </c>
      <c r="P311" s="36">
        <f t="shared" si="67"/>
        <v>1</v>
      </c>
      <c r="Q311" s="36">
        <f t="shared" si="68"/>
        <v>-2.580762539027015E-2</v>
      </c>
      <c r="R311" s="37">
        <f t="shared" si="69"/>
        <v>6.6603352828451651E-4</v>
      </c>
      <c r="T311" s="31">
        <f t="shared" si="70"/>
        <v>-1.2976895689783797E-3</v>
      </c>
      <c r="U311" s="31">
        <f t="shared" si="71"/>
        <v>-8.8242890690529811E-3</v>
      </c>
      <c r="V311" s="31">
        <f t="shared" si="72"/>
        <v>-3.6335307931394628E-3</v>
      </c>
      <c r="W311" s="31">
        <f t="shared" si="73"/>
        <v>-6.2289099310962222E-3</v>
      </c>
      <c r="X311" s="31">
        <f t="shared" si="74"/>
        <v>-1.8167653965697314E-3</v>
      </c>
    </row>
    <row r="312" spans="1:24" ht="14.25" customHeight="1" x14ac:dyDescent="0.25">
      <c r="A312" s="41"/>
      <c r="B312" s="38">
        <v>68</v>
      </c>
      <c r="C312" s="32">
        <v>6.7</v>
      </c>
      <c r="D312" s="32">
        <v>3</v>
      </c>
      <c r="E312" s="32">
        <v>5</v>
      </c>
      <c r="F312" s="32">
        <v>1.7</v>
      </c>
      <c r="G312" s="39">
        <v>1</v>
      </c>
      <c r="H312">
        <f t="shared" si="64"/>
        <v>1</v>
      </c>
      <c r="I312" s="38">
        <f t="shared" si="75"/>
        <v>0.27828011589246082</v>
      </c>
      <c r="J312" s="40">
        <f t="shared" si="76"/>
        <v>-0.22466908411300882</v>
      </c>
      <c r="K312" s="40">
        <f t="shared" si="77"/>
        <v>-0.32864293520994919</v>
      </c>
      <c r="L312" s="40">
        <f t="shared" si="78"/>
        <v>0.9871525629097565</v>
      </c>
      <c r="M312" s="40">
        <f t="shared" si="79"/>
        <v>0.76619161339306519</v>
      </c>
      <c r="N312" s="35">
        <f t="shared" si="65"/>
        <v>4.0253570040224478</v>
      </c>
      <c r="O312" s="35">
        <f t="shared" si="66"/>
        <v>0.98245623193084819</v>
      </c>
      <c r="P312" s="36">
        <f t="shared" si="67"/>
        <v>1</v>
      </c>
      <c r="Q312" s="36">
        <f t="shared" si="68"/>
        <v>-1.7543768069151811E-2</v>
      </c>
      <c r="R312" s="37">
        <f t="shared" si="69"/>
        <v>3.0778379806419064E-4</v>
      </c>
      <c r="T312" s="31">
        <f t="shared" si="70"/>
        <v>-6.0476822099101964E-4</v>
      </c>
      <c r="U312" s="31">
        <f t="shared" si="71"/>
        <v>-4.0519470806398318E-3</v>
      </c>
      <c r="V312" s="31">
        <f t="shared" si="72"/>
        <v>-1.8143046629730589E-3</v>
      </c>
      <c r="W312" s="31">
        <f t="shared" si="73"/>
        <v>-3.0238411049550982E-3</v>
      </c>
      <c r="X312" s="31">
        <f t="shared" si="74"/>
        <v>-1.0281059756847334E-3</v>
      </c>
    </row>
    <row r="313" spans="1:24" ht="14.25" customHeight="1" x14ac:dyDescent="0.25">
      <c r="A313" s="41"/>
      <c r="B313" s="38">
        <v>69</v>
      </c>
      <c r="C313" s="32">
        <v>6</v>
      </c>
      <c r="D313" s="32">
        <v>2.9</v>
      </c>
      <c r="E313" s="32">
        <v>4.5</v>
      </c>
      <c r="F313" s="32">
        <v>1.5</v>
      </c>
      <c r="G313" s="39">
        <v>1</v>
      </c>
      <c r="H313">
        <f t="shared" si="64"/>
        <v>1</v>
      </c>
      <c r="I313" s="38">
        <f t="shared" si="75"/>
        <v>0.27834059271455991</v>
      </c>
      <c r="J313" s="40">
        <f t="shared" si="76"/>
        <v>-0.22426388940494482</v>
      </c>
      <c r="K313" s="40">
        <f t="shared" si="77"/>
        <v>-0.32846150474365188</v>
      </c>
      <c r="L313" s="40">
        <f t="shared" si="78"/>
        <v>0.98745494702025205</v>
      </c>
      <c r="M313" s="40">
        <f t="shared" si="79"/>
        <v>0.76629442399063363</v>
      </c>
      <c r="N313" s="35">
        <f t="shared" si="65"/>
        <v>3.5732077901053851</v>
      </c>
      <c r="O313" s="35">
        <f t="shared" si="66"/>
        <v>0.9727004987573119</v>
      </c>
      <c r="P313" s="36">
        <f t="shared" si="67"/>
        <v>1</v>
      </c>
      <c r="Q313" s="36">
        <f t="shared" si="68"/>
        <v>-2.7299501242688096E-2</v>
      </c>
      <c r="R313" s="37">
        <f t="shared" si="69"/>
        <v>7.4526276809952887E-4</v>
      </c>
      <c r="T313" s="31">
        <f t="shared" si="70"/>
        <v>-1.4498349324713331E-3</v>
      </c>
      <c r="U313" s="31">
        <f t="shared" si="71"/>
        <v>-8.6990095948279982E-3</v>
      </c>
      <c r="V313" s="31">
        <f t="shared" si="72"/>
        <v>-4.2045213041668663E-3</v>
      </c>
      <c r="W313" s="31">
        <f t="shared" si="73"/>
        <v>-6.5242571961209991E-3</v>
      </c>
      <c r="X313" s="31">
        <f t="shared" si="74"/>
        <v>-2.1747523987069996E-3</v>
      </c>
    </row>
    <row r="314" spans="1:24" ht="14.25" customHeight="1" x14ac:dyDescent="0.25">
      <c r="A314" s="41"/>
      <c r="B314" s="38">
        <v>70</v>
      </c>
      <c r="C314" s="32">
        <v>5.7</v>
      </c>
      <c r="D314" s="32">
        <v>2.6</v>
      </c>
      <c r="E314" s="32">
        <v>3.5</v>
      </c>
      <c r="F314" s="32">
        <v>1</v>
      </c>
      <c r="G314" s="39">
        <v>1</v>
      </c>
      <c r="H314">
        <f t="shared" si="64"/>
        <v>1</v>
      </c>
      <c r="I314" s="38">
        <f t="shared" si="75"/>
        <v>0.27848557620780706</v>
      </c>
      <c r="J314" s="40">
        <f t="shared" si="76"/>
        <v>-0.22339398844546202</v>
      </c>
      <c r="K314" s="40">
        <f t="shared" si="77"/>
        <v>-0.32804105261323518</v>
      </c>
      <c r="L314" s="40">
        <f t="shared" si="78"/>
        <v>0.98810737273986415</v>
      </c>
      <c r="M314" s="40">
        <f t="shared" si="79"/>
        <v>0.76651189923050433</v>
      </c>
      <c r="N314" s="35">
        <f t="shared" si="65"/>
        <v>2.3771208090942908</v>
      </c>
      <c r="O314" s="35">
        <f t="shared" si="66"/>
        <v>0.91506593001798797</v>
      </c>
      <c r="P314" s="36">
        <f t="shared" si="67"/>
        <v>1</v>
      </c>
      <c r="Q314" s="36">
        <f t="shared" si="68"/>
        <v>-8.4934069982012028E-2</v>
      </c>
      <c r="R314" s="37">
        <f t="shared" si="69"/>
        <v>7.2137962437093164E-3</v>
      </c>
      <c r="T314" s="31">
        <f t="shared" si="70"/>
        <v>-1.3202198337420267E-2</v>
      </c>
      <c r="U314" s="31">
        <f t="shared" si="71"/>
        <v>-7.525253052329553E-2</v>
      </c>
      <c r="V314" s="31">
        <f t="shared" si="72"/>
        <v>-3.4325715677292694E-2</v>
      </c>
      <c r="W314" s="31">
        <f t="shared" si="73"/>
        <v>-4.6207694180970933E-2</v>
      </c>
      <c r="X314" s="31">
        <f t="shared" si="74"/>
        <v>-1.3202198337420267E-2</v>
      </c>
    </row>
    <row r="315" spans="1:24" ht="14.25" customHeight="1" x14ac:dyDescent="0.25">
      <c r="A315" s="41"/>
      <c r="B315" s="38">
        <v>71</v>
      </c>
      <c r="C315" s="32">
        <v>5.5</v>
      </c>
      <c r="D315" s="32">
        <v>2.4</v>
      </c>
      <c r="E315" s="32">
        <v>3.8</v>
      </c>
      <c r="F315" s="32">
        <v>1.1000000000000001</v>
      </c>
      <c r="G315" s="39">
        <v>1</v>
      </c>
      <c r="H315">
        <f t="shared" si="64"/>
        <v>1</v>
      </c>
      <c r="I315" s="38">
        <f t="shared" si="75"/>
        <v>0.27980579604154909</v>
      </c>
      <c r="J315" s="40">
        <f t="shared" si="76"/>
        <v>-0.21586873539313245</v>
      </c>
      <c r="K315" s="40">
        <f t="shared" si="77"/>
        <v>-0.32460848104550594</v>
      </c>
      <c r="L315" s="40">
        <f t="shared" si="78"/>
        <v>0.99272814215796124</v>
      </c>
      <c r="M315" s="40">
        <f t="shared" si="79"/>
        <v>0.76783211906424631</v>
      </c>
      <c r="N315" s="35">
        <f t="shared" si="65"/>
        <v>2.9304496680410304</v>
      </c>
      <c r="O315" s="35">
        <f t="shared" si="66"/>
        <v>0.9493313090904566</v>
      </c>
      <c r="P315" s="36">
        <f t="shared" si="67"/>
        <v>1</v>
      </c>
      <c r="Q315" s="36">
        <f t="shared" si="68"/>
        <v>-5.0668690909543401E-2</v>
      </c>
      <c r="R315" s="37">
        <f t="shared" si="69"/>
        <v>2.5673162384868462E-3</v>
      </c>
      <c r="T315" s="31">
        <f t="shared" si="70"/>
        <v>-4.8744673710638094E-3</v>
      </c>
      <c r="U315" s="31">
        <f t="shared" si="71"/>
        <v>-2.6809570540850952E-2</v>
      </c>
      <c r="V315" s="31">
        <f t="shared" si="72"/>
        <v>-1.1698721690553143E-2</v>
      </c>
      <c r="W315" s="31">
        <f t="shared" si="73"/>
        <v>-1.8522976010042474E-2</v>
      </c>
      <c r="X315" s="31">
        <f t="shared" si="74"/>
        <v>-5.3619141081701904E-3</v>
      </c>
    </row>
    <row r="316" spans="1:24" ht="14.25" customHeight="1" x14ac:dyDescent="0.25">
      <c r="A316" s="41"/>
      <c r="B316" s="38">
        <v>72</v>
      </c>
      <c r="C316" s="32">
        <v>5.5</v>
      </c>
      <c r="D316" s="32">
        <v>2.4</v>
      </c>
      <c r="E316" s="32">
        <v>3.7</v>
      </c>
      <c r="F316" s="32">
        <v>1</v>
      </c>
      <c r="G316" s="39">
        <v>1</v>
      </c>
      <c r="H316">
        <f t="shared" si="64"/>
        <v>1</v>
      </c>
      <c r="I316" s="38">
        <f t="shared" si="75"/>
        <v>0.28029324277865547</v>
      </c>
      <c r="J316" s="40">
        <f t="shared" si="76"/>
        <v>-0.21318777833904734</v>
      </c>
      <c r="K316" s="40">
        <f t="shared" si="77"/>
        <v>-0.3234386088764506</v>
      </c>
      <c r="L316" s="40">
        <f t="shared" si="78"/>
        <v>0.99458043975896548</v>
      </c>
      <c r="M316" s="40">
        <f t="shared" si="79"/>
        <v>0.76836831047506338</v>
      </c>
      <c r="N316" s="35">
        <f t="shared" si="65"/>
        <v>2.7798237381936497</v>
      </c>
      <c r="O316" s="35">
        <f t="shared" si="66"/>
        <v>0.94157574889906548</v>
      </c>
      <c r="P316" s="36">
        <f t="shared" si="67"/>
        <v>1</v>
      </c>
      <c r="Q316" s="36">
        <f t="shared" si="68"/>
        <v>-5.8424251100934521E-2</v>
      </c>
      <c r="R316" s="37">
        <f t="shared" si="69"/>
        <v>3.4133931167050486E-3</v>
      </c>
      <c r="T316" s="31">
        <f t="shared" si="70"/>
        <v>-6.4279363602969429E-3</v>
      </c>
      <c r="U316" s="31">
        <f t="shared" si="71"/>
        <v>-3.5353649981633185E-2</v>
      </c>
      <c r="V316" s="31">
        <f t="shared" si="72"/>
        <v>-1.5427047264712663E-2</v>
      </c>
      <c r="W316" s="31">
        <f t="shared" si="73"/>
        <v>-2.3783364533098691E-2</v>
      </c>
      <c r="X316" s="31">
        <f t="shared" si="74"/>
        <v>-6.4279363602969429E-3</v>
      </c>
    </row>
    <row r="317" spans="1:24" ht="14.25" customHeight="1" x14ac:dyDescent="0.25">
      <c r="A317" s="41"/>
      <c r="B317" s="38">
        <v>73</v>
      </c>
      <c r="C317" s="32">
        <v>5.8</v>
      </c>
      <c r="D317" s="32">
        <v>2.7</v>
      </c>
      <c r="E317" s="32">
        <v>3.9</v>
      </c>
      <c r="F317" s="32">
        <v>1.2</v>
      </c>
      <c r="G317" s="39">
        <v>1</v>
      </c>
      <c r="H317">
        <f t="shared" si="64"/>
        <v>1</v>
      </c>
      <c r="I317" s="38">
        <f t="shared" si="75"/>
        <v>0.28093603641468518</v>
      </c>
      <c r="J317" s="40">
        <f t="shared" si="76"/>
        <v>-0.20965241334088403</v>
      </c>
      <c r="K317" s="40">
        <f t="shared" si="77"/>
        <v>-0.32189590414997932</v>
      </c>
      <c r="L317" s="40">
        <f t="shared" si="78"/>
        <v>0.99695877621227535</v>
      </c>
      <c r="M317" s="40">
        <f t="shared" si="79"/>
        <v>0.76901110411109308</v>
      </c>
      <c r="N317" s="35">
        <f t="shared" si="65"/>
        <v>3.006785649993799</v>
      </c>
      <c r="O317" s="35">
        <f t="shared" si="66"/>
        <v>0.95287974010924814</v>
      </c>
      <c r="P317" s="36">
        <f t="shared" si="67"/>
        <v>1</v>
      </c>
      <c r="Q317" s="36">
        <f t="shared" si="68"/>
        <v>-4.7120259890751859E-2</v>
      </c>
      <c r="R317" s="37">
        <f t="shared" si="69"/>
        <v>2.2203188921719984E-3</v>
      </c>
      <c r="T317" s="31">
        <f t="shared" si="70"/>
        <v>-4.2313937778650154E-3</v>
      </c>
      <c r="U317" s="31">
        <f t="shared" si="71"/>
        <v>-2.454208391161709E-2</v>
      </c>
      <c r="V317" s="31">
        <f t="shared" si="72"/>
        <v>-1.1424763200235543E-2</v>
      </c>
      <c r="W317" s="31">
        <f t="shared" si="73"/>
        <v>-1.6502435733673559E-2</v>
      </c>
      <c r="X317" s="31">
        <f t="shared" si="74"/>
        <v>-5.0776725334380187E-3</v>
      </c>
    </row>
    <row r="318" spans="1:24" ht="14.25" customHeight="1" x14ac:dyDescent="0.25">
      <c r="A318" s="41"/>
      <c r="B318" s="38">
        <v>74</v>
      </c>
      <c r="C318" s="32">
        <v>6</v>
      </c>
      <c r="D318" s="32">
        <v>2.7</v>
      </c>
      <c r="E318" s="32">
        <v>5.0999999999999996</v>
      </c>
      <c r="F318" s="32">
        <v>1.6</v>
      </c>
      <c r="G318" s="39">
        <v>1</v>
      </c>
      <c r="H318">
        <f t="shared" si="64"/>
        <v>1</v>
      </c>
      <c r="I318" s="38">
        <f t="shared" si="75"/>
        <v>0.28135917579247166</v>
      </c>
      <c r="J318" s="40">
        <f t="shared" si="76"/>
        <v>-0.20719820494972233</v>
      </c>
      <c r="K318" s="40">
        <f t="shared" si="77"/>
        <v>-0.32075342782995575</v>
      </c>
      <c r="L318" s="40">
        <f t="shared" si="78"/>
        <v>0.99860901978564276</v>
      </c>
      <c r="M318" s="40">
        <f t="shared" si="79"/>
        <v>0.76951887136443686</v>
      </c>
      <c r="N318" s="35">
        <f t="shared" si="65"/>
        <v>4.4962718860431341</v>
      </c>
      <c r="O318" s="35">
        <f t="shared" si="66"/>
        <v>0.98897247288429846</v>
      </c>
      <c r="P318" s="36">
        <f t="shared" si="67"/>
        <v>1</v>
      </c>
      <c r="Q318" s="36">
        <f t="shared" si="68"/>
        <v>-1.1027527115701541E-2</v>
      </c>
      <c r="R318" s="37">
        <f t="shared" si="69"/>
        <v>1.2160635428753274E-4</v>
      </c>
      <c r="T318" s="31">
        <f t="shared" si="70"/>
        <v>-2.4053067383637074E-4</v>
      </c>
      <c r="U318" s="31">
        <f t="shared" si="71"/>
        <v>-1.4431840430182245E-3</v>
      </c>
      <c r="V318" s="31">
        <f t="shared" si="72"/>
        <v>-6.49432819358201E-4</v>
      </c>
      <c r="W318" s="31">
        <f t="shared" si="73"/>
        <v>-1.2267064365654907E-3</v>
      </c>
      <c r="X318" s="31">
        <f t="shared" si="74"/>
        <v>-3.8484907813819322E-4</v>
      </c>
    </row>
    <row r="319" spans="1:24" ht="14.25" customHeight="1" x14ac:dyDescent="0.25">
      <c r="A319" s="41"/>
      <c r="B319" s="38">
        <v>75</v>
      </c>
      <c r="C319" s="32">
        <v>5.4</v>
      </c>
      <c r="D319" s="32">
        <v>3</v>
      </c>
      <c r="E319" s="32">
        <v>4.5</v>
      </c>
      <c r="F319" s="32">
        <v>1.5</v>
      </c>
      <c r="G319" s="39">
        <v>1</v>
      </c>
      <c r="H319">
        <f t="shared" si="64"/>
        <v>1</v>
      </c>
      <c r="I319" s="38">
        <f t="shared" si="75"/>
        <v>0.28138322885985528</v>
      </c>
      <c r="J319" s="40">
        <f t="shared" si="76"/>
        <v>-0.20705388654542051</v>
      </c>
      <c r="K319" s="40">
        <f t="shared" si="77"/>
        <v>-0.3206884845480199</v>
      </c>
      <c r="L319" s="40">
        <f t="shared" si="78"/>
        <v>0.99873169042929932</v>
      </c>
      <c r="M319" s="40">
        <f t="shared" si="79"/>
        <v>0.76955735627225064</v>
      </c>
      <c r="N319" s="35">
        <f t="shared" si="65"/>
        <v>3.8498554292107472</v>
      </c>
      <c r="O319" s="35">
        <f t="shared" si="66"/>
        <v>0.9791607057160916</v>
      </c>
      <c r="P319" s="36">
        <f t="shared" si="67"/>
        <v>1</v>
      </c>
      <c r="Q319" s="36">
        <f t="shared" si="68"/>
        <v>-2.0839294283908405E-2</v>
      </c>
      <c r="R319" s="37">
        <f t="shared" si="69"/>
        <v>4.3427618625133753E-4</v>
      </c>
      <c r="T319" s="31">
        <f t="shared" si="70"/>
        <v>-8.5045235401110496E-4</v>
      </c>
      <c r="U319" s="31">
        <f t="shared" si="71"/>
        <v>-4.5924427116599675E-3</v>
      </c>
      <c r="V319" s="31">
        <f t="shared" si="72"/>
        <v>-2.5513570620333149E-3</v>
      </c>
      <c r="W319" s="31">
        <f t="shared" si="73"/>
        <v>-3.8270355930499723E-3</v>
      </c>
      <c r="X319" s="31">
        <f t="shared" si="74"/>
        <v>-1.2756785310166574E-3</v>
      </c>
    </row>
    <row r="320" spans="1:24" ht="14.25" customHeight="1" x14ac:dyDescent="0.25">
      <c r="A320" s="41"/>
      <c r="B320" s="38">
        <v>76</v>
      </c>
      <c r="C320" s="32">
        <v>6</v>
      </c>
      <c r="D320" s="32">
        <v>3.4</v>
      </c>
      <c r="E320" s="32">
        <v>4.5</v>
      </c>
      <c r="F320" s="32">
        <v>1.6</v>
      </c>
      <c r="G320" s="39">
        <v>1</v>
      </c>
      <c r="H320">
        <f t="shared" si="64"/>
        <v>1</v>
      </c>
      <c r="I320" s="38">
        <f t="shared" si="75"/>
        <v>0.28146827409525638</v>
      </c>
      <c r="J320" s="40">
        <f t="shared" si="76"/>
        <v>-0.2065946422742545</v>
      </c>
      <c r="K320" s="40">
        <f t="shared" si="77"/>
        <v>-0.32043334884181657</v>
      </c>
      <c r="L320" s="40">
        <f t="shared" si="78"/>
        <v>0.99911439398860435</v>
      </c>
      <c r="M320" s="40">
        <f t="shared" si="79"/>
        <v>0.76968492412535228</v>
      </c>
      <c r="N320" s="35">
        <f t="shared" si="65"/>
        <v>3.6799376859368365</v>
      </c>
      <c r="O320" s="35">
        <f t="shared" si="66"/>
        <v>0.97539607619310764</v>
      </c>
      <c r="P320" s="36">
        <f t="shared" si="67"/>
        <v>1</v>
      </c>
      <c r="Q320" s="36">
        <f t="shared" si="68"/>
        <v>-2.4603923806892358E-2</v>
      </c>
      <c r="R320" s="37">
        <f t="shared" si="69"/>
        <v>6.0535306669536461E-4</v>
      </c>
      <c r="T320" s="31">
        <f t="shared" si="70"/>
        <v>-1.1809180119322464E-3</v>
      </c>
      <c r="U320" s="31">
        <f t="shared" si="71"/>
        <v>-7.0855080715934785E-3</v>
      </c>
      <c r="V320" s="31">
        <f t="shared" si="72"/>
        <v>-4.015121240569638E-3</v>
      </c>
      <c r="W320" s="31">
        <f t="shared" si="73"/>
        <v>-5.3141310536951088E-3</v>
      </c>
      <c r="X320" s="31">
        <f t="shared" si="74"/>
        <v>-1.8894688190915943E-3</v>
      </c>
    </row>
    <row r="321" spans="1:24" ht="14.25" customHeight="1" x14ac:dyDescent="0.25">
      <c r="A321" s="41"/>
      <c r="B321" s="38">
        <v>77</v>
      </c>
      <c r="C321" s="32">
        <v>6.7</v>
      </c>
      <c r="D321" s="32">
        <v>3.1</v>
      </c>
      <c r="E321" s="32">
        <v>4.7</v>
      </c>
      <c r="F321" s="32">
        <v>1.5</v>
      </c>
      <c r="G321" s="39">
        <v>1</v>
      </c>
      <c r="H321">
        <f t="shared" si="64"/>
        <v>1</v>
      </c>
      <c r="I321" s="38">
        <f t="shared" si="75"/>
        <v>0.28158636589644959</v>
      </c>
      <c r="J321" s="40">
        <f t="shared" si="76"/>
        <v>-0.20588609146709516</v>
      </c>
      <c r="K321" s="40">
        <f t="shared" si="77"/>
        <v>-0.32003183671775959</v>
      </c>
      <c r="L321" s="40">
        <f t="shared" si="78"/>
        <v>0.99964580709397388</v>
      </c>
      <c r="M321" s="40">
        <f t="shared" si="79"/>
        <v>0.76987387100726146</v>
      </c>
      <c r="N321" s="35">
        <f t="shared" si="65"/>
        <v>3.7631969590944268</v>
      </c>
      <c r="O321" s="35">
        <f t="shared" si="66"/>
        <v>0.9773170364068644</v>
      </c>
      <c r="P321" s="36">
        <f t="shared" si="67"/>
        <v>1</v>
      </c>
      <c r="Q321" s="36">
        <f t="shared" si="68"/>
        <v>-2.2682963593135597E-2</v>
      </c>
      <c r="R321" s="37">
        <f t="shared" si="69"/>
        <v>5.1451683736751497E-4</v>
      </c>
      <c r="T321" s="31">
        <f t="shared" si="70"/>
        <v>-1.0056921413549046E-3</v>
      </c>
      <c r="U321" s="31">
        <f t="shared" si="71"/>
        <v>-6.7381373470778612E-3</v>
      </c>
      <c r="V321" s="31">
        <f t="shared" si="72"/>
        <v>-3.1176456382002045E-3</v>
      </c>
      <c r="W321" s="31">
        <f t="shared" si="73"/>
        <v>-4.7267530643680519E-3</v>
      </c>
      <c r="X321" s="31">
        <f t="shared" si="74"/>
        <v>-1.508538212032357E-3</v>
      </c>
    </row>
    <row r="322" spans="1:24" ht="14.25" customHeight="1" x14ac:dyDescent="0.25">
      <c r="A322" s="41"/>
      <c r="B322" s="38">
        <v>78</v>
      </c>
      <c r="C322" s="32">
        <v>6.3</v>
      </c>
      <c r="D322" s="32">
        <v>2.2999999999999998</v>
      </c>
      <c r="E322" s="32">
        <v>4.4000000000000004</v>
      </c>
      <c r="F322" s="32">
        <v>1.3</v>
      </c>
      <c r="G322" s="39">
        <v>1</v>
      </c>
      <c r="H322">
        <f t="shared" si="64"/>
        <v>1</v>
      </c>
      <c r="I322" s="38">
        <f t="shared" si="75"/>
        <v>0.28168693511058507</v>
      </c>
      <c r="J322" s="40">
        <f t="shared" si="76"/>
        <v>-0.20521227773238737</v>
      </c>
      <c r="K322" s="40">
        <f t="shared" si="77"/>
        <v>-0.31972007215393955</v>
      </c>
      <c r="L322" s="40">
        <f t="shared" si="78"/>
        <v>1.0001184824004108</v>
      </c>
      <c r="M322" s="40">
        <f t="shared" si="79"/>
        <v>0.77002472482846474</v>
      </c>
      <c r="N322" s="35">
        <f t="shared" si="65"/>
        <v>3.6550468842812958</v>
      </c>
      <c r="O322" s="35">
        <f t="shared" si="66"/>
        <v>0.97479161110763102</v>
      </c>
      <c r="P322" s="36">
        <f t="shared" si="67"/>
        <v>1</v>
      </c>
      <c r="Q322" s="36">
        <f t="shared" si="68"/>
        <v>-2.5208388892368983E-2</v>
      </c>
      <c r="R322" s="37">
        <f t="shared" si="69"/>
        <v>6.3546287054891187E-4</v>
      </c>
      <c r="T322" s="31">
        <f t="shared" si="70"/>
        <v>-1.2388877507629075E-3</v>
      </c>
      <c r="U322" s="31">
        <f t="shared" si="71"/>
        <v>-7.8049928298063167E-3</v>
      </c>
      <c r="V322" s="31">
        <f t="shared" si="72"/>
        <v>-2.8494418267546871E-3</v>
      </c>
      <c r="W322" s="31">
        <f t="shared" si="73"/>
        <v>-5.4511061033567934E-3</v>
      </c>
      <c r="X322" s="31">
        <f t="shared" si="74"/>
        <v>-1.6105540759917799E-3</v>
      </c>
    </row>
    <row r="323" spans="1:24" ht="14.25" customHeight="1" x14ac:dyDescent="0.25">
      <c r="A323" s="41"/>
      <c r="B323" s="38">
        <v>79</v>
      </c>
      <c r="C323" s="32">
        <v>5.6</v>
      </c>
      <c r="D323" s="32">
        <v>3</v>
      </c>
      <c r="E323" s="32">
        <v>4.0999999999999996</v>
      </c>
      <c r="F323" s="32">
        <v>1.3</v>
      </c>
      <c r="G323" s="39">
        <v>1</v>
      </c>
      <c r="H323">
        <f t="shared" si="64"/>
        <v>1</v>
      </c>
      <c r="I323" s="38">
        <f t="shared" si="75"/>
        <v>0.28181082388566137</v>
      </c>
      <c r="J323" s="40">
        <f t="shared" si="76"/>
        <v>-0.20443177844940674</v>
      </c>
      <c r="K323" s="40">
        <f t="shared" si="77"/>
        <v>-0.31943512797126405</v>
      </c>
      <c r="L323" s="40">
        <f t="shared" si="78"/>
        <v>1.0006635930107464</v>
      </c>
      <c r="M323" s="40">
        <f t="shared" si="79"/>
        <v>0.77018578023606388</v>
      </c>
      <c r="N323" s="35">
        <f t="shared" si="65"/>
        <v>3.2826497263061345</v>
      </c>
      <c r="O323" s="35">
        <f t="shared" si="66"/>
        <v>0.96382877430285263</v>
      </c>
      <c r="P323" s="36">
        <f t="shared" si="67"/>
        <v>1</v>
      </c>
      <c r="Q323" s="36">
        <f t="shared" si="68"/>
        <v>-3.6171225697147369E-2</v>
      </c>
      <c r="R323" s="37">
        <f t="shared" si="69"/>
        <v>1.3083575684339742E-3</v>
      </c>
      <c r="T323" s="31">
        <f t="shared" si="70"/>
        <v>-2.5220653430671558E-3</v>
      </c>
      <c r="U323" s="31">
        <f t="shared" si="71"/>
        <v>-1.4123565921176072E-2</v>
      </c>
      <c r="V323" s="31">
        <f t="shared" si="72"/>
        <v>-7.5661960292014675E-3</v>
      </c>
      <c r="W323" s="31">
        <f t="shared" si="73"/>
        <v>-1.0340467906575338E-2</v>
      </c>
      <c r="X323" s="31">
        <f t="shared" si="74"/>
        <v>-3.2786849459873028E-3</v>
      </c>
    </row>
    <row r="324" spans="1:24" ht="14.25" customHeight="1" x14ac:dyDescent="0.25">
      <c r="A324" s="41"/>
      <c r="B324" s="38">
        <v>80</v>
      </c>
      <c r="C324" s="32">
        <v>5.5</v>
      </c>
      <c r="D324" s="32">
        <v>2.5</v>
      </c>
      <c r="E324" s="32">
        <v>4</v>
      </c>
      <c r="F324" s="32">
        <v>1.3</v>
      </c>
      <c r="G324" s="39">
        <v>1</v>
      </c>
      <c r="H324">
        <f t="shared" si="64"/>
        <v>1</v>
      </c>
      <c r="I324" s="38">
        <f t="shared" si="75"/>
        <v>0.28206303041996811</v>
      </c>
      <c r="J324" s="40">
        <f t="shared" si="76"/>
        <v>-0.20301942185728913</v>
      </c>
      <c r="K324" s="40">
        <f t="shared" si="77"/>
        <v>-0.31867850836834388</v>
      </c>
      <c r="L324" s="40">
        <f t="shared" si="78"/>
        <v>1.0016976398014039</v>
      </c>
      <c r="M324" s="40">
        <f t="shared" si="79"/>
        <v>0.77051364873066264</v>
      </c>
      <c r="N324" s="35">
        <f t="shared" si="65"/>
        <v>3.3772182418394951</v>
      </c>
      <c r="O324" s="35">
        <f t="shared" si="66"/>
        <v>0.96698491259066388</v>
      </c>
      <c r="P324" s="36">
        <f t="shared" si="67"/>
        <v>1</v>
      </c>
      <c r="Q324" s="36">
        <f t="shared" si="68"/>
        <v>-3.3015087409336119E-2</v>
      </c>
      <c r="R324" s="37">
        <f t="shared" si="69"/>
        <v>1.0899959966461043E-3</v>
      </c>
      <c r="S324">
        <f>AVERAGE(R245:R324)</f>
        <v>1.7357201678426602E-2</v>
      </c>
      <c r="T324" s="31">
        <f t="shared" si="70"/>
        <v>-2.1080193670820133E-3</v>
      </c>
      <c r="U324" s="31">
        <f t="shared" si="71"/>
        <v>-1.1594106518951073E-2</v>
      </c>
      <c r="V324" s="31">
        <f t="shared" si="72"/>
        <v>-5.2700484177050332E-3</v>
      </c>
      <c r="W324" s="31">
        <f t="shared" si="73"/>
        <v>-8.432077468328053E-3</v>
      </c>
      <c r="X324" s="31">
        <f t="shared" si="74"/>
        <v>-2.7404251772066173E-3</v>
      </c>
    </row>
    <row r="325" spans="1:24" ht="14.25" customHeight="1" x14ac:dyDescent="0.25">
      <c r="A325" s="41" t="s">
        <v>36</v>
      </c>
      <c r="B325" s="38">
        <v>1</v>
      </c>
      <c r="C325" s="32">
        <v>5.0999999999999996</v>
      </c>
      <c r="D325" s="32">
        <v>3.5</v>
      </c>
      <c r="E325" s="32">
        <v>1.4</v>
      </c>
      <c r="F325" s="32">
        <v>0.2</v>
      </c>
      <c r="G325" s="39">
        <v>0</v>
      </c>
      <c r="H325">
        <f t="shared" ref="H325:H388" si="80">IF(G325=P325, 1, 0)</f>
        <v>1</v>
      </c>
      <c r="I325" s="38">
        <f t="shared" si="75"/>
        <v>0.2822738323566763</v>
      </c>
      <c r="J325" s="40">
        <f t="shared" si="76"/>
        <v>-0.20186001120539401</v>
      </c>
      <c r="K325" s="40">
        <f t="shared" si="77"/>
        <v>-0.3181515035265734</v>
      </c>
      <c r="L325" s="40">
        <f t="shared" si="78"/>
        <v>1.0025408475482367</v>
      </c>
      <c r="M325" s="40">
        <f t="shared" si="79"/>
        <v>0.77078769124838331</v>
      </c>
      <c r="N325" s="35">
        <f t="shared" ref="N325:N388" si="81">I325+J325*C325+K325*D325+L325*E325+F325*M325</f>
        <v>-0.30302776231663175</v>
      </c>
      <c r="O325" s="35">
        <f t="shared" ref="O325:O388" si="82">1/(1+EXP(-N325))</f>
        <v>0.4248174888799916</v>
      </c>
      <c r="P325" s="36">
        <f t="shared" ref="P325:P388" si="83">IF(O325&gt;0.5,1,0)</f>
        <v>0</v>
      </c>
      <c r="Q325" s="36">
        <f t="shared" ref="Q325:Q388" si="84">O325-G325</f>
        <v>0.4248174888799916</v>
      </c>
      <c r="R325" s="37">
        <f t="shared" ref="R325:R388" si="85">Q325^2</f>
        <v>0.18046989885830178</v>
      </c>
      <c r="T325" s="31">
        <f t="shared" ref="T325:T388" si="86">2*(O325-G325)*(1-O325)*O325</f>
        <v>0.20760625921378392</v>
      </c>
      <c r="U325" s="31">
        <f t="shared" ref="U325:U388" si="87">2*(O325-G325)*(1-O325)*O325*C325</f>
        <v>1.0587919219902979</v>
      </c>
      <c r="V325" s="31">
        <f t="shared" ref="V325:V388" si="88">2*(O325-G325)*(1-O325)*O325*D325</f>
        <v>0.72662190724824371</v>
      </c>
      <c r="W325" s="31">
        <f t="shared" ref="W325:W388" si="89">2*(O325-G325)*(1-O325)*O325*E325</f>
        <v>0.29064876289929747</v>
      </c>
      <c r="X325" s="31">
        <f t="shared" ref="X325:X388" si="90">2*(O325-G325)*(1-O325)*O325*F325</f>
        <v>4.152125184275679E-2</v>
      </c>
    </row>
    <row r="326" spans="1:24" ht="14.25" customHeight="1" x14ac:dyDescent="0.25">
      <c r="A326" s="41"/>
      <c r="B326" s="38">
        <v>2</v>
      </c>
      <c r="C326" s="32">
        <v>4.9000000000000004</v>
      </c>
      <c r="D326" s="32">
        <v>3</v>
      </c>
      <c r="E326" s="32">
        <v>1.4</v>
      </c>
      <c r="F326" s="32">
        <v>0.2</v>
      </c>
      <c r="G326" s="39">
        <v>0</v>
      </c>
      <c r="H326">
        <f t="shared" si="80"/>
        <v>1</v>
      </c>
      <c r="I326" s="38">
        <f t="shared" ref="I326:I389" si="91">I325-0.1*T325</f>
        <v>0.26151320643529791</v>
      </c>
      <c r="J326" s="40">
        <f t="shared" ref="J326:J389" si="92">J325-0.1*U325</f>
        <v>-0.30773920340442384</v>
      </c>
      <c r="K326" s="40">
        <f t="shared" ref="K326:K389" si="93">K325-0.1*V325</f>
        <v>-0.39081369425139778</v>
      </c>
      <c r="L326" s="40">
        <f t="shared" ref="L326:L389" si="94">L325-0.1*W325</f>
        <v>0.97347597125830698</v>
      </c>
      <c r="M326" s="40">
        <f t="shared" ref="M326:M389" si="95">M325-0.1*X325</f>
        <v>0.76663556606410765</v>
      </c>
      <c r="N326" s="35">
        <f t="shared" si="81"/>
        <v>-0.90265650002612108</v>
      </c>
      <c r="O326" s="35">
        <f t="shared" si="82"/>
        <v>0.28850489187446016</v>
      </c>
      <c r="P326" s="36">
        <f t="shared" si="83"/>
        <v>0</v>
      </c>
      <c r="Q326" s="36">
        <f t="shared" si="84"/>
        <v>0.28850489187446016</v>
      </c>
      <c r="R326" s="37">
        <f t="shared" si="85"/>
        <v>8.3235072635493942E-2</v>
      </c>
      <c r="T326" s="31">
        <f t="shared" si="86"/>
        <v>0.11844269400925585</v>
      </c>
      <c r="U326" s="31">
        <f t="shared" si="87"/>
        <v>0.58036920064535369</v>
      </c>
      <c r="V326" s="31">
        <f t="shared" si="88"/>
        <v>0.35532808202776756</v>
      </c>
      <c r="W326" s="31">
        <f t="shared" si="89"/>
        <v>0.16581977161295819</v>
      </c>
      <c r="X326" s="31">
        <f t="shared" si="90"/>
        <v>2.3688538801851171E-2</v>
      </c>
    </row>
    <row r="327" spans="1:24" ht="14.25" customHeight="1" x14ac:dyDescent="0.25">
      <c r="A327" s="41"/>
      <c r="B327" s="38">
        <v>3</v>
      </c>
      <c r="C327" s="32">
        <v>4.7</v>
      </c>
      <c r="D327" s="32">
        <v>3.2</v>
      </c>
      <c r="E327" s="32">
        <v>1.3</v>
      </c>
      <c r="F327" s="32">
        <v>0.2</v>
      </c>
      <c r="G327" s="39">
        <v>0</v>
      </c>
      <c r="H327">
        <f t="shared" si="80"/>
        <v>1</v>
      </c>
      <c r="I327" s="38">
        <f t="shared" si="91"/>
        <v>0.24966893703437232</v>
      </c>
      <c r="J327" s="40">
        <f t="shared" si="92"/>
        <v>-0.36577612346895921</v>
      </c>
      <c r="K327" s="40">
        <f t="shared" si="93"/>
        <v>-0.42634650245417455</v>
      </c>
      <c r="L327" s="40">
        <f t="shared" si="94"/>
        <v>0.95689399409701115</v>
      </c>
      <c r="M327" s="40">
        <f t="shared" si="95"/>
        <v>0.7642667121839225</v>
      </c>
      <c r="N327" s="35">
        <f t="shared" si="81"/>
        <v>-1.4369721163601961</v>
      </c>
      <c r="O327" s="35">
        <f t="shared" si="82"/>
        <v>0.19201467165951067</v>
      </c>
      <c r="P327" s="36">
        <f t="shared" si="83"/>
        <v>0</v>
      </c>
      <c r="Q327" s="36">
        <f t="shared" si="84"/>
        <v>0.19201467165951067</v>
      </c>
      <c r="R327" s="37">
        <f t="shared" si="85"/>
        <v>3.6869634132509689E-2</v>
      </c>
      <c r="T327" s="31">
        <f t="shared" si="86"/>
        <v>5.9580246880699107E-2</v>
      </c>
      <c r="U327" s="31">
        <f t="shared" si="87"/>
        <v>0.28002716033928582</v>
      </c>
      <c r="V327" s="31">
        <f t="shared" si="88"/>
        <v>0.19065679001823715</v>
      </c>
      <c r="W327" s="31">
        <f t="shared" si="89"/>
        <v>7.7454320944908839E-2</v>
      </c>
      <c r="X327" s="31">
        <f t="shared" si="90"/>
        <v>1.1916049376139822E-2</v>
      </c>
    </row>
    <row r="328" spans="1:24" ht="14.25" customHeight="1" x14ac:dyDescent="0.25">
      <c r="A328" s="41"/>
      <c r="B328" s="38">
        <v>4</v>
      </c>
      <c r="C328" s="32">
        <v>4.5999999999999996</v>
      </c>
      <c r="D328" s="32">
        <v>3.1</v>
      </c>
      <c r="E328" s="32">
        <v>1.5</v>
      </c>
      <c r="F328" s="32">
        <v>0.2</v>
      </c>
      <c r="G328" s="39">
        <v>0</v>
      </c>
      <c r="H328">
        <f t="shared" si="80"/>
        <v>1</v>
      </c>
      <c r="I328" s="38">
        <f t="shared" si="91"/>
        <v>0.24371091234630241</v>
      </c>
      <c r="J328" s="40">
        <f t="shared" si="92"/>
        <v>-0.39377883950288778</v>
      </c>
      <c r="K328" s="40">
        <f t="shared" si="93"/>
        <v>-0.44541218145599826</v>
      </c>
      <c r="L328" s="40">
        <f t="shared" si="94"/>
        <v>0.94914856200252029</v>
      </c>
      <c r="M328" s="40">
        <f t="shared" si="95"/>
        <v>0.76307510724630856</v>
      </c>
      <c r="N328" s="35">
        <f t="shared" si="81"/>
        <v>-1.3721116474275337</v>
      </c>
      <c r="O328" s="35">
        <f t="shared" si="82"/>
        <v>0.20227889225400614</v>
      </c>
      <c r="P328" s="36">
        <f t="shared" si="83"/>
        <v>0</v>
      </c>
      <c r="Q328" s="36">
        <f t="shared" si="84"/>
        <v>0.20227889225400614</v>
      </c>
      <c r="R328" s="37">
        <f t="shared" si="85"/>
        <v>4.0916750251507823E-2</v>
      </c>
      <c r="T328" s="31">
        <f t="shared" si="86"/>
        <v>6.5280310671997979E-2</v>
      </c>
      <c r="U328" s="31">
        <f t="shared" si="87"/>
        <v>0.30028942909119066</v>
      </c>
      <c r="V328" s="31">
        <f t="shared" si="88"/>
        <v>0.20236896308319374</v>
      </c>
      <c r="W328" s="31">
        <f t="shared" si="89"/>
        <v>9.7920466007996976E-2</v>
      </c>
      <c r="X328" s="31">
        <f t="shared" si="90"/>
        <v>1.3056062134399596E-2</v>
      </c>
    </row>
    <row r="329" spans="1:24" ht="14.25" customHeight="1" x14ac:dyDescent="0.25">
      <c r="A329" s="41"/>
      <c r="B329" s="38">
        <v>5</v>
      </c>
      <c r="C329" s="32">
        <v>5</v>
      </c>
      <c r="D329" s="32">
        <v>3.6</v>
      </c>
      <c r="E329" s="32">
        <v>1.4</v>
      </c>
      <c r="F329" s="32">
        <v>0.2</v>
      </c>
      <c r="G329" s="39">
        <v>0</v>
      </c>
      <c r="H329">
        <f t="shared" si="80"/>
        <v>1</v>
      </c>
      <c r="I329" s="38">
        <f t="shared" si="91"/>
        <v>0.23718288127910261</v>
      </c>
      <c r="J329" s="40">
        <f t="shared" si="92"/>
        <v>-0.42380778241200684</v>
      </c>
      <c r="K329" s="40">
        <f t="shared" si="93"/>
        <v>-0.46564907776431763</v>
      </c>
      <c r="L329" s="40">
        <f t="shared" si="94"/>
        <v>0.9393565154017206</v>
      </c>
      <c r="M329" s="40">
        <f t="shared" si="95"/>
        <v>0.76176950103286856</v>
      </c>
      <c r="N329" s="35">
        <f t="shared" si="81"/>
        <v>-2.0907396889634926</v>
      </c>
      <c r="O329" s="35">
        <f t="shared" si="82"/>
        <v>0.11000013784036577</v>
      </c>
      <c r="P329" s="36">
        <f t="shared" si="83"/>
        <v>0</v>
      </c>
      <c r="Q329" s="36">
        <f t="shared" si="84"/>
        <v>0.11000013784036577</v>
      </c>
      <c r="R329" s="37">
        <f t="shared" si="85"/>
        <v>1.210003032489947E-2</v>
      </c>
      <c r="T329" s="31">
        <f t="shared" si="86"/>
        <v>2.1538050642575846E-2</v>
      </c>
      <c r="U329" s="31">
        <f t="shared" si="87"/>
        <v>0.10769025321287923</v>
      </c>
      <c r="V329" s="31">
        <f t="shared" si="88"/>
        <v>7.7536982313273051E-2</v>
      </c>
      <c r="W329" s="31">
        <f t="shared" si="89"/>
        <v>3.0153270899606184E-2</v>
      </c>
      <c r="X329" s="31">
        <f t="shared" si="90"/>
        <v>4.3076101285151698E-3</v>
      </c>
    </row>
    <row r="330" spans="1:24" ht="14.25" customHeight="1" x14ac:dyDescent="0.25">
      <c r="A330" s="41"/>
      <c r="B330" s="38">
        <v>6</v>
      </c>
      <c r="C330" s="32">
        <v>5.4</v>
      </c>
      <c r="D330" s="32">
        <v>3.9</v>
      </c>
      <c r="E330" s="32">
        <v>1.7</v>
      </c>
      <c r="F330" s="32">
        <v>0.4</v>
      </c>
      <c r="G330" s="39">
        <v>0</v>
      </c>
      <c r="H330">
        <f t="shared" si="80"/>
        <v>1</v>
      </c>
      <c r="I330" s="38">
        <f t="shared" si="91"/>
        <v>0.23502907621484503</v>
      </c>
      <c r="J330" s="40">
        <f t="shared" si="92"/>
        <v>-0.43457680773329477</v>
      </c>
      <c r="K330" s="40">
        <f t="shared" si="93"/>
        <v>-0.47340277599564495</v>
      </c>
      <c r="L330" s="40">
        <f t="shared" si="94"/>
        <v>0.93634118831175994</v>
      </c>
      <c r="M330" s="40">
        <f t="shared" si="95"/>
        <v>0.761338740020017</v>
      </c>
      <c r="N330" s="35">
        <f t="shared" si="81"/>
        <v>-2.061640995789964</v>
      </c>
      <c r="O330" s="35">
        <f t="shared" si="82"/>
        <v>0.1128813976661783</v>
      </c>
      <c r="P330" s="36">
        <f t="shared" si="83"/>
        <v>0</v>
      </c>
      <c r="Q330" s="36">
        <f t="shared" si="84"/>
        <v>0.1128813976661783</v>
      </c>
      <c r="R330" s="37">
        <f t="shared" si="85"/>
        <v>1.2742209939069883E-2</v>
      </c>
      <c r="T330" s="31">
        <f t="shared" si="86"/>
        <v>2.2607702943583614E-2</v>
      </c>
      <c r="U330" s="31">
        <f t="shared" si="87"/>
        <v>0.12208159589535153</v>
      </c>
      <c r="V330" s="31">
        <f t="shared" si="88"/>
        <v>8.8170041479976091E-2</v>
      </c>
      <c r="W330" s="31">
        <f t="shared" si="89"/>
        <v>3.8433095004092144E-2</v>
      </c>
      <c r="X330" s="31">
        <f t="shared" si="90"/>
        <v>9.0430811774334461E-3</v>
      </c>
    </row>
    <row r="331" spans="1:24" ht="14.25" customHeight="1" x14ac:dyDescent="0.25">
      <c r="A331" s="41"/>
      <c r="B331" s="38">
        <v>7</v>
      </c>
      <c r="C331" s="32">
        <v>4.5999999999999996</v>
      </c>
      <c r="D331" s="32">
        <v>3.4</v>
      </c>
      <c r="E331" s="32">
        <v>1.4</v>
      </c>
      <c r="F331" s="32">
        <v>0.3</v>
      </c>
      <c r="G331" s="39">
        <v>0</v>
      </c>
      <c r="H331">
        <f t="shared" si="80"/>
        <v>1</v>
      </c>
      <c r="I331" s="38">
        <f t="shared" si="91"/>
        <v>0.23276830592048667</v>
      </c>
      <c r="J331" s="40">
        <f t="shared" si="92"/>
        <v>-0.44678496732282991</v>
      </c>
      <c r="K331" s="40">
        <f t="shared" si="93"/>
        <v>-0.48221978014364258</v>
      </c>
      <c r="L331" s="40">
        <f t="shared" si="94"/>
        <v>0.93249787881135071</v>
      </c>
      <c r="M331" s="40">
        <f t="shared" si="95"/>
        <v>0.76043443190227367</v>
      </c>
      <c r="N331" s="35">
        <f t="shared" si="81"/>
        <v>-1.9283624363463421</v>
      </c>
      <c r="O331" s="35">
        <f t="shared" si="82"/>
        <v>0.12693194445610279</v>
      </c>
      <c r="P331" s="36">
        <f t="shared" si="83"/>
        <v>0</v>
      </c>
      <c r="Q331" s="36">
        <f t="shared" si="84"/>
        <v>0.12693194445610279</v>
      </c>
      <c r="R331" s="37">
        <f t="shared" si="85"/>
        <v>1.6111718523407162E-2</v>
      </c>
      <c r="T331" s="31">
        <f t="shared" si="86"/>
        <v>2.8133253525403364E-2</v>
      </c>
      <c r="U331" s="31">
        <f t="shared" si="87"/>
        <v>0.12941296621685547</v>
      </c>
      <c r="V331" s="31">
        <f t="shared" si="88"/>
        <v>9.565306198637144E-2</v>
      </c>
      <c r="W331" s="31">
        <f t="shared" si="89"/>
        <v>3.9386554935564706E-2</v>
      </c>
      <c r="X331" s="31">
        <f t="shared" si="90"/>
        <v>8.4399760576210087E-3</v>
      </c>
    </row>
    <row r="332" spans="1:24" ht="14.25" customHeight="1" x14ac:dyDescent="0.25">
      <c r="A332" s="41"/>
      <c r="B332" s="38">
        <v>8</v>
      </c>
      <c r="C332" s="32">
        <v>5</v>
      </c>
      <c r="D332" s="32">
        <v>3.4</v>
      </c>
      <c r="E332" s="32">
        <v>1.5</v>
      </c>
      <c r="F332" s="32">
        <v>0.2</v>
      </c>
      <c r="G332" s="39">
        <v>0</v>
      </c>
      <c r="H332">
        <f t="shared" si="80"/>
        <v>1</v>
      </c>
      <c r="I332" s="38">
        <f t="shared" si="91"/>
        <v>0.22995498056794633</v>
      </c>
      <c r="J332" s="40">
        <f t="shared" si="92"/>
        <v>-0.45972626394451543</v>
      </c>
      <c r="K332" s="40">
        <f t="shared" si="93"/>
        <v>-0.49178508634227974</v>
      </c>
      <c r="L332" s="40">
        <f t="shared" si="94"/>
        <v>0.92855922331779428</v>
      </c>
      <c r="M332" s="40">
        <f t="shared" si="95"/>
        <v>0.75959043429651152</v>
      </c>
      <c r="N332" s="35">
        <f t="shared" si="81"/>
        <v>-2.1959887108823883</v>
      </c>
      <c r="O332" s="35">
        <f t="shared" si="82"/>
        <v>0.1001112829790409</v>
      </c>
      <c r="P332" s="36">
        <f t="shared" si="83"/>
        <v>0</v>
      </c>
      <c r="Q332" s="36">
        <f t="shared" si="84"/>
        <v>0.1001112829790409</v>
      </c>
      <c r="R332" s="37">
        <f t="shared" si="85"/>
        <v>1.0022268979709604E-2</v>
      </c>
      <c r="T332" s="31">
        <f t="shared" si="86"/>
        <v>1.8037853547579665E-2</v>
      </c>
      <c r="U332" s="31">
        <f t="shared" si="87"/>
        <v>9.0189267737898329E-2</v>
      </c>
      <c r="V332" s="31">
        <f t="shared" si="88"/>
        <v>6.1328702061770858E-2</v>
      </c>
      <c r="W332" s="31">
        <f t="shared" si="89"/>
        <v>2.7056780321369496E-2</v>
      </c>
      <c r="X332" s="31">
        <f t="shared" si="90"/>
        <v>3.607570709515933E-3</v>
      </c>
    </row>
    <row r="333" spans="1:24" ht="14.25" customHeight="1" x14ac:dyDescent="0.25">
      <c r="A333" s="41"/>
      <c r="B333" s="38">
        <v>9</v>
      </c>
      <c r="C333" s="32">
        <v>4.4000000000000004</v>
      </c>
      <c r="D333" s="32">
        <v>2.9</v>
      </c>
      <c r="E333" s="32">
        <v>1.4</v>
      </c>
      <c r="F333" s="32">
        <v>0.2</v>
      </c>
      <c r="G333" s="39">
        <v>0</v>
      </c>
      <c r="H333">
        <f t="shared" si="80"/>
        <v>1</v>
      </c>
      <c r="I333" s="38">
        <f t="shared" si="91"/>
        <v>0.22815119521318836</v>
      </c>
      <c r="J333" s="40">
        <f t="shared" si="92"/>
        <v>-0.46874519071830528</v>
      </c>
      <c r="K333" s="40">
        <f t="shared" si="93"/>
        <v>-0.49791795654845683</v>
      </c>
      <c r="L333" s="40">
        <f t="shared" si="94"/>
        <v>0.92585354528565733</v>
      </c>
      <c r="M333" s="40">
        <f t="shared" si="95"/>
        <v>0.7592296772255599</v>
      </c>
      <c r="N333" s="35">
        <f t="shared" si="81"/>
        <v>-1.8302488190928476</v>
      </c>
      <c r="O333" s="35">
        <f t="shared" si="82"/>
        <v>0.13820863440691933</v>
      </c>
      <c r="P333" s="36">
        <f t="shared" si="83"/>
        <v>0</v>
      </c>
      <c r="Q333" s="36">
        <f t="shared" si="84"/>
        <v>0.13820863440691933</v>
      </c>
      <c r="R333" s="37">
        <f t="shared" si="85"/>
        <v>1.9101626624625487E-2</v>
      </c>
      <c r="T333" s="31">
        <f t="shared" si="86"/>
        <v>3.292323378777029E-2</v>
      </c>
      <c r="U333" s="31">
        <f t="shared" si="87"/>
        <v>0.14486222866618928</v>
      </c>
      <c r="V333" s="31">
        <f t="shared" si="88"/>
        <v>9.5477377984533832E-2</v>
      </c>
      <c r="W333" s="31">
        <f t="shared" si="89"/>
        <v>4.6092527302878404E-2</v>
      </c>
      <c r="X333" s="31">
        <f t="shared" si="90"/>
        <v>6.5846467575540581E-3</v>
      </c>
    </row>
    <row r="334" spans="1:24" ht="14.25" customHeight="1" x14ac:dyDescent="0.25">
      <c r="A334" s="41"/>
      <c r="B334" s="38">
        <v>10</v>
      </c>
      <c r="C334" s="32">
        <v>4.9000000000000004</v>
      </c>
      <c r="D334" s="32">
        <v>3.1</v>
      </c>
      <c r="E334" s="32">
        <v>1.5</v>
      </c>
      <c r="F334" s="32">
        <v>0.1</v>
      </c>
      <c r="G334" s="39">
        <v>0</v>
      </c>
      <c r="H334">
        <f t="shared" si="80"/>
        <v>1</v>
      </c>
      <c r="I334" s="38">
        <f t="shared" si="91"/>
        <v>0.22485887183441133</v>
      </c>
      <c r="J334" s="40">
        <f t="shared" si="92"/>
        <v>-0.48323141358492422</v>
      </c>
      <c r="K334" s="40">
        <f t="shared" si="93"/>
        <v>-0.50746569434691025</v>
      </c>
      <c r="L334" s="40">
        <f t="shared" si="94"/>
        <v>0.92124429255536944</v>
      </c>
      <c r="M334" s="40">
        <f t="shared" si="95"/>
        <v>0.75857121254980453</v>
      </c>
      <c r="N334" s="35">
        <f t="shared" si="81"/>
        <v>-2.2583951471191055</v>
      </c>
      <c r="O334" s="35">
        <f t="shared" si="82"/>
        <v>9.4627772665212481E-2</v>
      </c>
      <c r="P334" s="36">
        <f t="shared" si="83"/>
        <v>0</v>
      </c>
      <c r="Q334" s="36">
        <f t="shared" si="84"/>
        <v>9.4627772665212481E-2</v>
      </c>
      <c r="R334" s="37">
        <f t="shared" si="85"/>
        <v>8.9544153595791341E-3</v>
      </c>
      <c r="T334" s="31">
        <f t="shared" si="86"/>
        <v>1.6214157957165985E-2</v>
      </c>
      <c r="U334" s="31">
        <f t="shared" si="87"/>
        <v>7.9449373990113328E-2</v>
      </c>
      <c r="V334" s="31">
        <f t="shared" si="88"/>
        <v>5.0263889667214554E-2</v>
      </c>
      <c r="W334" s="31">
        <f t="shared" si="89"/>
        <v>2.4321236935748978E-2</v>
      </c>
      <c r="X334" s="31">
        <f t="shared" si="90"/>
        <v>1.6214157957165987E-3</v>
      </c>
    </row>
    <row r="335" spans="1:24" ht="14.25" customHeight="1" x14ac:dyDescent="0.25">
      <c r="A335" s="41"/>
      <c r="B335" s="38">
        <v>11</v>
      </c>
      <c r="C335" s="32">
        <v>5.4</v>
      </c>
      <c r="D335" s="32">
        <v>3.7</v>
      </c>
      <c r="E335" s="32">
        <v>1.5</v>
      </c>
      <c r="F335" s="32">
        <v>0.2</v>
      </c>
      <c r="G335" s="39">
        <v>0</v>
      </c>
      <c r="H335">
        <f t="shared" si="80"/>
        <v>1</v>
      </c>
      <c r="I335" s="38">
        <f t="shared" si="91"/>
        <v>0.22323745603869474</v>
      </c>
      <c r="J335" s="40">
        <f t="shared" si="92"/>
        <v>-0.49117635098393553</v>
      </c>
      <c r="K335" s="40">
        <f t="shared" si="93"/>
        <v>-0.51249208331363172</v>
      </c>
      <c r="L335" s="40">
        <f t="shared" si="94"/>
        <v>0.91881216886179451</v>
      </c>
      <c r="M335" s="40">
        <f t="shared" si="95"/>
        <v>0.75840907097023291</v>
      </c>
      <c r="N335" s="35">
        <f t="shared" si="81"/>
        <v>-2.7954354800482557</v>
      </c>
      <c r="O335" s="35">
        <f t="shared" si="82"/>
        <v>5.7571332928851027E-2</v>
      </c>
      <c r="P335" s="36">
        <f t="shared" si="83"/>
        <v>0</v>
      </c>
      <c r="Q335" s="36">
        <f t="shared" si="84"/>
        <v>5.7571332928851027E-2</v>
      </c>
      <c r="R335" s="37">
        <f t="shared" si="85"/>
        <v>3.3144583752046067E-3</v>
      </c>
      <c r="T335" s="31">
        <f t="shared" si="86"/>
        <v>6.2472811772137675E-3</v>
      </c>
      <c r="U335" s="31">
        <f t="shared" si="87"/>
        <v>3.3735318356954348E-2</v>
      </c>
      <c r="V335" s="31">
        <f t="shared" si="88"/>
        <v>2.3114940355690939E-2</v>
      </c>
      <c r="W335" s="31">
        <f t="shared" si="89"/>
        <v>9.3709217658206508E-3</v>
      </c>
      <c r="X335" s="31">
        <f t="shared" si="90"/>
        <v>1.2494562354427535E-3</v>
      </c>
    </row>
    <row r="336" spans="1:24" ht="14.25" customHeight="1" x14ac:dyDescent="0.25">
      <c r="A336" s="41"/>
      <c r="B336" s="38">
        <v>12</v>
      </c>
      <c r="C336" s="32">
        <v>4.8</v>
      </c>
      <c r="D336" s="32">
        <v>3.4</v>
      </c>
      <c r="E336" s="32">
        <v>1.6</v>
      </c>
      <c r="F336" s="32">
        <v>0.2</v>
      </c>
      <c r="G336" s="39">
        <v>0</v>
      </c>
      <c r="H336">
        <f t="shared" si="80"/>
        <v>1</v>
      </c>
      <c r="I336" s="38">
        <f t="shared" si="91"/>
        <v>0.22261272792097336</v>
      </c>
      <c r="J336" s="40">
        <f t="shared" si="92"/>
        <v>-0.49454988281963097</v>
      </c>
      <c r="K336" s="40">
        <f t="shared" si="93"/>
        <v>-0.51480357734920079</v>
      </c>
      <c r="L336" s="40">
        <f t="shared" si="94"/>
        <v>0.9178750766852124</v>
      </c>
      <c r="M336" s="40">
        <f t="shared" si="95"/>
        <v>0.75828412534668865</v>
      </c>
      <c r="N336" s="35">
        <f t="shared" si="81"/>
        <v>-2.2813019248348598</v>
      </c>
      <c r="O336" s="35">
        <f t="shared" si="82"/>
        <v>9.2683412021648467E-2</v>
      </c>
      <c r="P336" s="36">
        <f t="shared" si="83"/>
        <v>0</v>
      </c>
      <c r="Q336" s="36">
        <f t="shared" si="84"/>
        <v>9.2683412021648467E-2</v>
      </c>
      <c r="R336" s="37">
        <f t="shared" si="85"/>
        <v>8.590214863974651E-3</v>
      </c>
      <c r="T336" s="31">
        <f t="shared" si="86"/>
        <v>1.55880888807648E-2</v>
      </c>
      <c r="U336" s="31">
        <f t="shared" si="87"/>
        <v>7.4822826627671035E-2</v>
      </c>
      <c r="V336" s="31">
        <f t="shared" si="88"/>
        <v>5.2999502194600319E-2</v>
      </c>
      <c r="W336" s="31">
        <f t="shared" si="89"/>
        <v>2.4940942209223681E-2</v>
      </c>
      <c r="X336" s="31">
        <f t="shared" si="90"/>
        <v>3.1176177761529601E-3</v>
      </c>
    </row>
    <row r="337" spans="1:24" ht="14.25" customHeight="1" x14ac:dyDescent="0.25">
      <c r="A337" s="41"/>
      <c r="B337" s="38">
        <v>13</v>
      </c>
      <c r="C337" s="32">
        <v>4.8</v>
      </c>
      <c r="D337" s="32">
        <v>3</v>
      </c>
      <c r="E337" s="32">
        <v>1.4</v>
      </c>
      <c r="F337" s="32">
        <v>0.1</v>
      </c>
      <c r="G337" s="39">
        <v>0</v>
      </c>
      <c r="H337">
        <f t="shared" si="80"/>
        <v>1</v>
      </c>
      <c r="I337" s="38">
        <f t="shared" si="91"/>
        <v>0.2210539190328969</v>
      </c>
      <c r="J337" s="40">
        <f t="shared" si="92"/>
        <v>-0.50203216548239804</v>
      </c>
      <c r="K337" s="40">
        <f t="shared" si="93"/>
        <v>-0.52010352756866085</v>
      </c>
      <c r="L337" s="40">
        <f t="shared" si="94"/>
        <v>0.91538098246429001</v>
      </c>
      <c r="M337" s="40">
        <f t="shared" si="95"/>
        <v>0.75797236356907338</v>
      </c>
      <c r="N337" s="35">
        <f t="shared" si="81"/>
        <v>-2.3916804461816823</v>
      </c>
      <c r="O337" s="35">
        <f t="shared" si="82"/>
        <v>8.3809308043002906E-2</v>
      </c>
      <c r="P337" s="36">
        <f t="shared" si="83"/>
        <v>0</v>
      </c>
      <c r="Q337" s="36">
        <f t="shared" si="84"/>
        <v>8.3809308043002906E-2</v>
      </c>
      <c r="R337" s="37">
        <f t="shared" si="85"/>
        <v>7.0240001146469515E-3</v>
      </c>
      <c r="T337" s="31">
        <f t="shared" si="86"/>
        <v>1.2870647050688836E-2</v>
      </c>
      <c r="U337" s="31">
        <f t="shared" si="87"/>
        <v>6.1779105843306412E-2</v>
      </c>
      <c r="V337" s="31">
        <f t="shared" si="88"/>
        <v>3.8611941152066509E-2</v>
      </c>
      <c r="W337" s="31">
        <f t="shared" si="89"/>
        <v>1.8018905870964368E-2</v>
      </c>
      <c r="X337" s="31">
        <f t="shared" si="90"/>
        <v>1.2870647050688836E-3</v>
      </c>
    </row>
    <row r="338" spans="1:24" ht="14.25" customHeight="1" x14ac:dyDescent="0.25">
      <c r="A338" s="41"/>
      <c r="B338" s="38">
        <v>14</v>
      </c>
      <c r="C338" s="32">
        <v>4.3</v>
      </c>
      <c r="D338" s="32">
        <v>3</v>
      </c>
      <c r="E338" s="32">
        <v>1.1000000000000001</v>
      </c>
      <c r="F338" s="32">
        <v>0.1</v>
      </c>
      <c r="G338" s="39">
        <v>0</v>
      </c>
      <c r="H338">
        <f t="shared" si="80"/>
        <v>1</v>
      </c>
      <c r="I338" s="38">
        <f t="shared" si="91"/>
        <v>0.219766854327828</v>
      </c>
      <c r="J338" s="40">
        <f t="shared" si="92"/>
        <v>-0.50821007606672863</v>
      </c>
      <c r="K338" s="40">
        <f t="shared" si="93"/>
        <v>-0.52396472168386754</v>
      </c>
      <c r="L338" s="40">
        <f t="shared" si="94"/>
        <v>0.91357909187719355</v>
      </c>
      <c r="M338" s="40">
        <f t="shared" si="95"/>
        <v>0.75784365709856649</v>
      </c>
      <c r="N338" s="35">
        <f t="shared" si="81"/>
        <v>-2.4567092710359377</v>
      </c>
      <c r="O338" s="35">
        <f t="shared" si="82"/>
        <v>7.8949295511436757E-2</v>
      </c>
      <c r="P338" s="36">
        <f t="shared" si="83"/>
        <v>0</v>
      </c>
      <c r="Q338" s="36">
        <f t="shared" si="84"/>
        <v>7.8949295511436757E-2</v>
      </c>
      <c r="R338" s="37">
        <f t="shared" si="85"/>
        <v>6.2329912617521679E-3</v>
      </c>
      <c r="T338" s="31">
        <f t="shared" si="86"/>
        <v>1.1481801985415785E-2</v>
      </c>
      <c r="U338" s="31">
        <f t="shared" si="87"/>
        <v>4.9371748537287874E-2</v>
      </c>
      <c r="V338" s="31">
        <f t="shared" si="88"/>
        <v>3.4445405956247357E-2</v>
      </c>
      <c r="W338" s="31">
        <f t="shared" si="89"/>
        <v>1.2629982183957365E-2</v>
      </c>
      <c r="X338" s="31">
        <f t="shared" si="90"/>
        <v>1.1481801985415785E-3</v>
      </c>
    </row>
    <row r="339" spans="1:24" ht="14.25" customHeight="1" x14ac:dyDescent="0.25">
      <c r="A339" s="41"/>
      <c r="B339" s="38">
        <v>15</v>
      </c>
      <c r="C339" s="32">
        <v>5.8</v>
      </c>
      <c r="D339" s="32">
        <v>4</v>
      </c>
      <c r="E339" s="32">
        <v>1.2</v>
      </c>
      <c r="F339" s="32">
        <v>0.2</v>
      </c>
      <c r="G339" s="39">
        <v>0</v>
      </c>
      <c r="H339">
        <f t="shared" si="80"/>
        <v>1</v>
      </c>
      <c r="I339" s="38">
        <f t="shared" si="91"/>
        <v>0.21861867412928643</v>
      </c>
      <c r="J339" s="40">
        <f t="shared" si="92"/>
        <v>-0.51314725092045743</v>
      </c>
      <c r="K339" s="40">
        <f t="shared" si="93"/>
        <v>-0.52740926227949225</v>
      </c>
      <c r="L339" s="40">
        <f t="shared" si="94"/>
        <v>0.91231609365879784</v>
      </c>
      <c r="M339" s="40">
        <f t="shared" si="95"/>
        <v>0.75772883907871236</v>
      </c>
      <c r="N339" s="35">
        <f t="shared" si="81"/>
        <v>-3.6209473501210363</v>
      </c>
      <c r="O339" s="35">
        <f t="shared" si="82"/>
        <v>2.6060019753553286E-2</v>
      </c>
      <c r="P339" s="36">
        <f t="shared" si="83"/>
        <v>0</v>
      </c>
      <c r="Q339" s="36">
        <f t="shared" si="84"/>
        <v>2.6060019753553286E-2</v>
      </c>
      <c r="R339" s="37">
        <f t="shared" si="85"/>
        <v>6.7912462955558748E-4</v>
      </c>
      <c r="T339" s="31">
        <f t="shared" si="86"/>
        <v>1.3228532565884887E-3</v>
      </c>
      <c r="U339" s="31">
        <f t="shared" si="87"/>
        <v>7.6725488882132343E-3</v>
      </c>
      <c r="V339" s="31">
        <f t="shared" si="88"/>
        <v>5.2914130263539546E-3</v>
      </c>
      <c r="W339" s="31">
        <f t="shared" si="89"/>
        <v>1.5874239079061863E-3</v>
      </c>
      <c r="X339" s="31">
        <f t="shared" si="90"/>
        <v>2.6457065131769774E-4</v>
      </c>
    </row>
    <row r="340" spans="1:24" ht="14.25" customHeight="1" x14ac:dyDescent="0.25">
      <c r="A340" s="41"/>
      <c r="B340" s="38">
        <v>16</v>
      </c>
      <c r="C340" s="32">
        <v>5.7</v>
      </c>
      <c r="D340" s="32">
        <v>4.4000000000000004</v>
      </c>
      <c r="E340" s="32">
        <v>1.5</v>
      </c>
      <c r="F340" s="32">
        <v>0.4</v>
      </c>
      <c r="G340" s="39">
        <v>0</v>
      </c>
      <c r="H340">
        <f t="shared" si="80"/>
        <v>1</v>
      </c>
      <c r="I340" s="38">
        <f t="shared" si="91"/>
        <v>0.21848638880362758</v>
      </c>
      <c r="J340" s="40">
        <f t="shared" si="92"/>
        <v>-0.51391450580927878</v>
      </c>
      <c r="K340" s="40">
        <f t="shared" si="93"/>
        <v>-0.52793840358212762</v>
      </c>
      <c r="L340" s="40">
        <f t="shared" si="94"/>
        <v>0.91215735126800723</v>
      </c>
      <c r="M340" s="40">
        <f t="shared" si="95"/>
        <v>0.75770238201358053</v>
      </c>
      <c r="N340" s="35">
        <f t="shared" si="81"/>
        <v>-3.3624382903631798</v>
      </c>
      <c r="O340" s="35">
        <f t="shared" si="82"/>
        <v>3.3490209360770941E-2</v>
      </c>
      <c r="P340" s="36">
        <f t="shared" si="83"/>
        <v>0</v>
      </c>
      <c r="Q340" s="36">
        <f t="shared" si="84"/>
        <v>3.3490209360770941E-2</v>
      </c>
      <c r="R340" s="37">
        <f t="shared" si="85"/>
        <v>1.1215941230282695E-3</v>
      </c>
      <c r="T340" s="31">
        <f t="shared" si="86"/>
        <v>2.1680634020604848E-3</v>
      </c>
      <c r="U340" s="31">
        <f t="shared" si="87"/>
        <v>1.2357961391744764E-2</v>
      </c>
      <c r="V340" s="31">
        <f t="shared" si="88"/>
        <v>9.5394789690661334E-3</v>
      </c>
      <c r="W340" s="31">
        <f t="shared" si="89"/>
        <v>3.2520951030907269E-3</v>
      </c>
      <c r="X340" s="31">
        <f t="shared" si="90"/>
        <v>8.6722536082419399E-4</v>
      </c>
    </row>
    <row r="341" spans="1:24" ht="14.25" customHeight="1" x14ac:dyDescent="0.25">
      <c r="A341" s="41"/>
      <c r="B341" s="38">
        <v>17</v>
      </c>
      <c r="C341" s="32">
        <v>5.4</v>
      </c>
      <c r="D341" s="32">
        <v>3.9</v>
      </c>
      <c r="E341" s="32">
        <v>1.3</v>
      </c>
      <c r="F341" s="32">
        <v>0.4</v>
      </c>
      <c r="G341" s="39">
        <v>0</v>
      </c>
      <c r="H341">
        <f t="shared" si="80"/>
        <v>1</v>
      </c>
      <c r="I341" s="38">
        <f t="shared" si="91"/>
        <v>0.21826958246342154</v>
      </c>
      <c r="J341" s="40">
        <f t="shared" si="92"/>
        <v>-0.51515030194845324</v>
      </c>
      <c r="K341" s="40">
        <f t="shared" si="93"/>
        <v>-0.52889235147903424</v>
      </c>
      <c r="L341" s="40">
        <f t="shared" si="94"/>
        <v>0.91183214175769811</v>
      </c>
      <c r="M341" s="40">
        <f t="shared" si="95"/>
        <v>0.75761565947749809</v>
      </c>
      <c r="N341" s="35">
        <f t="shared" si="81"/>
        <v>-3.1377941707504524</v>
      </c>
      <c r="O341" s="35">
        <f t="shared" si="82"/>
        <v>4.1574924942508452E-2</v>
      </c>
      <c r="P341" s="36">
        <f t="shared" si="83"/>
        <v>0</v>
      </c>
      <c r="Q341" s="36">
        <f t="shared" si="84"/>
        <v>4.1574924942508452E-2</v>
      </c>
      <c r="R341" s="37">
        <f t="shared" si="85"/>
        <v>1.7284743839752115E-3</v>
      </c>
      <c r="T341" s="31">
        <f t="shared" si="86"/>
        <v>3.313226382392787E-3</v>
      </c>
      <c r="U341" s="31">
        <f t="shared" si="87"/>
        <v>1.789142246492105E-2</v>
      </c>
      <c r="V341" s="31">
        <f t="shared" si="88"/>
        <v>1.2921582891331869E-2</v>
      </c>
      <c r="W341" s="31">
        <f t="shared" si="89"/>
        <v>4.3071942971106229E-3</v>
      </c>
      <c r="X341" s="31">
        <f t="shared" si="90"/>
        <v>1.3252905529571148E-3</v>
      </c>
    </row>
    <row r="342" spans="1:24" ht="14.25" customHeight="1" x14ac:dyDescent="0.25">
      <c r="A342" s="41"/>
      <c r="B342" s="38">
        <v>18</v>
      </c>
      <c r="C342" s="32">
        <v>5.0999999999999996</v>
      </c>
      <c r="D342" s="32">
        <v>3.5</v>
      </c>
      <c r="E342" s="32">
        <v>1.4</v>
      </c>
      <c r="F342" s="32">
        <v>0.3</v>
      </c>
      <c r="G342" s="39">
        <v>0</v>
      </c>
      <c r="H342">
        <f t="shared" si="80"/>
        <v>1</v>
      </c>
      <c r="I342" s="38">
        <f t="shared" si="91"/>
        <v>0.21793825982518225</v>
      </c>
      <c r="J342" s="40">
        <f t="shared" si="92"/>
        <v>-0.51693944419494531</v>
      </c>
      <c r="K342" s="40">
        <f t="shared" si="93"/>
        <v>-0.53018450976816744</v>
      </c>
      <c r="L342" s="40">
        <f t="shared" si="94"/>
        <v>0.91140142232798704</v>
      </c>
      <c r="M342" s="40">
        <f t="shared" si="95"/>
        <v>0.75748313042220239</v>
      </c>
      <c r="N342" s="35">
        <f t="shared" si="81"/>
        <v>-2.7708917593717812</v>
      </c>
      <c r="O342" s="35">
        <f t="shared" si="82"/>
        <v>5.8917549279467497E-2</v>
      </c>
      <c r="P342" s="36">
        <f t="shared" si="83"/>
        <v>0</v>
      </c>
      <c r="Q342" s="36">
        <f t="shared" si="84"/>
        <v>5.8917549279467497E-2</v>
      </c>
      <c r="R342" s="37">
        <f t="shared" si="85"/>
        <v>3.4712776130984809E-3</v>
      </c>
      <c r="T342" s="31">
        <f t="shared" si="86"/>
        <v>6.5335168865320783E-3</v>
      </c>
      <c r="U342" s="31">
        <f t="shared" si="87"/>
        <v>3.3320936121313594E-2</v>
      </c>
      <c r="V342" s="31">
        <f t="shared" si="88"/>
        <v>2.2867309102862273E-2</v>
      </c>
      <c r="W342" s="31">
        <f t="shared" si="89"/>
        <v>9.1469236411449092E-3</v>
      </c>
      <c r="X342" s="31">
        <f t="shared" si="90"/>
        <v>1.9600550659596232E-3</v>
      </c>
    </row>
    <row r="343" spans="1:24" ht="14.25" customHeight="1" x14ac:dyDescent="0.25">
      <c r="A343" s="41"/>
      <c r="B343" s="38">
        <v>19</v>
      </c>
      <c r="C343" s="32">
        <v>5.7</v>
      </c>
      <c r="D343" s="32">
        <v>3.8</v>
      </c>
      <c r="E343" s="32">
        <v>1.7</v>
      </c>
      <c r="F343" s="32">
        <v>0.3</v>
      </c>
      <c r="G343" s="39">
        <v>0</v>
      </c>
      <c r="H343">
        <f t="shared" si="80"/>
        <v>1</v>
      </c>
      <c r="I343" s="38">
        <f t="shared" si="91"/>
        <v>0.21728490813652904</v>
      </c>
      <c r="J343" s="40">
        <f t="shared" si="92"/>
        <v>-0.52027153780707669</v>
      </c>
      <c r="K343" s="40">
        <f t="shared" si="93"/>
        <v>-0.53247124067845364</v>
      </c>
      <c r="L343" s="40">
        <f t="shared" si="94"/>
        <v>0.91048672996387259</v>
      </c>
      <c r="M343" s="40">
        <f t="shared" si="95"/>
        <v>0.75728712491560646</v>
      </c>
      <c r="N343" s="35">
        <f t="shared" si="81"/>
        <v>-2.9966399935286674</v>
      </c>
      <c r="O343" s="35">
        <f t="shared" si="82"/>
        <v>4.7577898080562293E-2</v>
      </c>
      <c r="P343" s="36">
        <f t="shared" si="83"/>
        <v>0</v>
      </c>
      <c r="Q343" s="36">
        <f t="shared" si="84"/>
        <v>4.7577898080562293E-2</v>
      </c>
      <c r="R343" s="37">
        <f t="shared" si="85"/>
        <v>2.2636563857643733E-3</v>
      </c>
      <c r="T343" s="31">
        <f t="shared" si="86"/>
        <v>4.3119127459061235E-3</v>
      </c>
      <c r="U343" s="31">
        <f t="shared" si="87"/>
        <v>2.4577902651664905E-2</v>
      </c>
      <c r="V343" s="31">
        <f t="shared" si="88"/>
        <v>1.6385268434443268E-2</v>
      </c>
      <c r="W343" s="31">
        <f t="shared" si="89"/>
        <v>7.3302516680404098E-3</v>
      </c>
      <c r="X343" s="31">
        <f t="shared" si="90"/>
        <v>1.2935738237718371E-3</v>
      </c>
    </row>
    <row r="344" spans="1:24" ht="14.25" customHeight="1" x14ac:dyDescent="0.25">
      <c r="A344" s="41"/>
      <c r="B344" s="38">
        <v>20</v>
      </c>
      <c r="C344" s="32">
        <v>5.0999999999999996</v>
      </c>
      <c r="D344" s="32">
        <v>3.8</v>
      </c>
      <c r="E344" s="32">
        <v>1.5</v>
      </c>
      <c r="F344" s="32">
        <v>0.3</v>
      </c>
      <c r="G344" s="39">
        <v>0</v>
      </c>
      <c r="H344">
        <f t="shared" si="80"/>
        <v>1</v>
      </c>
      <c r="I344" s="38">
        <f t="shared" si="91"/>
        <v>0.21685371686193841</v>
      </c>
      <c r="J344" s="40">
        <f t="shared" si="92"/>
        <v>-0.52272932807224315</v>
      </c>
      <c r="K344" s="40">
        <f t="shared" si="93"/>
        <v>-0.53410976752189798</v>
      </c>
      <c r="L344" s="40">
        <f t="shared" si="94"/>
        <v>0.90975370479706852</v>
      </c>
      <c r="M344" s="40">
        <f t="shared" si="95"/>
        <v>0.75715776753322928</v>
      </c>
      <c r="N344" s="35">
        <f t="shared" si="81"/>
        <v>-2.8869050854341434</v>
      </c>
      <c r="O344" s="35">
        <f t="shared" si="82"/>
        <v>5.2804700739638312E-2</v>
      </c>
      <c r="P344" s="36">
        <f t="shared" si="83"/>
        <v>0</v>
      </c>
      <c r="Q344" s="36">
        <f t="shared" si="84"/>
        <v>5.2804700739638312E-2</v>
      </c>
      <c r="R344" s="37">
        <f t="shared" si="85"/>
        <v>2.7883364202027591E-3</v>
      </c>
      <c r="T344" s="31">
        <f t="shared" si="86"/>
        <v>5.2821982999450359E-3</v>
      </c>
      <c r="U344" s="31">
        <f t="shared" si="87"/>
        <v>2.693921132971968E-2</v>
      </c>
      <c r="V344" s="31">
        <f t="shared" si="88"/>
        <v>2.0072353539791137E-2</v>
      </c>
      <c r="W344" s="31">
        <f t="shared" si="89"/>
        <v>7.9232974499175539E-3</v>
      </c>
      <c r="X344" s="31">
        <f t="shared" si="90"/>
        <v>1.5846594899835108E-3</v>
      </c>
    </row>
    <row r="345" spans="1:24" ht="14.25" customHeight="1" x14ac:dyDescent="0.25">
      <c r="A345" s="41"/>
      <c r="B345" s="38">
        <v>21</v>
      </c>
      <c r="C345" s="32">
        <v>5.4</v>
      </c>
      <c r="D345" s="32">
        <v>3.4</v>
      </c>
      <c r="E345" s="32">
        <v>1.7</v>
      </c>
      <c r="F345" s="32">
        <v>0.2</v>
      </c>
      <c r="G345" s="39">
        <v>0</v>
      </c>
      <c r="H345">
        <f t="shared" si="80"/>
        <v>1</v>
      </c>
      <c r="I345" s="38">
        <f t="shared" si="91"/>
        <v>0.2163254970319439</v>
      </c>
      <c r="J345" s="40">
        <f t="shared" si="92"/>
        <v>-0.5254232492052151</v>
      </c>
      <c r="K345" s="40">
        <f t="shared" si="93"/>
        <v>-0.53611700287587705</v>
      </c>
      <c r="L345" s="40">
        <f t="shared" si="94"/>
        <v>0.90896137505207675</v>
      </c>
      <c r="M345" s="40">
        <f t="shared" si="95"/>
        <v>0.7569993015842309</v>
      </c>
      <c r="N345" s="35">
        <f t="shared" si="81"/>
        <v>-2.7471236605488234</v>
      </c>
      <c r="O345" s="35">
        <f t="shared" si="82"/>
        <v>6.0249300720658268E-2</v>
      </c>
      <c r="P345" s="36">
        <f t="shared" si="83"/>
        <v>0</v>
      </c>
      <c r="Q345" s="36">
        <f t="shared" si="84"/>
        <v>6.0249300720658268E-2</v>
      </c>
      <c r="R345" s="37">
        <f t="shared" si="85"/>
        <v>3.6299782373283127E-3</v>
      </c>
      <c r="T345" s="31">
        <f t="shared" si="86"/>
        <v>6.8225491737961483E-3</v>
      </c>
      <c r="U345" s="31">
        <f t="shared" si="87"/>
        <v>3.6841765538499202E-2</v>
      </c>
      <c r="V345" s="31">
        <f t="shared" si="88"/>
        <v>2.3196667190906902E-2</v>
      </c>
      <c r="W345" s="31">
        <f t="shared" si="89"/>
        <v>1.1598333595453451E-2</v>
      </c>
      <c r="X345" s="31">
        <f t="shared" si="90"/>
        <v>1.3645098347592297E-3</v>
      </c>
    </row>
    <row r="346" spans="1:24" ht="14.25" customHeight="1" x14ac:dyDescent="0.25">
      <c r="A346" s="41"/>
      <c r="B346" s="38">
        <v>22</v>
      </c>
      <c r="C346" s="32">
        <v>5.0999999999999996</v>
      </c>
      <c r="D346" s="32">
        <v>3.7</v>
      </c>
      <c r="E346" s="32">
        <v>1.5</v>
      </c>
      <c r="F346" s="32">
        <v>0.4</v>
      </c>
      <c r="G346" s="39">
        <v>0</v>
      </c>
      <c r="H346">
        <f t="shared" si="80"/>
        <v>1</v>
      </c>
      <c r="I346" s="38">
        <f t="shared" si="91"/>
        <v>0.21564324211456429</v>
      </c>
      <c r="J346" s="40">
        <f t="shared" si="92"/>
        <v>-0.529107425759065</v>
      </c>
      <c r="K346" s="40">
        <f t="shared" si="93"/>
        <v>-0.53843666959496772</v>
      </c>
      <c r="L346" s="40">
        <f t="shared" si="94"/>
        <v>0.90780154169253136</v>
      </c>
      <c r="M346" s="40">
        <f t="shared" si="95"/>
        <v>0.75686285060075498</v>
      </c>
      <c r="N346" s="35">
        <f t="shared" si="81"/>
        <v>-2.8105728539789485</v>
      </c>
      <c r="O346" s="35">
        <f t="shared" si="82"/>
        <v>5.6755505673550241E-2</v>
      </c>
      <c r="P346" s="36">
        <f t="shared" si="83"/>
        <v>0</v>
      </c>
      <c r="Q346" s="36">
        <f t="shared" si="84"/>
        <v>5.6755505673550241E-2</v>
      </c>
      <c r="R346" s="37">
        <f t="shared" si="85"/>
        <v>3.2211874242603937E-3</v>
      </c>
      <c r="T346" s="31">
        <f t="shared" si="86"/>
        <v>6.0767346062544289E-3</v>
      </c>
      <c r="U346" s="31">
        <f t="shared" si="87"/>
        <v>3.0991346491897585E-2</v>
      </c>
      <c r="V346" s="31">
        <f t="shared" si="88"/>
        <v>2.2483918043141388E-2</v>
      </c>
      <c r="W346" s="31">
        <f t="shared" si="89"/>
        <v>9.1151019093816434E-3</v>
      </c>
      <c r="X346" s="31">
        <f t="shared" si="90"/>
        <v>2.4306938425017717E-3</v>
      </c>
    </row>
    <row r="347" spans="1:24" ht="14.25" customHeight="1" x14ac:dyDescent="0.25">
      <c r="A347" s="41"/>
      <c r="B347" s="38">
        <v>23</v>
      </c>
      <c r="C347" s="32">
        <v>4.5999999999999996</v>
      </c>
      <c r="D347" s="32">
        <v>3.6</v>
      </c>
      <c r="E347" s="32">
        <v>1</v>
      </c>
      <c r="F347" s="32">
        <v>0.2</v>
      </c>
      <c r="G347" s="39">
        <v>0</v>
      </c>
      <c r="H347">
        <f t="shared" si="80"/>
        <v>1</v>
      </c>
      <c r="I347" s="38">
        <f t="shared" si="91"/>
        <v>0.21503556865393886</v>
      </c>
      <c r="J347" s="40">
        <f t="shared" si="92"/>
        <v>-0.53220656040825476</v>
      </c>
      <c r="K347" s="40">
        <f t="shared" si="93"/>
        <v>-0.54068506139928185</v>
      </c>
      <c r="L347" s="40">
        <f t="shared" si="94"/>
        <v>0.9068900315015932</v>
      </c>
      <c r="M347" s="40">
        <f t="shared" si="95"/>
        <v>0.75661978121650475</v>
      </c>
      <c r="N347" s="35">
        <f t="shared" si="81"/>
        <v>-3.1213668425165526</v>
      </c>
      <c r="O347" s="35">
        <f t="shared" si="82"/>
        <v>4.2234447499429305E-2</v>
      </c>
      <c r="P347" s="36">
        <f t="shared" si="83"/>
        <v>0</v>
      </c>
      <c r="Q347" s="36">
        <f t="shared" si="84"/>
        <v>4.2234447499429305E-2</v>
      </c>
      <c r="R347" s="37">
        <f t="shared" si="85"/>
        <v>1.7837485555820503E-3</v>
      </c>
      <c r="T347" s="31">
        <f t="shared" si="86"/>
        <v>3.416825841718275E-3</v>
      </c>
      <c r="U347" s="31">
        <f t="shared" si="87"/>
        <v>1.5717398871904063E-2</v>
      </c>
      <c r="V347" s="31">
        <f t="shared" si="88"/>
        <v>1.230057303018579E-2</v>
      </c>
      <c r="W347" s="31">
        <f t="shared" si="89"/>
        <v>3.416825841718275E-3</v>
      </c>
      <c r="X347" s="31">
        <f t="shared" si="90"/>
        <v>6.83365168343655E-4</v>
      </c>
    </row>
    <row r="348" spans="1:24" ht="14.25" customHeight="1" x14ac:dyDescent="0.25">
      <c r="A348" s="41"/>
      <c r="B348" s="38">
        <v>24</v>
      </c>
      <c r="C348" s="32">
        <v>5.0999999999999996</v>
      </c>
      <c r="D348" s="32">
        <v>3.3</v>
      </c>
      <c r="E348" s="32">
        <v>1.7</v>
      </c>
      <c r="F348" s="32">
        <v>0.5</v>
      </c>
      <c r="G348" s="39">
        <v>0</v>
      </c>
      <c r="H348">
        <f t="shared" si="80"/>
        <v>1</v>
      </c>
      <c r="I348" s="38">
        <f t="shared" si="91"/>
        <v>0.21469388606976703</v>
      </c>
      <c r="J348" s="40">
        <f t="shared" si="92"/>
        <v>-0.53377830029544515</v>
      </c>
      <c r="K348" s="40">
        <f t="shared" si="93"/>
        <v>-0.54191511870230047</v>
      </c>
      <c r="L348" s="40">
        <f t="shared" si="94"/>
        <v>0.90654834891742142</v>
      </c>
      <c r="M348" s="40">
        <f t="shared" si="95"/>
        <v>0.75655144469967039</v>
      </c>
      <c r="N348" s="35">
        <f t="shared" si="81"/>
        <v>-2.3764874216451428</v>
      </c>
      <c r="O348" s="35">
        <f t="shared" si="82"/>
        <v>8.4983309971368715E-2</v>
      </c>
      <c r="P348" s="36">
        <f t="shared" si="83"/>
        <v>0</v>
      </c>
      <c r="Q348" s="36">
        <f t="shared" si="84"/>
        <v>8.4983309971368715E-2</v>
      </c>
      <c r="R348" s="37">
        <f t="shared" si="85"/>
        <v>7.2221629736897372E-3</v>
      </c>
      <c r="T348" s="31">
        <f t="shared" si="86"/>
        <v>1.3216799318065842E-2</v>
      </c>
      <c r="U348" s="31">
        <f t="shared" si="87"/>
        <v>6.7405676522135791E-2</v>
      </c>
      <c r="V348" s="31">
        <f t="shared" si="88"/>
        <v>4.3615437749617278E-2</v>
      </c>
      <c r="W348" s="31">
        <f t="shared" si="89"/>
        <v>2.246855884071193E-2</v>
      </c>
      <c r="X348" s="31">
        <f t="shared" si="90"/>
        <v>6.6083996590329212E-3</v>
      </c>
    </row>
    <row r="349" spans="1:24" ht="14.25" customHeight="1" x14ac:dyDescent="0.25">
      <c r="A349" s="41"/>
      <c r="B349" s="38">
        <v>25</v>
      </c>
      <c r="C349" s="32">
        <v>4.8</v>
      </c>
      <c r="D349" s="32">
        <v>3.4</v>
      </c>
      <c r="E349" s="32">
        <v>1.9</v>
      </c>
      <c r="F349" s="32">
        <v>0.2</v>
      </c>
      <c r="G349" s="39">
        <v>0</v>
      </c>
      <c r="H349">
        <f t="shared" si="80"/>
        <v>1</v>
      </c>
      <c r="I349" s="38">
        <f t="shared" si="91"/>
        <v>0.21337220613796043</v>
      </c>
      <c r="J349" s="40">
        <f t="shared" si="92"/>
        <v>-0.54051886794765869</v>
      </c>
      <c r="K349" s="40">
        <f t="shared" si="93"/>
        <v>-0.54627666247726214</v>
      </c>
      <c r="L349" s="40">
        <f t="shared" si="94"/>
        <v>0.90430149303335028</v>
      </c>
      <c r="M349" s="40">
        <f t="shared" si="95"/>
        <v>0.75589060473376712</v>
      </c>
      <c r="N349" s="35">
        <f t="shared" si="81"/>
        <v>-2.3691080547233736</v>
      </c>
      <c r="O349" s="35">
        <f t="shared" si="82"/>
        <v>8.5558898168991163E-2</v>
      </c>
      <c r="P349" s="36">
        <f t="shared" si="83"/>
        <v>0</v>
      </c>
      <c r="Q349" s="36">
        <f t="shared" si="84"/>
        <v>8.5558898168991163E-2</v>
      </c>
      <c r="R349" s="37">
        <f t="shared" si="85"/>
        <v>7.3203250558917989E-3</v>
      </c>
      <c r="T349" s="31">
        <f t="shared" si="86"/>
        <v>1.3388012219741676E-2</v>
      </c>
      <c r="U349" s="31">
        <f t="shared" si="87"/>
        <v>6.4262458654760046E-2</v>
      </c>
      <c r="V349" s="31">
        <f t="shared" si="88"/>
        <v>4.5519241547121697E-2</v>
      </c>
      <c r="W349" s="31">
        <f t="shared" si="89"/>
        <v>2.5437223217509183E-2</v>
      </c>
      <c r="X349" s="31">
        <f t="shared" si="90"/>
        <v>2.6776024439483354E-3</v>
      </c>
    </row>
    <row r="350" spans="1:24" ht="14.25" customHeight="1" x14ac:dyDescent="0.25">
      <c r="A350" s="41"/>
      <c r="B350" s="38">
        <v>26</v>
      </c>
      <c r="C350" s="32">
        <v>5</v>
      </c>
      <c r="D350" s="32">
        <v>3</v>
      </c>
      <c r="E350" s="32">
        <v>1.6</v>
      </c>
      <c r="F350" s="32">
        <v>0.2</v>
      </c>
      <c r="G350" s="39">
        <v>0</v>
      </c>
      <c r="H350">
        <f t="shared" si="80"/>
        <v>1</v>
      </c>
      <c r="I350" s="38">
        <f t="shared" si="91"/>
        <v>0.21203340491598627</v>
      </c>
      <c r="J350" s="40">
        <f t="shared" si="92"/>
        <v>-0.54694511381313471</v>
      </c>
      <c r="K350" s="40">
        <f t="shared" si="93"/>
        <v>-0.55082858663197432</v>
      </c>
      <c r="L350" s="40">
        <f t="shared" si="94"/>
        <v>0.90175777071159935</v>
      </c>
      <c r="M350" s="40">
        <f t="shared" si="95"/>
        <v>0.75562284448937234</v>
      </c>
      <c r="N350" s="35">
        <f t="shared" si="81"/>
        <v>-2.5812409220091772</v>
      </c>
      <c r="O350" s="35">
        <f t="shared" si="82"/>
        <v>7.0355524328531788E-2</v>
      </c>
      <c r="P350" s="36">
        <f t="shared" si="83"/>
        <v>0</v>
      </c>
      <c r="Q350" s="36">
        <f t="shared" si="84"/>
        <v>7.0355524328531788E-2</v>
      </c>
      <c r="R350" s="37">
        <f t="shared" si="85"/>
        <v>4.9498998035426281E-3</v>
      </c>
      <c r="T350" s="31">
        <f t="shared" si="86"/>
        <v>9.2032940149813797E-3</v>
      </c>
      <c r="U350" s="31">
        <f t="shared" si="87"/>
        <v>4.6016470074906897E-2</v>
      </c>
      <c r="V350" s="31">
        <f t="shared" si="88"/>
        <v>2.7609882044944141E-2</v>
      </c>
      <c r="W350" s="31">
        <f t="shared" si="89"/>
        <v>1.4725270423970208E-2</v>
      </c>
      <c r="X350" s="31">
        <f t="shared" si="90"/>
        <v>1.840658802996276E-3</v>
      </c>
    </row>
    <row r="351" spans="1:24" ht="14.25" customHeight="1" x14ac:dyDescent="0.25">
      <c r="A351" s="41"/>
      <c r="B351" s="38">
        <v>27</v>
      </c>
      <c r="C351" s="32">
        <v>5</v>
      </c>
      <c r="D351" s="32">
        <v>3.4</v>
      </c>
      <c r="E351" s="32">
        <v>1.6</v>
      </c>
      <c r="F351" s="32">
        <v>0.4</v>
      </c>
      <c r="G351" s="39">
        <v>0</v>
      </c>
      <c r="H351">
        <f t="shared" si="80"/>
        <v>1</v>
      </c>
      <c r="I351" s="38">
        <f t="shared" si="91"/>
        <v>0.21111307551448813</v>
      </c>
      <c r="J351" s="40">
        <f t="shared" si="92"/>
        <v>-0.55154676082062537</v>
      </c>
      <c r="K351" s="40">
        <f t="shared" si="93"/>
        <v>-0.55358957483646876</v>
      </c>
      <c r="L351" s="40">
        <f t="shared" si="94"/>
        <v>0.90028524366920237</v>
      </c>
      <c r="M351" s="40">
        <f t="shared" si="95"/>
        <v>0.75543877860907271</v>
      </c>
      <c r="N351" s="35">
        <f t="shared" si="81"/>
        <v>-2.6861933817182795</v>
      </c>
      <c r="O351" s="35">
        <f t="shared" si="82"/>
        <v>6.3792985528507123E-2</v>
      </c>
      <c r="P351" s="36">
        <f t="shared" si="83"/>
        <v>0</v>
      </c>
      <c r="Q351" s="36">
        <f t="shared" si="84"/>
        <v>6.3792985528507123E-2</v>
      </c>
      <c r="R351" s="37">
        <f t="shared" si="85"/>
        <v>4.0695450026403193E-3</v>
      </c>
      <c r="T351" s="31">
        <f t="shared" si="86"/>
        <v>7.6198731543585538E-3</v>
      </c>
      <c r="U351" s="31">
        <f t="shared" si="87"/>
        <v>3.8099365771792772E-2</v>
      </c>
      <c r="V351" s="31">
        <f t="shared" si="88"/>
        <v>2.5907568724819082E-2</v>
      </c>
      <c r="W351" s="31">
        <f t="shared" si="89"/>
        <v>1.2191797046973686E-2</v>
      </c>
      <c r="X351" s="31">
        <f t="shared" si="90"/>
        <v>3.0479492617434215E-3</v>
      </c>
    </row>
    <row r="352" spans="1:24" ht="14.25" customHeight="1" x14ac:dyDescent="0.25">
      <c r="A352" s="41"/>
      <c r="B352" s="38">
        <v>28</v>
      </c>
      <c r="C352" s="32">
        <v>5.2</v>
      </c>
      <c r="D352" s="32">
        <v>3.5</v>
      </c>
      <c r="E352" s="32">
        <v>1.5</v>
      </c>
      <c r="F352" s="32">
        <v>0.2</v>
      </c>
      <c r="G352" s="39">
        <v>0</v>
      </c>
      <c r="H352">
        <f t="shared" si="80"/>
        <v>1</v>
      </c>
      <c r="I352" s="38">
        <f t="shared" si="91"/>
        <v>0.21035108819905227</v>
      </c>
      <c r="J352" s="40">
        <f t="shared" si="92"/>
        <v>-0.55535669739780469</v>
      </c>
      <c r="K352" s="40">
        <f t="shared" si="93"/>
        <v>-0.55618033170895065</v>
      </c>
      <c r="L352" s="40">
        <f t="shared" si="94"/>
        <v>0.89906606396450506</v>
      </c>
      <c r="M352" s="40">
        <f t="shared" si="95"/>
        <v>0.75513398368289841</v>
      </c>
      <c r="N352" s="35">
        <f t="shared" si="81"/>
        <v>-3.1245090065675232</v>
      </c>
      <c r="O352" s="35">
        <f t="shared" si="82"/>
        <v>4.2107527430382985E-2</v>
      </c>
      <c r="P352" s="36">
        <f t="shared" si="83"/>
        <v>0</v>
      </c>
      <c r="Q352" s="36">
        <f t="shared" si="84"/>
        <v>4.2107527430382985E-2</v>
      </c>
      <c r="R352" s="37">
        <f t="shared" si="85"/>
        <v>1.7730438663004556E-3</v>
      </c>
      <c r="T352" s="31">
        <f t="shared" si="86"/>
        <v>3.3967707461298735E-3</v>
      </c>
      <c r="U352" s="31">
        <f t="shared" si="87"/>
        <v>1.7663207879875343E-2</v>
      </c>
      <c r="V352" s="31">
        <f t="shared" si="88"/>
        <v>1.1888697611454557E-2</v>
      </c>
      <c r="W352" s="31">
        <f t="shared" si="89"/>
        <v>5.0951561191948103E-3</v>
      </c>
      <c r="X352" s="31">
        <f t="shared" si="90"/>
        <v>6.7935414922597475E-4</v>
      </c>
    </row>
    <row r="353" spans="1:24" ht="14.25" customHeight="1" x14ac:dyDescent="0.25">
      <c r="A353" s="41"/>
      <c r="B353" s="38">
        <v>29</v>
      </c>
      <c r="C353" s="32">
        <v>5.2</v>
      </c>
      <c r="D353" s="32">
        <v>3.4</v>
      </c>
      <c r="E353" s="32">
        <v>1.4</v>
      </c>
      <c r="F353" s="32">
        <v>0.2</v>
      </c>
      <c r="G353" s="39">
        <v>0</v>
      </c>
      <c r="H353">
        <f t="shared" si="80"/>
        <v>1</v>
      </c>
      <c r="I353" s="38">
        <f t="shared" si="91"/>
        <v>0.21001141112443927</v>
      </c>
      <c r="J353" s="40">
        <f t="shared" si="92"/>
        <v>-0.55712301818579224</v>
      </c>
      <c r="K353" s="40">
        <f t="shared" si="93"/>
        <v>-0.55736920147009605</v>
      </c>
      <c r="L353" s="40">
        <f t="shared" si="94"/>
        <v>0.89855654835258558</v>
      </c>
      <c r="M353" s="40">
        <f t="shared" si="95"/>
        <v>0.75506604826797585</v>
      </c>
      <c r="N353" s="35">
        <f t="shared" si="81"/>
        <v>-3.1730911910927921</v>
      </c>
      <c r="O353" s="35">
        <f t="shared" si="82"/>
        <v>4.0191000975114716E-2</v>
      </c>
      <c r="P353" s="36">
        <f t="shared" si="83"/>
        <v>0</v>
      </c>
      <c r="Q353" s="36">
        <f t="shared" si="84"/>
        <v>4.0191000975114716E-2</v>
      </c>
      <c r="R353" s="37">
        <f t="shared" si="85"/>
        <v>1.6153165593816719E-3</v>
      </c>
      <c r="T353" s="31">
        <f t="shared" si="86"/>
        <v>3.1007907399368886E-3</v>
      </c>
      <c r="U353" s="31">
        <f t="shared" si="87"/>
        <v>1.6124111847671822E-2</v>
      </c>
      <c r="V353" s="31">
        <f t="shared" si="88"/>
        <v>1.0542688515785421E-2</v>
      </c>
      <c r="W353" s="31">
        <f t="shared" si="89"/>
        <v>4.3411070359116437E-3</v>
      </c>
      <c r="X353" s="31">
        <f t="shared" si="90"/>
        <v>6.2015814798737777E-4</v>
      </c>
    </row>
    <row r="354" spans="1:24" ht="14.25" customHeight="1" x14ac:dyDescent="0.25">
      <c r="A354" s="41"/>
      <c r="B354" s="38">
        <v>30</v>
      </c>
      <c r="C354" s="32">
        <v>4.7</v>
      </c>
      <c r="D354" s="32">
        <v>3.2</v>
      </c>
      <c r="E354" s="32">
        <v>1.6</v>
      </c>
      <c r="F354" s="32">
        <v>0.2</v>
      </c>
      <c r="G354" s="39">
        <v>0</v>
      </c>
      <c r="H354">
        <f t="shared" si="80"/>
        <v>1</v>
      </c>
      <c r="I354" s="38">
        <f t="shared" si="91"/>
        <v>0.20970133205044558</v>
      </c>
      <c r="J354" s="40">
        <f t="shared" si="92"/>
        <v>-0.55873542937055942</v>
      </c>
      <c r="K354" s="40">
        <f t="shared" si="93"/>
        <v>-0.55842347032167461</v>
      </c>
      <c r="L354" s="40">
        <f t="shared" si="94"/>
        <v>0.89812243764899446</v>
      </c>
      <c r="M354" s="40">
        <f t="shared" si="95"/>
        <v>0.75500403245317715</v>
      </c>
      <c r="N354" s="35">
        <f t="shared" si="81"/>
        <v>-2.6153135842915165</v>
      </c>
      <c r="O354" s="35">
        <f t="shared" si="82"/>
        <v>6.8159343222489052E-2</v>
      </c>
      <c r="P354" s="36">
        <f t="shared" si="83"/>
        <v>0</v>
      </c>
      <c r="Q354" s="36">
        <f t="shared" si="84"/>
        <v>6.8159343222489052E-2</v>
      </c>
      <c r="R354" s="37">
        <f t="shared" si="85"/>
        <v>4.6456960685210642E-3</v>
      </c>
      <c r="T354" s="31">
        <f t="shared" si="86"/>
        <v>8.6580969513587371E-3</v>
      </c>
      <c r="U354" s="31">
        <f t="shared" si="87"/>
        <v>4.0693055671386064E-2</v>
      </c>
      <c r="V354" s="31">
        <f t="shared" si="88"/>
        <v>2.7705910244347959E-2</v>
      </c>
      <c r="W354" s="31">
        <f t="shared" si="89"/>
        <v>1.3852955122173979E-2</v>
      </c>
      <c r="X354" s="31">
        <f t="shared" si="90"/>
        <v>1.7316193902717474E-3</v>
      </c>
    </row>
    <row r="355" spans="1:24" ht="14.25" customHeight="1" x14ac:dyDescent="0.25">
      <c r="A355" s="41"/>
      <c r="B355" s="38">
        <v>31</v>
      </c>
      <c r="C355" s="32">
        <v>4.8</v>
      </c>
      <c r="D355" s="32">
        <v>3.1</v>
      </c>
      <c r="E355" s="32">
        <v>1.6</v>
      </c>
      <c r="F355" s="32">
        <v>0.2</v>
      </c>
      <c r="G355" s="39">
        <v>0</v>
      </c>
      <c r="H355">
        <f t="shared" si="80"/>
        <v>1</v>
      </c>
      <c r="I355" s="38">
        <f t="shared" si="91"/>
        <v>0.20883552235530972</v>
      </c>
      <c r="J355" s="40">
        <f t="shared" si="92"/>
        <v>-0.562804734937698</v>
      </c>
      <c r="K355" s="40">
        <f t="shared" si="93"/>
        <v>-0.56119406134610939</v>
      </c>
      <c r="L355" s="40">
        <f t="shared" si="94"/>
        <v>0.89673714213677702</v>
      </c>
      <c r="M355" s="40">
        <f t="shared" si="95"/>
        <v>0.75483087051414999</v>
      </c>
      <c r="N355" s="35">
        <f t="shared" si="81"/>
        <v>-2.6465831939969067</v>
      </c>
      <c r="O355" s="35">
        <f t="shared" si="82"/>
        <v>6.6199915037808726E-2</v>
      </c>
      <c r="P355" s="36">
        <f t="shared" si="83"/>
        <v>0</v>
      </c>
      <c r="Q355" s="36">
        <f t="shared" si="84"/>
        <v>6.6199915037808726E-2</v>
      </c>
      <c r="R355" s="37">
        <f t="shared" si="85"/>
        <v>4.3824287510130936E-3</v>
      </c>
      <c r="T355" s="31">
        <f t="shared" si="86"/>
        <v>8.1846246800735545E-3</v>
      </c>
      <c r="U355" s="31">
        <f t="shared" si="87"/>
        <v>3.9286198464353057E-2</v>
      </c>
      <c r="V355" s="31">
        <f t="shared" si="88"/>
        <v>2.5372336508228021E-2</v>
      </c>
      <c r="W355" s="31">
        <f t="shared" si="89"/>
        <v>1.3095399488117688E-2</v>
      </c>
      <c r="X355" s="31">
        <f t="shared" si="90"/>
        <v>1.6369249360147109E-3</v>
      </c>
    </row>
    <row r="356" spans="1:24" ht="14.25" customHeight="1" x14ac:dyDescent="0.25">
      <c r="A356" s="41"/>
      <c r="B356" s="38">
        <v>32</v>
      </c>
      <c r="C356" s="32">
        <v>5.4</v>
      </c>
      <c r="D356" s="32">
        <v>3.4</v>
      </c>
      <c r="E356" s="32">
        <v>1.5</v>
      </c>
      <c r="F356" s="32">
        <v>0.4</v>
      </c>
      <c r="G356" s="39">
        <v>0</v>
      </c>
      <c r="H356">
        <f t="shared" si="80"/>
        <v>1</v>
      </c>
      <c r="I356" s="38">
        <f t="shared" si="91"/>
        <v>0.20801705988730237</v>
      </c>
      <c r="J356" s="40">
        <f t="shared" si="92"/>
        <v>-0.56673335478413334</v>
      </c>
      <c r="K356" s="40">
        <f t="shared" si="93"/>
        <v>-0.5637312949969322</v>
      </c>
      <c r="L356" s="40">
        <f t="shared" si="94"/>
        <v>0.89542760218796524</v>
      </c>
      <c r="M356" s="40">
        <f t="shared" si="95"/>
        <v>0.7546671780205485</v>
      </c>
      <c r="N356" s="35">
        <f t="shared" si="81"/>
        <v>-3.1240211844464199</v>
      </c>
      <c r="O356" s="35">
        <f t="shared" si="82"/>
        <v>4.2127207879341946E-2</v>
      </c>
      <c r="P356" s="36">
        <f t="shared" si="83"/>
        <v>0</v>
      </c>
      <c r="Q356" s="36">
        <f t="shared" si="84"/>
        <v>4.2127207879341946E-2</v>
      </c>
      <c r="R356" s="37">
        <f t="shared" si="85"/>
        <v>1.7747016437092901E-3</v>
      </c>
      <c r="T356" s="31">
        <f t="shared" si="86"/>
        <v>3.399876837281878E-3</v>
      </c>
      <c r="U356" s="31">
        <f t="shared" si="87"/>
        <v>1.8359334921322142E-2</v>
      </c>
      <c r="V356" s="31">
        <f t="shared" si="88"/>
        <v>1.1559581246758386E-2</v>
      </c>
      <c r="W356" s="31">
        <f t="shared" si="89"/>
        <v>5.0998152559228165E-3</v>
      </c>
      <c r="X356" s="31">
        <f t="shared" si="90"/>
        <v>1.3599507349127513E-3</v>
      </c>
    </row>
    <row r="357" spans="1:24" ht="14.25" customHeight="1" x14ac:dyDescent="0.25">
      <c r="A357" s="41"/>
      <c r="B357" s="38">
        <v>33</v>
      </c>
      <c r="C357" s="32">
        <v>5.2</v>
      </c>
      <c r="D357" s="32">
        <v>4.0999999999999996</v>
      </c>
      <c r="E357" s="32">
        <v>1.5</v>
      </c>
      <c r="F357" s="32">
        <v>0.1</v>
      </c>
      <c r="G357" s="39">
        <v>0</v>
      </c>
      <c r="H357">
        <f t="shared" si="80"/>
        <v>1</v>
      </c>
      <c r="I357" s="38">
        <f t="shared" si="91"/>
        <v>0.20767707220357418</v>
      </c>
      <c r="J357" s="40">
        <f t="shared" si="92"/>
        <v>-0.56856928827626552</v>
      </c>
      <c r="K357" s="40">
        <f t="shared" si="93"/>
        <v>-0.56488725312160804</v>
      </c>
      <c r="L357" s="40">
        <f t="shared" si="94"/>
        <v>0.89491762066237301</v>
      </c>
      <c r="M357" s="40">
        <f t="shared" si="95"/>
        <v>0.75453118294705723</v>
      </c>
      <c r="N357" s="35">
        <f t="shared" si="81"/>
        <v>-3.647091415343334</v>
      </c>
      <c r="O357" s="35">
        <f t="shared" si="82"/>
        <v>2.5404618202484824E-2</v>
      </c>
      <c r="P357" s="36">
        <f t="shared" si="83"/>
        <v>0</v>
      </c>
      <c r="Q357" s="36">
        <f t="shared" si="84"/>
        <v>2.5404618202484824E-2</v>
      </c>
      <c r="R357" s="37">
        <f t="shared" si="85"/>
        <v>6.4539462601402326E-4</v>
      </c>
      <c r="T357" s="31">
        <f t="shared" si="86"/>
        <v>1.2579972439004032E-3</v>
      </c>
      <c r="U357" s="31">
        <f t="shared" si="87"/>
        <v>6.5415856682820971E-3</v>
      </c>
      <c r="V357" s="31">
        <f t="shared" si="88"/>
        <v>5.1577886999916523E-3</v>
      </c>
      <c r="W357" s="31">
        <f t="shared" si="89"/>
        <v>1.8869958658506048E-3</v>
      </c>
      <c r="X357" s="31">
        <f t="shared" si="90"/>
        <v>1.2579972439004034E-4</v>
      </c>
    </row>
    <row r="358" spans="1:24" ht="14.25" customHeight="1" x14ac:dyDescent="0.25">
      <c r="A358" s="41"/>
      <c r="B358" s="38">
        <v>34</v>
      </c>
      <c r="C358" s="32">
        <v>5.5</v>
      </c>
      <c r="D358" s="32">
        <v>4.2</v>
      </c>
      <c r="E358" s="32">
        <v>1.4</v>
      </c>
      <c r="F358" s="32">
        <v>0.2</v>
      </c>
      <c r="G358" s="39">
        <v>0</v>
      </c>
      <c r="H358">
        <f t="shared" si="80"/>
        <v>1</v>
      </c>
      <c r="I358" s="38">
        <f t="shared" si="91"/>
        <v>0.20755127247918415</v>
      </c>
      <c r="J358" s="40">
        <f t="shared" si="92"/>
        <v>-0.56922344684309367</v>
      </c>
      <c r="K358" s="40">
        <f t="shared" si="93"/>
        <v>-0.56540303199160724</v>
      </c>
      <c r="L358" s="40">
        <f t="shared" si="94"/>
        <v>0.89472892107578794</v>
      </c>
      <c r="M358" s="40">
        <f t="shared" si="95"/>
        <v>0.75451860297461826</v>
      </c>
      <c r="N358" s="35">
        <f t="shared" si="81"/>
        <v>-3.8943462094215544</v>
      </c>
      <c r="O358" s="35">
        <f t="shared" si="82"/>
        <v>1.9950552117060615E-2</v>
      </c>
      <c r="P358" s="36">
        <f t="shared" si="83"/>
        <v>0</v>
      </c>
      <c r="Q358" s="36">
        <f t="shared" si="84"/>
        <v>1.9950552117060615E-2</v>
      </c>
      <c r="R358" s="37">
        <f t="shared" si="85"/>
        <v>3.9802452977555179E-4</v>
      </c>
      <c r="T358" s="31">
        <f t="shared" si="86"/>
        <v>7.8016744130079204E-4</v>
      </c>
      <c r="U358" s="31">
        <f t="shared" si="87"/>
        <v>4.290920927154356E-3</v>
      </c>
      <c r="V358" s="31">
        <f t="shared" si="88"/>
        <v>3.2767032534633269E-3</v>
      </c>
      <c r="W358" s="31">
        <f t="shared" si="89"/>
        <v>1.0922344178211087E-3</v>
      </c>
      <c r="X358" s="31">
        <f t="shared" si="90"/>
        <v>1.5603348826015841E-4</v>
      </c>
    </row>
    <row r="359" spans="1:24" ht="14.25" customHeight="1" x14ac:dyDescent="0.25">
      <c r="A359" s="41"/>
      <c r="B359" s="38">
        <v>35</v>
      </c>
      <c r="C359" s="32">
        <v>4.9000000000000004</v>
      </c>
      <c r="D359" s="32">
        <v>3.1</v>
      </c>
      <c r="E359" s="32">
        <v>1.5</v>
      </c>
      <c r="F359" s="32">
        <v>0.1</v>
      </c>
      <c r="G359" s="39">
        <v>0</v>
      </c>
      <c r="H359">
        <f t="shared" si="80"/>
        <v>1</v>
      </c>
      <c r="I359" s="38">
        <f t="shared" si="91"/>
        <v>0.20747325573505407</v>
      </c>
      <c r="J359" s="40">
        <f t="shared" si="92"/>
        <v>-0.56965253893580914</v>
      </c>
      <c r="K359" s="40">
        <f t="shared" si="93"/>
        <v>-0.56573070231695355</v>
      </c>
      <c r="L359" s="40">
        <f t="shared" si="94"/>
        <v>0.89461969763400584</v>
      </c>
      <c r="M359" s="40">
        <f t="shared" si="95"/>
        <v>0.75450299962579226</v>
      </c>
      <c r="N359" s="35">
        <f t="shared" si="81"/>
        <v>-2.9202095158193786</v>
      </c>
      <c r="O359" s="35">
        <f t="shared" si="82"/>
        <v>5.1163528842856791E-2</v>
      </c>
      <c r="P359" s="36">
        <f t="shared" si="83"/>
        <v>0</v>
      </c>
      <c r="Q359" s="36">
        <f t="shared" si="84"/>
        <v>5.1163528842856791E-2</v>
      </c>
      <c r="R359" s="37">
        <f t="shared" si="85"/>
        <v>2.6177066836538389E-3</v>
      </c>
      <c r="T359" s="31">
        <f t="shared" si="86"/>
        <v>4.9675511444851527E-3</v>
      </c>
      <c r="U359" s="31">
        <f t="shared" si="87"/>
        <v>2.434100060797725E-2</v>
      </c>
      <c r="V359" s="31">
        <f t="shared" si="88"/>
        <v>1.5399408547903974E-2</v>
      </c>
      <c r="W359" s="31">
        <f t="shared" si="89"/>
        <v>7.4513267167277287E-3</v>
      </c>
      <c r="X359" s="31">
        <f t="shared" si="90"/>
        <v>4.9675511444851532E-4</v>
      </c>
    </row>
    <row r="360" spans="1:24" ht="14.25" customHeight="1" x14ac:dyDescent="0.25">
      <c r="A360" s="41"/>
      <c r="B360" s="38">
        <v>36</v>
      </c>
      <c r="C360" s="32">
        <v>5</v>
      </c>
      <c r="D360" s="32">
        <v>3.2</v>
      </c>
      <c r="E360" s="32">
        <v>1.2</v>
      </c>
      <c r="F360" s="32">
        <v>0.2</v>
      </c>
      <c r="G360" s="39">
        <v>0</v>
      </c>
      <c r="H360">
        <f t="shared" si="80"/>
        <v>1</v>
      </c>
      <c r="I360" s="38">
        <f t="shared" si="91"/>
        <v>0.20697650062060555</v>
      </c>
      <c r="J360" s="40">
        <f t="shared" si="92"/>
        <v>-0.57208663899660683</v>
      </c>
      <c r="K360" s="40">
        <f t="shared" si="93"/>
        <v>-0.56727064317174392</v>
      </c>
      <c r="L360" s="40">
        <f t="shared" si="94"/>
        <v>0.89387456496233308</v>
      </c>
      <c r="M360" s="40">
        <f t="shared" si="95"/>
        <v>0.7544533241143474</v>
      </c>
      <c r="N360" s="35">
        <f t="shared" si="81"/>
        <v>-3.2451826097343406</v>
      </c>
      <c r="O360" s="35">
        <f t="shared" si="82"/>
        <v>3.7500379832666644E-2</v>
      </c>
      <c r="P360" s="36">
        <f t="shared" si="83"/>
        <v>0</v>
      </c>
      <c r="Q360" s="36">
        <f t="shared" si="84"/>
        <v>3.7500379832666644E-2</v>
      </c>
      <c r="R360" s="37">
        <f t="shared" si="85"/>
        <v>1.4062784875942711E-3</v>
      </c>
      <c r="T360" s="31">
        <f t="shared" si="86"/>
        <v>2.7070850203179562E-3</v>
      </c>
      <c r="U360" s="31">
        <f t="shared" si="87"/>
        <v>1.3535425101589782E-2</v>
      </c>
      <c r="V360" s="31">
        <f t="shared" si="88"/>
        <v>8.6626720650174599E-3</v>
      </c>
      <c r="W360" s="31">
        <f t="shared" si="89"/>
        <v>3.2485020243815475E-3</v>
      </c>
      <c r="X360" s="31">
        <f t="shared" si="90"/>
        <v>5.4141700406359124E-4</v>
      </c>
    </row>
    <row r="361" spans="1:24" ht="14.25" customHeight="1" x14ac:dyDescent="0.25">
      <c r="A361" s="41"/>
      <c r="B361" s="38">
        <v>37</v>
      </c>
      <c r="C361" s="32">
        <v>5.5</v>
      </c>
      <c r="D361" s="32">
        <v>3.5</v>
      </c>
      <c r="E361" s="32">
        <v>1.3</v>
      </c>
      <c r="F361" s="32">
        <v>0.2</v>
      </c>
      <c r="G361" s="39">
        <v>0</v>
      </c>
      <c r="H361">
        <f t="shared" si="80"/>
        <v>1</v>
      </c>
      <c r="I361" s="38">
        <f t="shared" si="91"/>
        <v>0.20670579211857376</v>
      </c>
      <c r="J361" s="40">
        <f t="shared" si="92"/>
        <v>-0.57344018150676579</v>
      </c>
      <c r="K361" s="40">
        <f t="shared" si="93"/>
        <v>-0.56813691037824565</v>
      </c>
      <c r="L361" s="40">
        <f t="shared" si="94"/>
        <v>0.89354971475989498</v>
      </c>
      <c r="M361" s="40">
        <f t="shared" si="95"/>
        <v>0.75439918241394099</v>
      </c>
      <c r="N361" s="35">
        <f t="shared" si="81"/>
        <v>-3.623199926821846</v>
      </c>
      <c r="O361" s="35">
        <f t="shared" si="82"/>
        <v>2.6002908336059099E-2</v>
      </c>
      <c r="P361" s="36">
        <f t="shared" si="83"/>
        <v>0</v>
      </c>
      <c r="Q361" s="36">
        <f t="shared" si="84"/>
        <v>2.6002908336059099E-2</v>
      </c>
      <c r="R361" s="37">
        <f t="shared" si="85"/>
        <v>6.7615124193349174E-4</v>
      </c>
      <c r="T361" s="31">
        <f t="shared" si="86"/>
        <v>1.3171386863363652E-3</v>
      </c>
      <c r="U361" s="31">
        <f t="shared" si="87"/>
        <v>7.2442627748500084E-3</v>
      </c>
      <c r="V361" s="31">
        <f t="shared" si="88"/>
        <v>4.6099854021772781E-3</v>
      </c>
      <c r="W361" s="31">
        <f t="shared" si="89"/>
        <v>1.7122802922372748E-3</v>
      </c>
      <c r="X361" s="31">
        <f t="shared" si="90"/>
        <v>2.6342773726727305E-4</v>
      </c>
    </row>
    <row r="362" spans="1:24" ht="14.25" customHeight="1" x14ac:dyDescent="0.25">
      <c r="A362" s="41"/>
      <c r="B362" s="38">
        <v>38</v>
      </c>
      <c r="C362" s="32">
        <v>4.9000000000000004</v>
      </c>
      <c r="D362" s="32">
        <v>3.1</v>
      </c>
      <c r="E362" s="32">
        <v>1.5</v>
      </c>
      <c r="F362" s="32">
        <v>0.1</v>
      </c>
      <c r="G362" s="39">
        <v>0</v>
      </c>
      <c r="H362">
        <f t="shared" si="80"/>
        <v>1</v>
      </c>
      <c r="I362" s="38">
        <f t="shared" si="91"/>
        <v>0.20657407824994012</v>
      </c>
      <c r="J362" s="40">
        <f t="shared" si="92"/>
        <v>-0.57416460778425082</v>
      </c>
      <c r="K362" s="40">
        <f t="shared" si="93"/>
        <v>-0.5685979089184634</v>
      </c>
      <c r="L362" s="40">
        <f t="shared" si="94"/>
        <v>0.89337848673067122</v>
      </c>
      <c r="M362" s="40">
        <f t="shared" si="95"/>
        <v>0.75437283964021429</v>
      </c>
      <c r="N362" s="35">
        <f t="shared" si="81"/>
        <v>-2.9539810034800973</v>
      </c>
      <c r="O362" s="35">
        <f t="shared" si="82"/>
        <v>4.9548695132289614E-2</v>
      </c>
      <c r="P362" s="36">
        <f t="shared" si="83"/>
        <v>0</v>
      </c>
      <c r="Q362" s="36">
        <f t="shared" si="84"/>
        <v>4.9548695132289614E-2</v>
      </c>
      <c r="R362" s="37">
        <f t="shared" si="85"/>
        <v>2.4550731893125803E-3</v>
      </c>
      <c r="T362" s="31">
        <f t="shared" si="86"/>
        <v>4.6668550326557472E-3</v>
      </c>
      <c r="U362" s="31">
        <f t="shared" si="87"/>
        <v>2.2867589660013163E-2</v>
      </c>
      <c r="V362" s="31">
        <f t="shared" si="88"/>
        <v>1.4467250601232816E-2</v>
      </c>
      <c r="W362" s="31">
        <f t="shared" si="89"/>
        <v>7.0002825489836207E-3</v>
      </c>
      <c r="X362" s="31">
        <f t="shared" si="90"/>
        <v>4.6668550326557472E-4</v>
      </c>
    </row>
    <row r="363" spans="1:24" ht="14.25" customHeight="1" x14ac:dyDescent="0.25">
      <c r="A363" s="41"/>
      <c r="B363" s="38">
        <v>39</v>
      </c>
      <c r="C363" s="32">
        <v>4.4000000000000004</v>
      </c>
      <c r="D363" s="32">
        <v>3</v>
      </c>
      <c r="E363" s="32">
        <v>1.3</v>
      </c>
      <c r="F363" s="32">
        <v>0.2</v>
      </c>
      <c r="G363" s="39">
        <v>0</v>
      </c>
      <c r="H363">
        <f t="shared" si="80"/>
        <v>1</v>
      </c>
      <c r="I363" s="38">
        <f t="shared" si="91"/>
        <v>0.20610739274667456</v>
      </c>
      <c r="J363" s="40">
        <f t="shared" si="92"/>
        <v>-0.5764513667502521</v>
      </c>
      <c r="K363" s="40">
        <f t="shared" si="93"/>
        <v>-0.57004463397858673</v>
      </c>
      <c r="L363" s="40">
        <f t="shared" si="94"/>
        <v>0.89267845847577287</v>
      </c>
      <c r="M363" s="40">
        <f t="shared" si="95"/>
        <v>0.75432617108988775</v>
      </c>
      <c r="N363" s="35">
        <f t="shared" si="81"/>
        <v>-2.7290652926537127</v>
      </c>
      <c r="O363" s="35">
        <f t="shared" si="82"/>
        <v>6.1279909518876033E-2</v>
      </c>
      <c r="P363" s="36">
        <f t="shared" si="83"/>
        <v>0</v>
      </c>
      <c r="Q363" s="36">
        <f t="shared" si="84"/>
        <v>6.1279909518876033E-2</v>
      </c>
      <c r="R363" s="37">
        <f t="shared" si="85"/>
        <v>3.7552273106416334E-3</v>
      </c>
      <c r="T363" s="31">
        <f t="shared" si="86"/>
        <v>7.0502146416454034E-3</v>
      </c>
      <c r="U363" s="31">
        <f t="shared" si="87"/>
        <v>3.1020944423239778E-2</v>
      </c>
      <c r="V363" s="31">
        <f t="shared" si="88"/>
        <v>2.1150643924936211E-2</v>
      </c>
      <c r="W363" s="31">
        <f t="shared" si="89"/>
        <v>9.1652790341390251E-3</v>
      </c>
      <c r="X363" s="31">
        <f t="shared" si="90"/>
        <v>1.4100429283290807E-3</v>
      </c>
    </row>
    <row r="364" spans="1:24" ht="14.25" customHeight="1" x14ac:dyDescent="0.25">
      <c r="A364" s="41"/>
      <c r="B364" s="38">
        <v>40</v>
      </c>
      <c r="C364" s="32">
        <v>5.0999999999999996</v>
      </c>
      <c r="D364" s="32">
        <v>3.4</v>
      </c>
      <c r="E364" s="32">
        <v>1.5</v>
      </c>
      <c r="F364" s="32">
        <v>0.2</v>
      </c>
      <c r="G364" s="39">
        <v>0</v>
      </c>
      <c r="H364">
        <f t="shared" si="80"/>
        <v>1</v>
      </c>
      <c r="I364" s="38">
        <f t="shared" si="91"/>
        <v>0.20540237128251002</v>
      </c>
      <c r="J364" s="40">
        <f t="shared" si="92"/>
        <v>-0.57955346119257611</v>
      </c>
      <c r="K364" s="40">
        <f t="shared" si="93"/>
        <v>-0.57215969837108038</v>
      </c>
      <c r="L364" s="40">
        <f t="shared" si="94"/>
        <v>0.89176193057235897</v>
      </c>
      <c r="M364" s="40">
        <f t="shared" si="95"/>
        <v>0.75418516679705483</v>
      </c>
      <c r="N364" s="35">
        <f t="shared" si="81"/>
        <v>-3.2071833260433524</v>
      </c>
      <c r="O364" s="35">
        <f t="shared" si="82"/>
        <v>3.8896294583694001E-2</v>
      </c>
      <c r="P364" s="36">
        <f t="shared" si="83"/>
        <v>0</v>
      </c>
      <c r="Q364" s="36">
        <f t="shared" si="84"/>
        <v>3.8896294583694001E-2</v>
      </c>
      <c r="R364" s="37">
        <f t="shared" si="85"/>
        <v>1.5129217323415032E-3</v>
      </c>
      <c r="T364" s="31">
        <f t="shared" si="86"/>
        <v>2.9081493659165506E-3</v>
      </c>
      <c r="U364" s="31">
        <f t="shared" si="87"/>
        <v>1.4831561766174407E-2</v>
      </c>
      <c r="V364" s="31">
        <f t="shared" si="88"/>
        <v>9.8877078441162725E-3</v>
      </c>
      <c r="W364" s="31">
        <f t="shared" si="89"/>
        <v>4.3622240488748257E-3</v>
      </c>
      <c r="X364" s="31">
        <f t="shared" si="90"/>
        <v>5.8162987318331012E-4</v>
      </c>
    </row>
    <row r="365" spans="1:24" ht="14.25" customHeight="1" x14ac:dyDescent="0.25">
      <c r="A365" s="41"/>
      <c r="B365" s="38">
        <v>41</v>
      </c>
      <c r="C365" s="32">
        <v>7</v>
      </c>
      <c r="D365" s="32">
        <v>3.2</v>
      </c>
      <c r="E365" s="32">
        <v>4.7</v>
      </c>
      <c r="F365" s="32">
        <v>1.4</v>
      </c>
      <c r="G365" s="39">
        <v>1</v>
      </c>
      <c r="H365">
        <f t="shared" si="80"/>
        <v>0</v>
      </c>
      <c r="I365" s="38">
        <f t="shared" si="91"/>
        <v>0.20511155634591835</v>
      </c>
      <c r="J365" s="40">
        <f t="shared" si="92"/>
        <v>-0.58103661736919354</v>
      </c>
      <c r="K365" s="40">
        <f t="shared" si="93"/>
        <v>-0.573148469155492</v>
      </c>
      <c r="L365" s="40">
        <f t="shared" si="94"/>
        <v>0.89132570816747148</v>
      </c>
      <c r="M365" s="40">
        <f t="shared" si="95"/>
        <v>0.75412700380973652</v>
      </c>
      <c r="N365" s="35">
        <f t="shared" si="81"/>
        <v>-0.45121123281526354</v>
      </c>
      <c r="O365" s="35">
        <f t="shared" si="82"/>
        <v>0.38907282321879549</v>
      </c>
      <c r="P365" s="36">
        <f t="shared" si="83"/>
        <v>0</v>
      </c>
      <c r="Q365" s="36">
        <f t="shared" si="84"/>
        <v>-0.61092717678120456</v>
      </c>
      <c r="R365" s="37">
        <f t="shared" si="85"/>
        <v>0.37323201532985317</v>
      </c>
      <c r="T365" s="31">
        <f t="shared" si="86"/>
        <v>-0.29042886784005345</v>
      </c>
      <c r="U365" s="31">
        <f t="shared" si="87"/>
        <v>-2.0330020748803741</v>
      </c>
      <c r="V365" s="31">
        <f t="shared" si="88"/>
        <v>-0.92937237708817111</v>
      </c>
      <c r="W365" s="31">
        <f t="shared" si="89"/>
        <v>-1.3650156788482513</v>
      </c>
      <c r="X365" s="31">
        <f t="shared" si="90"/>
        <v>-0.4066004149760748</v>
      </c>
    </row>
    <row r="366" spans="1:24" ht="14.25" customHeight="1" x14ac:dyDescent="0.25">
      <c r="A366" s="41"/>
      <c r="B366" s="38">
        <v>42</v>
      </c>
      <c r="C366" s="32">
        <v>6.4</v>
      </c>
      <c r="D366" s="32">
        <v>3.2</v>
      </c>
      <c r="E366" s="32">
        <v>4.5</v>
      </c>
      <c r="F366" s="32">
        <v>1.5</v>
      </c>
      <c r="G366" s="39">
        <v>1</v>
      </c>
      <c r="H366">
        <f t="shared" si="80"/>
        <v>1</v>
      </c>
      <c r="I366" s="38">
        <f t="shared" si="91"/>
        <v>0.2341544431299237</v>
      </c>
      <c r="J366" s="40">
        <f t="shared" si="92"/>
        <v>-0.37773640988115609</v>
      </c>
      <c r="K366" s="40">
        <f t="shared" si="93"/>
        <v>-0.48021123144667488</v>
      </c>
      <c r="L366" s="40">
        <f t="shared" si="94"/>
        <v>1.0278272760522966</v>
      </c>
      <c r="M366" s="40">
        <f t="shared" si="95"/>
        <v>0.79478704530734401</v>
      </c>
      <c r="N366" s="35">
        <f t="shared" si="81"/>
        <v>2.0973687894575153</v>
      </c>
      <c r="O366" s="35">
        <f t="shared" si="82"/>
        <v>0.89064717590872911</v>
      </c>
      <c r="P366" s="36">
        <f t="shared" si="83"/>
        <v>1</v>
      </c>
      <c r="Q366" s="36">
        <f t="shared" si="84"/>
        <v>-0.10935282409127089</v>
      </c>
      <c r="R366" s="37">
        <f t="shared" si="85"/>
        <v>1.1958040136736436E-2</v>
      </c>
      <c r="T366" s="31">
        <f t="shared" si="86"/>
        <v>-2.1300789354375078E-2</v>
      </c>
      <c r="U366" s="31">
        <f t="shared" si="87"/>
        <v>-0.13632505186800051</v>
      </c>
      <c r="V366" s="31">
        <f t="shared" si="88"/>
        <v>-6.8162525934000254E-2</v>
      </c>
      <c r="W366" s="31">
        <f t="shared" si="89"/>
        <v>-9.5853552094687849E-2</v>
      </c>
      <c r="X366" s="31">
        <f t="shared" si="90"/>
        <v>-3.1951184031562621E-2</v>
      </c>
    </row>
    <row r="367" spans="1:24" ht="14.25" customHeight="1" x14ac:dyDescent="0.25">
      <c r="A367" s="41"/>
      <c r="B367" s="38">
        <v>43</v>
      </c>
      <c r="C367" s="32">
        <v>6.9</v>
      </c>
      <c r="D367" s="32">
        <v>3.1</v>
      </c>
      <c r="E367" s="32">
        <v>4.9000000000000004</v>
      </c>
      <c r="F367" s="32">
        <v>1.5</v>
      </c>
      <c r="G367" s="39">
        <v>1</v>
      </c>
      <c r="H367">
        <f t="shared" si="80"/>
        <v>1</v>
      </c>
      <c r="I367" s="38">
        <f t="shared" si="91"/>
        <v>0.23628452206536121</v>
      </c>
      <c r="J367" s="40">
        <f t="shared" si="92"/>
        <v>-0.36410390469435605</v>
      </c>
      <c r="K367" s="40">
        <f t="shared" si="93"/>
        <v>-0.47339497885327486</v>
      </c>
      <c r="L367" s="40">
        <f t="shared" si="94"/>
        <v>1.0374126312617653</v>
      </c>
      <c r="M367" s="40">
        <f t="shared" si="95"/>
        <v>0.79798216371050024</v>
      </c>
      <c r="N367" s="35">
        <f t="shared" si="81"/>
        <v>2.5367382839775527</v>
      </c>
      <c r="O367" s="35">
        <f t="shared" si="82"/>
        <v>0.92667751324141734</v>
      </c>
      <c r="P367" s="36">
        <f t="shared" si="83"/>
        <v>1</v>
      </c>
      <c r="Q367" s="36">
        <f t="shared" si="84"/>
        <v>-7.3322486758582661E-2</v>
      </c>
      <c r="R367" s="37">
        <f t="shared" si="85"/>
        <v>5.3761870644625301E-3</v>
      </c>
      <c r="T367" s="31">
        <f t="shared" si="86"/>
        <v>-9.9639833192336248E-3</v>
      </c>
      <c r="U367" s="31">
        <f t="shared" si="87"/>
        <v>-6.8751484902712018E-2</v>
      </c>
      <c r="V367" s="31">
        <f t="shared" si="88"/>
        <v>-3.0888348289624237E-2</v>
      </c>
      <c r="W367" s="31">
        <f t="shared" si="89"/>
        <v>-4.8823518264244768E-2</v>
      </c>
      <c r="X367" s="31">
        <f t="shared" si="90"/>
        <v>-1.4945974978850437E-2</v>
      </c>
    </row>
    <row r="368" spans="1:24" ht="14.25" customHeight="1" x14ac:dyDescent="0.25">
      <c r="A368" s="41"/>
      <c r="B368" s="38">
        <v>44</v>
      </c>
      <c r="C368" s="32">
        <v>5.5</v>
      </c>
      <c r="D368" s="32">
        <v>2.2999999999999998</v>
      </c>
      <c r="E368" s="32">
        <v>4</v>
      </c>
      <c r="F368" s="32">
        <v>1.3</v>
      </c>
      <c r="G368" s="39">
        <v>1</v>
      </c>
      <c r="H368">
        <f t="shared" si="80"/>
        <v>1</v>
      </c>
      <c r="I368" s="38">
        <f t="shared" si="91"/>
        <v>0.23728092039728457</v>
      </c>
      <c r="J368" s="40">
        <f t="shared" si="92"/>
        <v>-0.35722875620408484</v>
      </c>
      <c r="K368" s="40">
        <f t="shared" si="93"/>
        <v>-0.47030614402431242</v>
      </c>
      <c r="L368" s="40">
        <f t="shared" si="94"/>
        <v>1.0422949830881898</v>
      </c>
      <c r="M368" s="40">
        <f t="shared" si="95"/>
        <v>0.79947676120838529</v>
      </c>
      <c r="N368" s="35">
        <f t="shared" si="81"/>
        <v>2.3993183519425596</v>
      </c>
      <c r="O368" s="35">
        <f t="shared" si="82"/>
        <v>0.91677530966313125</v>
      </c>
      <c r="P368" s="36">
        <f t="shared" si="83"/>
        <v>1</v>
      </c>
      <c r="Q368" s="36">
        <f t="shared" si="84"/>
        <v>-8.3224690336868745E-2</v>
      </c>
      <c r="R368" s="37">
        <f t="shared" si="85"/>
        <v>6.9263490816676935E-3</v>
      </c>
      <c r="T368" s="31">
        <f t="shared" si="86"/>
        <v>-1.2699811648361689E-2</v>
      </c>
      <c r="U368" s="31">
        <f t="shared" si="87"/>
        <v>-6.9848964065989283E-2</v>
      </c>
      <c r="V368" s="31">
        <f t="shared" si="88"/>
        <v>-2.9209566791231881E-2</v>
      </c>
      <c r="W368" s="31">
        <f t="shared" si="89"/>
        <v>-5.0799246593446756E-2</v>
      </c>
      <c r="X368" s="31">
        <f t="shared" si="90"/>
        <v>-1.6509755142870196E-2</v>
      </c>
    </row>
    <row r="369" spans="1:24" ht="14.25" customHeight="1" x14ac:dyDescent="0.25">
      <c r="A369" s="41"/>
      <c r="B369" s="38">
        <v>45</v>
      </c>
      <c r="C369" s="32">
        <v>6.5</v>
      </c>
      <c r="D369" s="32">
        <v>2.8</v>
      </c>
      <c r="E369" s="32">
        <v>4.5999999999999996</v>
      </c>
      <c r="F369" s="32">
        <v>1.5</v>
      </c>
      <c r="G369" s="39">
        <v>1</v>
      </c>
      <c r="H369">
        <f t="shared" si="80"/>
        <v>1</v>
      </c>
      <c r="I369" s="38">
        <f t="shared" si="91"/>
        <v>0.23855090156212075</v>
      </c>
      <c r="J369" s="40">
        <f t="shared" si="92"/>
        <v>-0.3502438597974859</v>
      </c>
      <c r="K369" s="40">
        <f t="shared" si="93"/>
        <v>-0.46738518734518925</v>
      </c>
      <c r="L369" s="40">
        <f t="shared" si="94"/>
        <v>1.0473749077475345</v>
      </c>
      <c r="M369" s="40">
        <f t="shared" si="95"/>
        <v>0.80112773672267235</v>
      </c>
      <c r="N369" s="35">
        <f t="shared" si="81"/>
        <v>2.672903469034599</v>
      </c>
      <c r="O369" s="35">
        <f t="shared" si="82"/>
        <v>0.93540867883806933</v>
      </c>
      <c r="P369" s="36">
        <f t="shared" si="83"/>
        <v>1</v>
      </c>
      <c r="Q369" s="36">
        <f t="shared" si="84"/>
        <v>-6.459132116193067E-2</v>
      </c>
      <c r="R369" s="37">
        <f t="shared" si="85"/>
        <v>4.1720387694436731E-3</v>
      </c>
      <c r="T369" s="31">
        <f t="shared" si="86"/>
        <v>-7.8051225467730212E-3</v>
      </c>
      <c r="U369" s="31">
        <f t="shared" si="87"/>
        <v>-5.0733296554024636E-2</v>
      </c>
      <c r="V369" s="31">
        <f t="shared" si="88"/>
        <v>-2.185434313096446E-2</v>
      </c>
      <c r="W369" s="31">
        <f t="shared" si="89"/>
        <v>-3.5903563715155892E-2</v>
      </c>
      <c r="X369" s="31">
        <f t="shared" si="90"/>
        <v>-1.1707683820159532E-2</v>
      </c>
    </row>
    <row r="370" spans="1:24" ht="14.25" customHeight="1" x14ac:dyDescent="0.25">
      <c r="A370" s="41"/>
      <c r="B370" s="38">
        <v>46</v>
      </c>
      <c r="C370" s="32">
        <v>5.7</v>
      </c>
      <c r="D370" s="32">
        <v>2.8</v>
      </c>
      <c r="E370" s="32">
        <v>4.5</v>
      </c>
      <c r="F370" s="32">
        <v>1.3</v>
      </c>
      <c r="G370" s="39">
        <v>1</v>
      </c>
      <c r="H370">
        <f t="shared" si="80"/>
        <v>1</v>
      </c>
      <c r="I370" s="38">
        <f t="shared" si="91"/>
        <v>0.23933141381679804</v>
      </c>
      <c r="J370" s="40">
        <f t="shared" si="92"/>
        <v>-0.34517053014208343</v>
      </c>
      <c r="K370" s="40">
        <f t="shared" si="93"/>
        <v>-0.46519975303209282</v>
      </c>
      <c r="L370" s="40">
        <f t="shared" si="94"/>
        <v>1.0509652641190501</v>
      </c>
      <c r="M370" s="40">
        <f t="shared" si="95"/>
        <v>0.80229850510468825</v>
      </c>
      <c r="N370" s="35">
        <f t="shared" si="81"/>
        <v>2.7416318286888828</v>
      </c>
      <c r="O370" s="35">
        <f t="shared" si="82"/>
        <v>0.93943900350684773</v>
      </c>
      <c r="P370" s="36">
        <f t="shared" si="83"/>
        <v>1</v>
      </c>
      <c r="Q370" s="36">
        <f t="shared" si="84"/>
        <v>-6.0560996493152275E-2</v>
      </c>
      <c r="R370" s="37">
        <f t="shared" si="85"/>
        <v>3.667634296243602E-3</v>
      </c>
      <c r="T370" s="31">
        <f t="shared" si="86"/>
        <v>-6.8910374169812568E-3</v>
      </c>
      <c r="U370" s="31">
        <f t="shared" si="87"/>
        <v>-3.9278913276793163E-2</v>
      </c>
      <c r="V370" s="31">
        <f t="shared" si="88"/>
        <v>-1.9294904767547517E-2</v>
      </c>
      <c r="W370" s="31">
        <f t="shared" si="89"/>
        <v>-3.1009668376415656E-2</v>
      </c>
      <c r="X370" s="31">
        <f t="shared" si="90"/>
        <v>-8.9583486420756336E-3</v>
      </c>
    </row>
    <row r="371" spans="1:24" ht="14.25" customHeight="1" x14ac:dyDescent="0.25">
      <c r="A371" s="41"/>
      <c r="B371" s="38">
        <v>47</v>
      </c>
      <c r="C371" s="32">
        <v>6.3</v>
      </c>
      <c r="D371" s="32">
        <v>3.3</v>
      </c>
      <c r="E371" s="32">
        <v>4.7</v>
      </c>
      <c r="F371" s="32">
        <v>1.6</v>
      </c>
      <c r="G371" s="39">
        <v>1</v>
      </c>
      <c r="H371">
        <f t="shared" si="80"/>
        <v>1</v>
      </c>
      <c r="I371" s="38">
        <f t="shared" si="91"/>
        <v>0.24002051755849615</v>
      </c>
      <c r="J371" s="40">
        <f t="shared" si="92"/>
        <v>-0.34124263881440414</v>
      </c>
      <c r="K371" s="40">
        <f t="shared" si="93"/>
        <v>-0.4632702625553381</v>
      </c>
      <c r="L371" s="40">
        <f t="shared" si="94"/>
        <v>1.0540662309566917</v>
      </c>
      <c r="M371" s="40">
        <f t="shared" si="95"/>
        <v>0.80319433996889578</v>
      </c>
      <c r="N371" s="35">
        <f t="shared" si="81"/>
        <v>2.8006222560418195</v>
      </c>
      <c r="O371" s="35">
        <f t="shared" si="82"/>
        <v>0.94270944038357818</v>
      </c>
      <c r="P371" s="36">
        <f t="shared" si="83"/>
        <v>1</v>
      </c>
      <c r="Q371" s="36">
        <f t="shared" si="84"/>
        <v>-5.7290559616421821E-2</v>
      </c>
      <c r="R371" s="37">
        <f t="shared" si="85"/>
        <v>3.282208221162783E-3</v>
      </c>
      <c r="T371" s="31">
        <f t="shared" si="86"/>
        <v>-6.1883373507894933E-3</v>
      </c>
      <c r="U371" s="31">
        <f t="shared" si="87"/>
        <v>-3.8986525309973805E-2</v>
      </c>
      <c r="V371" s="31">
        <f t="shared" si="88"/>
        <v>-2.0421513257605328E-2</v>
      </c>
      <c r="W371" s="31">
        <f t="shared" si="89"/>
        <v>-2.9085185548710618E-2</v>
      </c>
      <c r="X371" s="31">
        <f t="shared" si="90"/>
        <v>-9.90133976126319E-3</v>
      </c>
    </row>
    <row r="372" spans="1:24" ht="14.25" customHeight="1" x14ac:dyDescent="0.25">
      <c r="A372" s="41"/>
      <c r="B372" s="38">
        <v>48</v>
      </c>
      <c r="C372" s="32">
        <v>4.9000000000000004</v>
      </c>
      <c r="D372" s="32">
        <v>2.4</v>
      </c>
      <c r="E372" s="32">
        <v>3.3</v>
      </c>
      <c r="F372" s="32">
        <v>1</v>
      </c>
      <c r="G372" s="39">
        <v>1</v>
      </c>
      <c r="H372">
        <f t="shared" si="80"/>
        <v>1</v>
      </c>
      <c r="I372" s="38">
        <f t="shared" si="91"/>
        <v>0.24063935129357511</v>
      </c>
      <c r="J372" s="40">
        <f t="shared" si="92"/>
        <v>-0.33734398628340678</v>
      </c>
      <c r="K372" s="40">
        <f t="shared" si="93"/>
        <v>-0.46122811122957758</v>
      </c>
      <c r="L372" s="40">
        <f t="shared" si="94"/>
        <v>1.0569747495115627</v>
      </c>
      <c r="M372" s="40">
        <f t="shared" si="95"/>
        <v>0.80418447394502213</v>
      </c>
      <c r="N372" s="35">
        <f t="shared" si="81"/>
        <v>1.7729074988870748</v>
      </c>
      <c r="O372" s="35">
        <f t="shared" si="82"/>
        <v>0.85481887441984028</v>
      </c>
      <c r="P372" s="36">
        <f t="shared" si="83"/>
        <v>1</v>
      </c>
      <c r="Q372" s="36">
        <f t="shared" si="84"/>
        <v>-0.14518112558015972</v>
      </c>
      <c r="R372" s="37">
        <f t="shared" si="85"/>
        <v>2.1077559224722108E-2</v>
      </c>
      <c r="T372" s="31">
        <f t="shared" si="86"/>
        <v>-3.6034990903988949E-2</v>
      </c>
      <c r="U372" s="31">
        <f t="shared" si="87"/>
        <v>-0.17657145542954586</v>
      </c>
      <c r="V372" s="31">
        <f t="shared" si="88"/>
        <v>-8.6483978169573469E-2</v>
      </c>
      <c r="W372" s="31">
        <f t="shared" si="89"/>
        <v>-0.11891546998316352</v>
      </c>
      <c r="X372" s="31">
        <f t="shared" si="90"/>
        <v>-3.6034990903988949E-2</v>
      </c>
    </row>
    <row r="373" spans="1:24" ht="14.25" customHeight="1" x14ac:dyDescent="0.25">
      <c r="A373" s="41"/>
      <c r="B373" s="38">
        <v>49</v>
      </c>
      <c r="C373" s="32">
        <v>6.6</v>
      </c>
      <c r="D373" s="32">
        <v>2.9</v>
      </c>
      <c r="E373" s="32">
        <v>4.5999999999999996</v>
      </c>
      <c r="F373" s="32">
        <v>1.3</v>
      </c>
      <c r="G373" s="39">
        <v>1</v>
      </c>
      <c r="H373">
        <f t="shared" si="80"/>
        <v>1</v>
      </c>
      <c r="I373" s="38">
        <f t="shared" si="91"/>
        <v>0.244242850383974</v>
      </c>
      <c r="J373" s="40">
        <f t="shared" si="92"/>
        <v>-0.31968684074045217</v>
      </c>
      <c r="K373" s="40">
        <f t="shared" si="93"/>
        <v>-0.45257971341262021</v>
      </c>
      <c r="L373" s="40">
        <f t="shared" si="94"/>
        <v>1.068866296509879</v>
      </c>
      <c r="M373" s="40">
        <f t="shared" si="95"/>
        <v>0.80778797303542105</v>
      </c>
      <c r="N373" s="35">
        <f t="shared" si="81"/>
        <v>2.7887378614918821</v>
      </c>
      <c r="O373" s="35">
        <f t="shared" si="82"/>
        <v>0.94206419657809126</v>
      </c>
      <c r="P373" s="36">
        <f t="shared" si="83"/>
        <v>1</v>
      </c>
      <c r="Q373" s="36">
        <f t="shared" si="84"/>
        <v>-5.7935803421908738E-2</v>
      </c>
      <c r="R373" s="37">
        <f t="shared" si="85"/>
        <v>3.3565573181420522E-3</v>
      </c>
      <c r="T373" s="31">
        <f t="shared" si="86"/>
        <v>-6.3241849463676102E-3</v>
      </c>
      <c r="U373" s="31">
        <f t="shared" si="87"/>
        <v>-4.1739620646026224E-2</v>
      </c>
      <c r="V373" s="31">
        <f t="shared" si="88"/>
        <v>-1.834013634446607E-2</v>
      </c>
      <c r="W373" s="31">
        <f t="shared" si="89"/>
        <v>-2.9091250753291005E-2</v>
      </c>
      <c r="X373" s="31">
        <f t="shared" si="90"/>
        <v>-8.2214404302778932E-3</v>
      </c>
    </row>
    <row r="374" spans="1:24" ht="14.25" customHeight="1" x14ac:dyDescent="0.25">
      <c r="A374" s="41"/>
      <c r="B374" s="38">
        <v>50</v>
      </c>
      <c r="C374" s="32">
        <v>5.2</v>
      </c>
      <c r="D374" s="32">
        <v>2.7</v>
      </c>
      <c r="E374" s="32">
        <v>3.9</v>
      </c>
      <c r="F374" s="32">
        <v>1.4</v>
      </c>
      <c r="G374" s="39">
        <v>1</v>
      </c>
      <c r="H374">
        <f t="shared" si="80"/>
        <v>1</v>
      </c>
      <c r="I374" s="38">
        <f t="shared" si="91"/>
        <v>0.24487526887861077</v>
      </c>
      <c r="J374" s="40">
        <f t="shared" si="92"/>
        <v>-0.31551287867584954</v>
      </c>
      <c r="K374" s="40">
        <f t="shared" si="93"/>
        <v>-0.45074569977817358</v>
      </c>
      <c r="L374" s="40">
        <f t="shared" si="94"/>
        <v>1.071775421585208</v>
      </c>
      <c r="M374" s="40">
        <f t="shared" si="95"/>
        <v>0.80861011707844888</v>
      </c>
      <c r="N374" s="35">
        <f t="shared" si="81"/>
        <v>2.6991732184552637</v>
      </c>
      <c r="O374" s="35">
        <f t="shared" si="82"/>
        <v>0.9369778398239289</v>
      </c>
      <c r="P374" s="36">
        <f t="shared" si="83"/>
        <v>1</v>
      </c>
      <c r="Q374" s="36">
        <f t="shared" si="84"/>
        <v>-6.3022160176071096E-2</v>
      </c>
      <c r="R374" s="37">
        <f t="shared" si="85"/>
        <v>3.9717926732583614E-3</v>
      </c>
      <c r="T374" s="31">
        <f t="shared" si="86"/>
        <v>-7.4429634384362547E-3</v>
      </c>
      <c r="U374" s="31">
        <f t="shared" si="87"/>
        <v>-3.8703409879868526E-2</v>
      </c>
      <c r="V374" s="31">
        <f t="shared" si="88"/>
        <v>-2.0096001283777889E-2</v>
      </c>
      <c r="W374" s="31">
        <f t="shared" si="89"/>
        <v>-2.9027557409901393E-2</v>
      </c>
      <c r="X374" s="31">
        <f t="shared" si="90"/>
        <v>-1.0420148813810756E-2</v>
      </c>
    </row>
    <row r="375" spans="1:24" ht="14.25" customHeight="1" x14ac:dyDescent="0.25">
      <c r="A375" s="41"/>
      <c r="B375" s="38">
        <v>51</v>
      </c>
      <c r="C375" s="32">
        <v>5</v>
      </c>
      <c r="D375" s="32">
        <v>2</v>
      </c>
      <c r="E375" s="32">
        <v>3.5</v>
      </c>
      <c r="F375" s="32">
        <v>1</v>
      </c>
      <c r="G375" s="39">
        <v>1</v>
      </c>
      <c r="H375">
        <f t="shared" si="80"/>
        <v>1</v>
      </c>
      <c r="I375" s="38">
        <f t="shared" si="91"/>
        <v>0.2456195652224544</v>
      </c>
      <c r="J375" s="40">
        <f t="shared" si="92"/>
        <v>-0.31164253768786271</v>
      </c>
      <c r="K375" s="40">
        <f t="shared" si="93"/>
        <v>-0.44873609964979577</v>
      </c>
      <c r="L375" s="40">
        <f t="shared" si="94"/>
        <v>1.0746781773261982</v>
      </c>
      <c r="M375" s="40">
        <f t="shared" si="95"/>
        <v>0.80965213195982999</v>
      </c>
      <c r="N375" s="35">
        <f t="shared" si="81"/>
        <v>2.3609604300850728</v>
      </c>
      <c r="O375" s="35">
        <f t="shared" si="82"/>
        <v>0.91380148704941111</v>
      </c>
      <c r="P375" s="36">
        <f t="shared" si="83"/>
        <v>1</v>
      </c>
      <c r="Q375" s="36">
        <f t="shared" si="84"/>
        <v>-8.619851295058889E-2</v>
      </c>
      <c r="R375" s="37">
        <f t="shared" si="85"/>
        <v>7.4301836348928405E-3</v>
      </c>
      <c r="T375" s="31">
        <f t="shared" si="86"/>
        <v>-1.3579425709230552E-2</v>
      </c>
      <c r="U375" s="31">
        <f t="shared" si="87"/>
        <v>-6.7897128546152763E-2</v>
      </c>
      <c r="V375" s="31">
        <f t="shared" si="88"/>
        <v>-2.7158851418461104E-2</v>
      </c>
      <c r="W375" s="31">
        <f t="shared" si="89"/>
        <v>-4.752798998230693E-2</v>
      </c>
      <c r="X375" s="31">
        <f t="shared" si="90"/>
        <v>-1.3579425709230552E-2</v>
      </c>
    </row>
    <row r="376" spans="1:24" ht="14.25" customHeight="1" x14ac:dyDescent="0.25">
      <c r="A376" s="41"/>
      <c r="B376" s="38">
        <v>52</v>
      </c>
      <c r="C376" s="32">
        <v>5.9</v>
      </c>
      <c r="D376" s="32">
        <v>3</v>
      </c>
      <c r="E376" s="32">
        <v>4.2</v>
      </c>
      <c r="F376" s="32">
        <v>1.5</v>
      </c>
      <c r="G376" s="39">
        <v>1</v>
      </c>
      <c r="H376">
        <f t="shared" si="80"/>
        <v>1</v>
      </c>
      <c r="I376" s="38">
        <f t="shared" si="91"/>
        <v>0.24697750779337746</v>
      </c>
      <c r="J376" s="40">
        <f t="shared" si="92"/>
        <v>-0.30485282483324744</v>
      </c>
      <c r="K376" s="40">
        <f t="shared" si="93"/>
        <v>-0.44602021450794965</v>
      </c>
      <c r="L376" s="40">
        <f t="shared" si="94"/>
        <v>1.079430976324429</v>
      </c>
      <c r="M376" s="40">
        <f t="shared" si="95"/>
        <v>0.81101007453075302</v>
      </c>
      <c r="N376" s="35">
        <f t="shared" si="81"/>
        <v>2.8604104101121002</v>
      </c>
      <c r="O376" s="35">
        <f t="shared" si="82"/>
        <v>0.94585432207732079</v>
      </c>
      <c r="P376" s="36">
        <f t="shared" si="83"/>
        <v>1</v>
      </c>
      <c r="Q376" s="36">
        <f t="shared" si="84"/>
        <v>-5.4145677922679214E-2</v>
      </c>
      <c r="R376" s="37">
        <f t="shared" si="85"/>
        <v>2.9317544377065112E-3</v>
      </c>
      <c r="T376" s="31">
        <f t="shared" si="86"/>
        <v>-5.5460252123481378E-3</v>
      </c>
      <c r="U376" s="31">
        <f t="shared" si="87"/>
        <v>-3.2721548752854011E-2</v>
      </c>
      <c r="V376" s="31">
        <f t="shared" si="88"/>
        <v>-1.6638075637044412E-2</v>
      </c>
      <c r="W376" s="31">
        <f t="shared" si="89"/>
        <v>-2.3293305891862178E-2</v>
      </c>
      <c r="X376" s="31">
        <f t="shared" si="90"/>
        <v>-8.3190378185222062E-3</v>
      </c>
    </row>
    <row r="377" spans="1:24" ht="14.25" customHeight="1" x14ac:dyDescent="0.25">
      <c r="A377" s="41"/>
      <c r="B377" s="38">
        <v>53</v>
      </c>
      <c r="C377" s="32">
        <v>6</v>
      </c>
      <c r="D377" s="32">
        <v>2.2000000000000002</v>
      </c>
      <c r="E377" s="32">
        <v>4</v>
      </c>
      <c r="F377" s="32">
        <v>1</v>
      </c>
      <c r="G377" s="39">
        <v>1</v>
      </c>
      <c r="H377">
        <f t="shared" si="80"/>
        <v>1</v>
      </c>
      <c r="I377" s="38">
        <f t="shared" si="91"/>
        <v>0.24753211031461228</v>
      </c>
      <c r="J377" s="40">
        <f t="shared" si="92"/>
        <v>-0.30158066995796201</v>
      </c>
      <c r="K377" s="40">
        <f t="shared" si="93"/>
        <v>-0.44435640694424522</v>
      </c>
      <c r="L377" s="40">
        <f t="shared" si="94"/>
        <v>1.0817603069136152</v>
      </c>
      <c r="M377" s="40">
        <f t="shared" si="95"/>
        <v>0.81184197831260529</v>
      </c>
      <c r="N377" s="35">
        <f t="shared" si="81"/>
        <v>2.5993472012565668</v>
      </c>
      <c r="O377" s="35">
        <f t="shared" si="82"/>
        <v>0.93081955482116097</v>
      </c>
      <c r="P377" s="36">
        <f t="shared" si="83"/>
        <v>1</v>
      </c>
      <c r="Q377" s="36">
        <f t="shared" si="84"/>
        <v>-6.9180445178839034E-2</v>
      </c>
      <c r="R377" s="37">
        <f t="shared" si="85"/>
        <v>4.7859339951423531E-3</v>
      </c>
      <c r="T377" s="31">
        <f t="shared" si="86"/>
        <v>-8.9096819015237316E-3</v>
      </c>
      <c r="U377" s="31">
        <f t="shared" si="87"/>
        <v>-5.3458091409142386E-2</v>
      </c>
      <c r="V377" s="31">
        <f t="shared" si="88"/>
        <v>-1.960130018335221E-2</v>
      </c>
      <c r="W377" s="31">
        <f t="shared" si="89"/>
        <v>-3.5638727606094926E-2</v>
      </c>
      <c r="X377" s="31">
        <f t="shared" si="90"/>
        <v>-8.9096819015237316E-3</v>
      </c>
    </row>
    <row r="378" spans="1:24" ht="14.25" customHeight="1" x14ac:dyDescent="0.25">
      <c r="A378" s="41"/>
      <c r="B378" s="38">
        <v>54</v>
      </c>
      <c r="C378" s="32">
        <v>6.1</v>
      </c>
      <c r="D378" s="32">
        <v>2.9</v>
      </c>
      <c r="E378" s="32">
        <v>4.7</v>
      </c>
      <c r="F378" s="32">
        <v>1.4</v>
      </c>
      <c r="G378" s="39">
        <v>1</v>
      </c>
      <c r="H378">
        <f t="shared" si="80"/>
        <v>1</v>
      </c>
      <c r="I378" s="38">
        <f t="shared" si="91"/>
        <v>0.24842307850476467</v>
      </c>
      <c r="J378" s="40">
        <f t="shared" si="92"/>
        <v>-0.29623486081704775</v>
      </c>
      <c r="K378" s="40">
        <f t="shared" si="93"/>
        <v>-0.44239627692590999</v>
      </c>
      <c r="L378" s="40">
        <f t="shared" si="94"/>
        <v>1.0853241796742248</v>
      </c>
      <c r="M378" s="40">
        <f t="shared" si="95"/>
        <v>0.81273294650275762</v>
      </c>
      <c r="N378" s="35">
        <f t="shared" si="81"/>
        <v>3.3972909940083516</v>
      </c>
      <c r="O378" s="35">
        <f t="shared" si="82"/>
        <v>0.96761976482583889</v>
      </c>
      <c r="P378" s="36">
        <f t="shared" si="83"/>
        <v>1</v>
      </c>
      <c r="Q378" s="36">
        <f t="shared" si="84"/>
        <v>-3.2380235174161109E-2</v>
      </c>
      <c r="R378" s="37">
        <f t="shared" si="85"/>
        <v>1.0484796299339804E-3</v>
      </c>
      <c r="T378" s="31">
        <f t="shared" si="86"/>
        <v>-2.0290592258828013E-3</v>
      </c>
      <c r="U378" s="31">
        <f t="shared" si="87"/>
        <v>-1.2377261277885087E-2</v>
      </c>
      <c r="V378" s="31">
        <f t="shared" si="88"/>
        <v>-5.8842717550601237E-3</v>
      </c>
      <c r="W378" s="31">
        <f t="shared" si="89"/>
        <v>-9.5365783616491659E-3</v>
      </c>
      <c r="X378" s="31">
        <f t="shared" si="90"/>
        <v>-2.8406829162359215E-3</v>
      </c>
    </row>
    <row r="379" spans="1:24" ht="14.25" customHeight="1" x14ac:dyDescent="0.25">
      <c r="A379" s="41"/>
      <c r="B379" s="38">
        <v>55</v>
      </c>
      <c r="C379" s="32">
        <v>5.6</v>
      </c>
      <c r="D379" s="32">
        <v>2.9</v>
      </c>
      <c r="E379" s="32">
        <v>3.6</v>
      </c>
      <c r="F379" s="32">
        <v>1.3</v>
      </c>
      <c r="G379" s="39">
        <v>1</v>
      </c>
      <c r="H379">
        <f t="shared" si="80"/>
        <v>1</v>
      </c>
      <c r="I379" s="38">
        <f t="shared" si="91"/>
        <v>0.24862598442735295</v>
      </c>
      <c r="J379" s="40">
        <f t="shared" si="92"/>
        <v>-0.29499713468925925</v>
      </c>
      <c r="K379" s="40">
        <f t="shared" si="93"/>
        <v>-0.44180784975040399</v>
      </c>
      <c r="L379" s="40">
        <f t="shared" si="94"/>
        <v>1.0862778375103896</v>
      </c>
      <c r="M379" s="40">
        <f t="shared" si="95"/>
        <v>0.81301701479438127</v>
      </c>
      <c r="N379" s="35">
        <f t="shared" si="81"/>
        <v>2.2829216001614281</v>
      </c>
      <c r="O379" s="35">
        <f t="shared" si="82"/>
        <v>0.90745270182804949</v>
      </c>
      <c r="P379" s="36">
        <f t="shared" si="83"/>
        <v>1</v>
      </c>
      <c r="Q379" s="36">
        <f t="shared" si="84"/>
        <v>-9.2547298171950509E-2</v>
      </c>
      <c r="R379" s="37">
        <f t="shared" si="85"/>
        <v>8.5650023989279137E-3</v>
      </c>
      <c r="T379" s="31">
        <f t="shared" si="86"/>
        <v>-1.5544669136141722E-2</v>
      </c>
      <c r="U379" s="31">
        <f t="shared" si="87"/>
        <v>-8.7050147162393635E-2</v>
      </c>
      <c r="V379" s="31">
        <f t="shared" si="88"/>
        <v>-4.5079540494810992E-2</v>
      </c>
      <c r="W379" s="31">
        <f t="shared" si="89"/>
        <v>-5.5960808890110202E-2</v>
      </c>
      <c r="X379" s="31">
        <f t="shared" si="90"/>
        <v>-2.0208069876984237E-2</v>
      </c>
    </row>
    <row r="380" spans="1:24" ht="14.25" customHeight="1" x14ac:dyDescent="0.25">
      <c r="A380" s="41"/>
      <c r="B380" s="38">
        <v>56</v>
      </c>
      <c r="C380" s="32">
        <v>6.7</v>
      </c>
      <c r="D380" s="32">
        <v>3.1</v>
      </c>
      <c r="E380" s="32">
        <v>4.4000000000000004</v>
      </c>
      <c r="F380" s="32">
        <v>1.4</v>
      </c>
      <c r="G380" s="39">
        <v>1</v>
      </c>
      <c r="H380">
        <f t="shared" si="80"/>
        <v>1</v>
      </c>
      <c r="I380" s="38">
        <f t="shared" si="91"/>
        <v>0.25018045134096711</v>
      </c>
      <c r="J380" s="40">
        <f t="shared" si="92"/>
        <v>-0.2862921199730199</v>
      </c>
      <c r="K380" s="40">
        <f t="shared" si="93"/>
        <v>-0.43729989570092287</v>
      </c>
      <c r="L380" s="40">
        <f t="shared" si="94"/>
        <v>1.0918739183994006</v>
      </c>
      <c r="M380" s="40">
        <f t="shared" si="95"/>
        <v>0.81503782178207973</v>
      </c>
      <c r="N380" s="35">
        <f t="shared" si="81"/>
        <v>2.9216917623011476</v>
      </c>
      <c r="O380" s="35">
        <f t="shared" si="82"/>
        <v>0.94890838017799262</v>
      </c>
      <c r="P380" s="36">
        <f t="shared" si="83"/>
        <v>1</v>
      </c>
      <c r="Q380" s="36">
        <f t="shared" si="84"/>
        <v>-5.1091619822007384E-2</v>
      </c>
      <c r="R380" s="37">
        <f t="shared" si="85"/>
        <v>2.6103536160365379E-3</v>
      </c>
      <c r="T380" s="31">
        <f t="shared" si="86"/>
        <v>-4.9539728429699934E-3</v>
      </c>
      <c r="U380" s="31">
        <f t="shared" si="87"/>
        <v>-3.3191618047898955E-2</v>
      </c>
      <c r="V380" s="31">
        <f t="shared" si="88"/>
        <v>-1.5357315813206979E-2</v>
      </c>
      <c r="W380" s="31">
        <f t="shared" si="89"/>
        <v>-2.1797480509067973E-2</v>
      </c>
      <c r="X380" s="31">
        <f t="shared" si="90"/>
        <v>-6.9355619801579902E-3</v>
      </c>
    </row>
    <row r="381" spans="1:24" ht="14.25" customHeight="1" x14ac:dyDescent="0.25">
      <c r="A381" s="41"/>
      <c r="B381" s="38">
        <v>57</v>
      </c>
      <c r="C381" s="32">
        <v>5.6</v>
      </c>
      <c r="D381" s="32">
        <v>3</v>
      </c>
      <c r="E381" s="32">
        <v>4.5</v>
      </c>
      <c r="F381" s="32">
        <v>1.5</v>
      </c>
      <c r="G381" s="39">
        <v>1</v>
      </c>
      <c r="H381">
        <f t="shared" si="80"/>
        <v>1</v>
      </c>
      <c r="I381" s="38">
        <f t="shared" si="91"/>
        <v>0.2506758486252641</v>
      </c>
      <c r="J381" s="40">
        <f t="shared" si="92"/>
        <v>-0.28297295816822998</v>
      </c>
      <c r="K381" s="40">
        <f t="shared" si="93"/>
        <v>-0.43576416411960217</v>
      </c>
      <c r="L381" s="40">
        <f t="shared" si="94"/>
        <v>1.0940536664503073</v>
      </c>
      <c r="M381" s="40">
        <f t="shared" si="95"/>
        <v>0.81573137798009554</v>
      </c>
      <c r="N381" s="35">
        <f t="shared" si="81"/>
        <v>3.5055733565208955</v>
      </c>
      <c r="O381" s="35">
        <f t="shared" si="82"/>
        <v>0.97084593277333864</v>
      </c>
      <c r="P381" s="36">
        <f t="shared" si="83"/>
        <v>1</v>
      </c>
      <c r="Q381" s="36">
        <f t="shared" si="84"/>
        <v>-2.9154067226661362E-2</v>
      </c>
      <c r="R381" s="37">
        <f t="shared" si="85"/>
        <v>8.4995963585669018E-4</v>
      </c>
      <c r="T381" s="31">
        <f t="shared" si="86"/>
        <v>-1.6503597109859512E-3</v>
      </c>
      <c r="U381" s="31">
        <f t="shared" si="87"/>
        <v>-9.2420143815213265E-3</v>
      </c>
      <c r="V381" s="31">
        <f t="shared" si="88"/>
        <v>-4.9510791329578537E-3</v>
      </c>
      <c r="W381" s="31">
        <f t="shared" si="89"/>
        <v>-7.4266186994367805E-3</v>
      </c>
      <c r="X381" s="31">
        <f t="shared" si="90"/>
        <v>-2.4755395664789268E-3</v>
      </c>
    </row>
    <row r="382" spans="1:24" ht="14.25" customHeight="1" x14ac:dyDescent="0.25">
      <c r="A382" s="41"/>
      <c r="B382" s="38">
        <v>58</v>
      </c>
      <c r="C382" s="32">
        <v>5.8</v>
      </c>
      <c r="D382" s="32">
        <v>2.7</v>
      </c>
      <c r="E382" s="32">
        <v>4.0999999999999996</v>
      </c>
      <c r="F382" s="32">
        <v>1</v>
      </c>
      <c r="G382" s="39">
        <v>1</v>
      </c>
      <c r="H382">
        <f t="shared" si="80"/>
        <v>1</v>
      </c>
      <c r="I382" s="38">
        <f t="shared" si="91"/>
        <v>0.25084088459636267</v>
      </c>
      <c r="J382" s="40">
        <f t="shared" si="92"/>
        <v>-0.28204875673007784</v>
      </c>
      <c r="K382" s="40">
        <f t="shared" si="93"/>
        <v>-0.4352690562063064</v>
      </c>
      <c r="L382" s="40">
        <f t="shared" si="94"/>
        <v>1.0947963283202511</v>
      </c>
      <c r="M382" s="40">
        <f t="shared" si="95"/>
        <v>0.81597893193674342</v>
      </c>
      <c r="N382" s="35">
        <f t="shared" si="81"/>
        <v>2.7443755218546562</v>
      </c>
      <c r="O382" s="35">
        <f t="shared" si="82"/>
        <v>0.93959491335978551</v>
      </c>
      <c r="P382" s="36">
        <f t="shared" si="83"/>
        <v>1</v>
      </c>
      <c r="Q382" s="36">
        <f t="shared" si="84"/>
        <v>-6.0405086640214489E-2</v>
      </c>
      <c r="R382" s="37">
        <f t="shared" si="85"/>
        <v>3.6487744920118189E-3</v>
      </c>
      <c r="T382" s="31">
        <f t="shared" si="86"/>
        <v>-6.8567399053824805E-3</v>
      </c>
      <c r="U382" s="31">
        <f t="shared" si="87"/>
        <v>-3.9769091451218389E-2</v>
      </c>
      <c r="V382" s="31">
        <f t="shared" si="88"/>
        <v>-1.8513197744532698E-2</v>
      </c>
      <c r="W382" s="31">
        <f t="shared" si="89"/>
        <v>-2.8112633612068168E-2</v>
      </c>
      <c r="X382" s="31">
        <f t="shared" si="90"/>
        <v>-6.8567399053824805E-3</v>
      </c>
    </row>
    <row r="383" spans="1:24" ht="14.25" customHeight="1" x14ac:dyDescent="0.25">
      <c r="A383" s="41"/>
      <c r="B383" s="38">
        <v>59</v>
      </c>
      <c r="C383" s="32">
        <v>6.2</v>
      </c>
      <c r="D383" s="32">
        <v>2.2000000000000002</v>
      </c>
      <c r="E383" s="32">
        <v>4.5</v>
      </c>
      <c r="F383" s="32">
        <v>1.5</v>
      </c>
      <c r="G383" s="39">
        <v>1</v>
      </c>
      <c r="H383">
        <f t="shared" si="80"/>
        <v>1</v>
      </c>
      <c r="I383" s="38">
        <f t="shared" si="91"/>
        <v>0.25152655858690093</v>
      </c>
      <c r="J383" s="40">
        <f t="shared" si="92"/>
        <v>-0.27807184758495601</v>
      </c>
      <c r="K383" s="40">
        <f t="shared" si="93"/>
        <v>-0.43341773643185311</v>
      </c>
      <c r="L383" s="40">
        <f t="shared" si="94"/>
        <v>1.0976075916814578</v>
      </c>
      <c r="M383" s="40">
        <f t="shared" si="95"/>
        <v>0.81666460592728163</v>
      </c>
      <c r="N383" s="35">
        <f t="shared" si="81"/>
        <v>3.7381931548675791</v>
      </c>
      <c r="O383" s="35">
        <f t="shared" si="82"/>
        <v>0.97675607520238994</v>
      </c>
      <c r="P383" s="36">
        <f t="shared" si="83"/>
        <v>1</v>
      </c>
      <c r="Q383" s="36">
        <f t="shared" si="84"/>
        <v>-2.324392479761006E-2</v>
      </c>
      <c r="R383" s="37">
        <f t="shared" si="85"/>
        <v>5.402800399969519E-4</v>
      </c>
      <c r="T383" s="31">
        <f t="shared" si="86"/>
        <v>-1.055443622755226E-3</v>
      </c>
      <c r="U383" s="31">
        <f t="shared" si="87"/>
        <v>-6.5437504610824015E-3</v>
      </c>
      <c r="V383" s="31">
        <f t="shared" si="88"/>
        <v>-2.3219759700614973E-3</v>
      </c>
      <c r="W383" s="31">
        <f t="shared" si="89"/>
        <v>-4.7494963023985166E-3</v>
      </c>
      <c r="X383" s="31">
        <f t="shared" si="90"/>
        <v>-1.5831654341328389E-3</v>
      </c>
    </row>
    <row r="384" spans="1:24" ht="14.25" customHeight="1" x14ac:dyDescent="0.25">
      <c r="A384" s="41"/>
      <c r="B384" s="38">
        <v>60</v>
      </c>
      <c r="C384" s="32">
        <v>5.6</v>
      </c>
      <c r="D384" s="32">
        <v>2.5</v>
      </c>
      <c r="E384" s="32">
        <v>3.9</v>
      </c>
      <c r="F384" s="32">
        <v>1.1000000000000001</v>
      </c>
      <c r="G384" s="39">
        <v>1</v>
      </c>
      <c r="H384">
        <f t="shared" si="80"/>
        <v>1</v>
      </c>
      <c r="I384" s="38">
        <f t="shared" si="91"/>
        <v>0.25163210294917643</v>
      </c>
      <c r="J384" s="40">
        <f t="shared" si="92"/>
        <v>-0.2774174725388478</v>
      </c>
      <c r="K384" s="40">
        <f t="shared" si="93"/>
        <v>-0.43318553883484695</v>
      </c>
      <c r="L384" s="40">
        <f t="shared" si="94"/>
        <v>1.0980825413116977</v>
      </c>
      <c r="M384" s="40">
        <f t="shared" si="95"/>
        <v>0.81682292247069488</v>
      </c>
      <c r="N384" s="35">
        <f t="shared" si="81"/>
        <v>2.7961575354778971</v>
      </c>
      <c r="O384" s="35">
        <f t="shared" si="82"/>
        <v>0.94246783102907372</v>
      </c>
      <c r="P384" s="36">
        <f t="shared" si="83"/>
        <v>1</v>
      </c>
      <c r="Q384" s="36">
        <f t="shared" si="84"/>
        <v>-5.7532168970926278E-2</v>
      </c>
      <c r="R384" s="37">
        <f t="shared" si="85"/>
        <v>3.3099504664992124E-3</v>
      </c>
      <c r="T384" s="31">
        <f t="shared" si="86"/>
        <v>-6.2390436739503665E-3</v>
      </c>
      <c r="U384" s="31">
        <f t="shared" si="87"/>
        <v>-3.4938644574122053E-2</v>
      </c>
      <c r="V384" s="31">
        <f t="shared" si="88"/>
        <v>-1.5597609184875917E-2</v>
      </c>
      <c r="W384" s="31">
        <f t="shared" si="89"/>
        <v>-2.433227032840643E-2</v>
      </c>
      <c r="X384" s="31">
        <f t="shared" si="90"/>
        <v>-6.8629480413454035E-3</v>
      </c>
    </row>
    <row r="385" spans="1:24" ht="14.25" customHeight="1" x14ac:dyDescent="0.25">
      <c r="A385" s="41"/>
      <c r="B385" s="38">
        <v>61</v>
      </c>
      <c r="C385" s="32">
        <v>5.9</v>
      </c>
      <c r="D385" s="32">
        <v>3.2</v>
      </c>
      <c r="E385" s="32">
        <v>4.8</v>
      </c>
      <c r="F385" s="32">
        <v>1.8</v>
      </c>
      <c r="G385" s="39">
        <v>1</v>
      </c>
      <c r="H385">
        <f t="shared" si="80"/>
        <v>1</v>
      </c>
      <c r="I385" s="38">
        <f t="shared" si="91"/>
        <v>0.25225600731657144</v>
      </c>
      <c r="J385" s="40">
        <f t="shared" si="92"/>
        <v>-0.27392360808143557</v>
      </c>
      <c r="K385" s="40">
        <f t="shared" si="93"/>
        <v>-0.43162577791635937</v>
      </c>
      <c r="L385" s="40">
        <f t="shared" si="94"/>
        <v>1.1005157683445383</v>
      </c>
      <c r="M385" s="40">
        <f t="shared" si="95"/>
        <v>0.81750921727482939</v>
      </c>
      <c r="N385" s="35">
        <f t="shared" si="81"/>
        <v>4.008896509452228</v>
      </c>
      <c r="O385" s="35">
        <f t="shared" si="82"/>
        <v>0.98217025448157924</v>
      </c>
      <c r="P385" s="36">
        <f t="shared" si="83"/>
        <v>1</v>
      </c>
      <c r="Q385" s="36">
        <f t="shared" si="84"/>
        <v>-1.7829745518420759E-2</v>
      </c>
      <c r="R385" s="37">
        <f t="shared" si="85"/>
        <v>3.1789982525164514E-4</v>
      </c>
      <c r="T385" s="31">
        <f t="shared" si="86"/>
        <v>-6.2446350453411578E-4</v>
      </c>
      <c r="U385" s="31">
        <f t="shared" si="87"/>
        <v>-3.6843346767512835E-3</v>
      </c>
      <c r="V385" s="31">
        <f t="shared" si="88"/>
        <v>-1.9982832145091704E-3</v>
      </c>
      <c r="W385" s="31">
        <f t="shared" si="89"/>
        <v>-2.9974248217637558E-3</v>
      </c>
      <c r="X385" s="31">
        <f t="shared" si="90"/>
        <v>-1.1240343081614084E-3</v>
      </c>
    </row>
    <row r="386" spans="1:24" ht="14.25" customHeight="1" x14ac:dyDescent="0.25">
      <c r="A386" s="41"/>
      <c r="B386" s="38">
        <v>62</v>
      </c>
      <c r="C386" s="32">
        <v>6.1</v>
      </c>
      <c r="D386" s="32">
        <v>2.8</v>
      </c>
      <c r="E386" s="32">
        <v>4</v>
      </c>
      <c r="F386" s="32">
        <v>1.3</v>
      </c>
      <c r="G386" s="39">
        <v>1</v>
      </c>
      <c r="H386">
        <f t="shared" si="80"/>
        <v>1</v>
      </c>
      <c r="I386" s="38">
        <f t="shared" si="91"/>
        <v>0.25231845366702488</v>
      </c>
      <c r="J386" s="40">
        <f t="shared" si="92"/>
        <v>-0.27355517461376044</v>
      </c>
      <c r="K386" s="40">
        <f t="shared" si="93"/>
        <v>-0.43142594959490843</v>
      </c>
      <c r="L386" s="40">
        <f t="shared" si="94"/>
        <v>1.1008155108267148</v>
      </c>
      <c r="M386" s="40">
        <f t="shared" si="95"/>
        <v>0.81762162070564548</v>
      </c>
      <c r="N386" s="35">
        <f t="shared" si="81"/>
        <v>2.8418093798815409</v>
      </c>
      <c r="O386" s="35">
        <f t="shared" si="82"/>
        <v>0.944893751688334</v>
      </c>
      <c r="P386" s="36">
        <f t="shared" si="83"/>
        <v>1</v>
      </c>
      <c r="Q386" s="36">
        <f t="shared" si="84"/>
        <v>-5.5106248311665995E-2</v>
      </c>
      <c r="R386" s="37">
        <f t="shared" si="85"/>
        <v>3.0366986029869915E-3</v>
      </c>
      <c r="T386" s="31">
        <f t="shared" si="86"/>
        <v>-5.7387150714462024E-3</v>
      </c>
      <c r="U386" s="31">
        <f t="shared" si="87"/>
        <v>-3.5006161935821831E-2</v>
      </c>
      <c r="V386" s="31">
        <f t="shared" si="88"/>
        <v>-1.6068402200049365E-2</v>
      </c>
      <c r="W386" s="31">
        <f t="shared" si="89"/>
        <v>-2.295486028578481E-2</v>
      </c>
      <c r="X386" s="31">
        <f t="shared" si="90"/>
        <v>-7.4603295928800635E-3</v>
      </c>
    </row>
    <row r="387" spans="1:24" ht="14.25" customHeight="1" x14ac:dyDescent="0.25">
      <c r="A387" s="41"/>
      <c r="B387" s="38">
        <v>63</v>
      </c>
      <c r="C387" s="32">
        <v>6.3</v>
      </c>
      <c r="D387" s="32">
        <v>2.5</v>
      </c>
      <c r="E387" s="32">
        <v>4.9000000000000004</v>
      </c>
      <c r="F387" s="32">
        <v>1.5</v>
      </c>
      <c r="G387" s="39">
        <v>1</v>
      </c>
      <c r="H387">
        <f t="shared" si="80"/>
        <v>1</v>
      </c>
      <c r="I387" s="38">
        <f t="shared" si="91"/>
        <v>0.25289232517416949</v>
      </c>
      <c r="J387" s="40">
        <f t="shared" si="92"/>
        <v>-0.27005455842017828</v>
      </c>
      <c r="K387" s="40">
        <f t="shared" si="93"/>
        <v>-0.42981910937490347</v>
      </c>
      <c r="L387" s="40">
        <f t="shared" si="94"/>
        <v>1.1031109968552932</v>
      </c>
      <c r="M387" s="40">
        <f t="shared" si="95"/>
        <v>0.81836765366493347</v>
      </c>
      <c r="N387" s="35">
        <f t="shared" si="81"/>
        <v>4.1097961987781249</v>
      </c>
      <c r="O387" s="35">
        <f t="shared" si="82"/>
        <v>0.98385385747150012</v>
      </c>
      <c r="P387" s="36">
        <f t="shared" si="83"/>
        <v>1</v>
      </c>
      <c r="Q387" s="36">
        <f t="shared" si="84"/>
        <v>-1.6146142528499885E-2</v>
      </c>
      <c r="R387" s="37">
        <f t="shared" si="85"/>
        <v>2.6069791855063264E-4</v>
      </c>
      <c r="T387" s="31">
        <f t="shared" si="86"/>
        <v>-5.1297730560166178E-4</v>
      </c>
      <c r="U387" s="31">
        <f t="shared" si="87"/>
        <v>-3.231757025290469E-3</v>
      </c>
      <c r="V387" s="31">
        <f t="shared" si="88"/>
        <v>-1.2824432640041543E-3</v>
      </c>
      <c r="W387" s="31">
        <f t="shared" si="89"/>
        <v>-2.5135887974481429E-3</v>
      </c>
      <c r="X387" s="31">
        <f t="shared" si="90"/>
        <v>-7.6946595840249267E-4</v>
      </c>
    </row>
    <row r="388" spans="1:24" ht="14.25" customHeight="1" x14ac:dyDescent="0.25">
      <c r="A388" s="41"/>
      <c r="B388" s="38">
        <v>64</v>
      </c>
      <c r="C388" s="32">
        <v>6.1</v>
      </c>
      <c r="D388" s="32">
        <v>2.8</v>
      </c>
      <c r="E388" s="32">
        <v>4.7</v>
      </c>
      <c r="F388" s="32">
        <v>1.2</v>
      </c>
      <c r="G388" s="39">
        <v>1</v>
      </c>
      <c r="H388">
        <f t="shared" si="80"/>
        <v>1</v>
      </c>
      <c r="I388" s="38">
        <f t="shared" si="91"/>
        <v>0.25294362290472966</v>
      </c>
      <c r="J388" s="40">
        <f t="shared" si="92"/>
        <v>-0.26973138271764924</v>
      </c>
      <c r="K388" s="40">
        <f t="shared" si="93"/>
        <v>-0.42969086504850307</v>
      </c>
      <c r="L388" s="40">
        <f t="shared" si="94"/>
        <v>1.103362355735038</v>
      </c>
      <c r="M388" s="40">
        <f t="shared" si="95"/>
        <v>0.8184446002607737</v>
      </c>
      <c r="N388" s="35">
        <f t="shared" si="81"/>
        <v>3.5723843584588679</v>
      </c>
      <c r="O388" s="35">
        <f t="shared" si="82"/>
        <v>0.97267862464403443</v>
      </c>
      <c r="P388" s="36">
        <f t="shared" si="83"/>
        <v>1</v>
      </c>
      <c r="Q388" s="36">
        <f t="shared" si="84"/>
        <v>-2.7321375355965571E-2</v>
      </c>
      <c r="R388" s="37">
        <f t="shared" si="85"/>
        <v>7.4645755134156286E-4</v>
      </c>
      <c r="T388" s="31">
        <f t="shared" si="86"/>
        <v>-1.4521266087881301E-3</v>
      </c>
      <c r="U388" s="31">
        <f t="shared" si="87"/>
        <v>-8.8579723136075934E-3</v>
      </c>
      <c r="V388" s="31">
        <f t="shared" si="88"/>
        <v>-4.0659545046067645E-3</v>
      </c>
      <c r="W388" s="31">
        <f t="shared" si="89"/>
        <v>-6.8249950613042121E-3</v>
      </c>
      <c r="X388" s="31">
        <f t="shared" si="90"/>
        <v>-1.7425519305457561E-3</v>
      </c>
    </row>
    <row r="389" spans="1:24" ht="14.25" customHeight="1" x14ac:dyDescent="0.25">
      <c r="A389" s="41"/>
      <c r="B389" s="38">
        <v>65</v>
      </c>
      <c r="C389" s="32">
        <v>6.4</v>
      </c>
      <c r="D389" s="32">
        <v>2.9</v>
      </c>
      <c r="E389" s="32">
        <v>4.3</v>
      </c>
      <c r="F389" s="32">
        <v>1.3</v>
      </c>
      <c r="G389" s="39">
        <v>1</v>
      </c>
      <c r="H389">
        <f t="shared" ref="H389:H452" si="96">IF(G389=P389, 1, 0)</f>
        <v>1</v>
      </c>
      <c r="I389" s="38">
        <f t="shared" si="91"/>
        <v>0.25308883556560846</v>
      </c>
      <c r="J389" s="40">
        <f t="shared" si="92"/>
        <v>-0.26884558548628845</v>
      </c>
      <c r="K389" s="40">
        <f t="shared" si="93"/>
        <v>-0.42928426959804239</v>
      </c>
      <c r="L389" s="40">
        <f t="shared" si="94"/>
        <v>1.1040448552411686</v>
      </c>
      <c r="M389" s="40">
        <f t="shared" si="95"/>
        <v>0.81861885545382829</v>
      </c>
      <c r="N389" s="35">
        <f t="shared" ref="N389:N452" si="97">I389+J389*C389+K389*D389+L389*E389+F389*M389</f>
        <v>3.0991500962460412</v>
      </c>
      <c r="O389" s="35">
        <f t="shared" ref="O389:O452" si="98">1/(1+EXP(-N389))</f>
        <v>0.95685767374578212</v>
      </c>
      <c r="P389" s="36">
        <f t="shared" ref="P389:P452" si="99">IF(O389&gt;0.5,1,0)</f>
        <v>1</v>
      </c>
      <c r="Q389" s="36">
        <f t="shared" ref="Q389:Q404" si="100">O389-G389</f>
        <v>-4.3142326254217878E-2</v>
      </c>
      <c r="R389" s="37">
        <f t="shared" ref="R389:R452" si="101">Q389^2</f>
        <v>1.8612603146253772E-3</v>
      </c>
      <c r="T389" s="31">
        <f t="shared" ref="T389:T404" si="102">2*(O389-G389)*(1-O389)*O389</f>
        <v>-3.5619224297755618E-3</v>
      </c>
      <c r="U389" s="31">
        <f t="shared" ref="U389:U404" si="103">2*(O389-G389)*(1-O389)*O389*C389</f>
        <v>-2.2796303550563599E-2</v>
      </c>
      <c r="V389" s="31">
        <f t="shared" ref="V389:V404" si="104">2*(O389-G389)*(1-O389)*O389*D389</f>
        <v>-1.0329575046349128E-2</v>
      </c>
      <c r="W389" s="31">
        <f t="shared" ref="W389:W404" si="105">2*(O389-G389)*(1-O389)*O389*E389</f>
        <v>-1.5316266448034915E-2</v>
      </c>
      <c r="X389" s="31">
        <f t="shared" ref="X389:X404" si="106">2*(O389-G389)*(1-O389)*O389*F389</f>
        <v>-4.6304991587082303E-3</v>
      </c>
    </row>
    <row r="390" spans="1:24" ht="14.25" customHeight="1" x14ac:dyDescent="0.25">
      <c r="A390" s="41"/>
      <c r="B390" s="38">
        <v>66</v>
      </c>
      <c r="C390" s="32">
        <v>6.6</v>
      </c>
      <c r="D390" s="32">
        <v>3</v>
      </c>
      <c r="E390" s="32">
        <v>4.4000000000000004</v>
      </c>
      <c r="F390" s="32">
        <v>1.4</v>
      </c>
      <c r="G390" s="39">
        <v>1</v>
      </c>
      <c r="H390">
        <f t="shared" si="96"/>
        <v>1</v>
      </c>
      <c r="I390" s="38">
        <f t="shared" ref="I390:I404" si="107">I389-0.1*T389</f>
        <v>0.25344502780858602</v>
      </c>
      <c r="J390" s="40">
        <f t="shared" ref="J390:J404" si="108">J389-0.1*U389</f>
        <v>-0.2665659551312321</v>
      </c>
      <c r="K390" s="40">
        <f t="shared" ref="K390:K404" si="109">K389-0.1*V389</f>
        <v>-0.4282513120934075</v>
      </c>
      <c r="L390" s="40">
        <f t="shared" ref="L390:L404" si="110">L389-0.1*W389</f>
        <v>1.1055764818859721</v>
      </c>
      <c r="M390" s="40">
        <f t="shared" ref="M390:M404" si="111">M389-0.1*X389</f>
        <v>0.81908190536969916</v>
      </c>
      <c r="N390" s="35">
        <f t="shared" si="97"/>
        <v>3.2206069754780882</v>
      </c>
      <c r="O390" s="35">
        <f t="shared" si="98"/>
        <v>0.96160243225244069</v>
      </c>
      <c r="P390" s="36">
        <f t="shared" si="99"/>
        <v>1</v>
      </c>
      <c r="Q390" s="36">
        <f t="shared" si="100"/>
        <v>-3.8397567747559314E-2</v>
      </c>
      <c r="R390" s="37">
        <f t="shared" si="101"/>
        <v>1.4743732089284073E-3</v>
      </c>
      <c r="T390" s="31">
        <f t="shared" si="102"/>
        <v>-2.8355217275067846E-3</v>
      </c>
      <c r="U390" s="31">
        <f t="shared" si="103"/>
        <v>-1.8714443401544777E-2</v>
      </c>
      <c r="V390" s="31">
        <f t="shared" si="104"/>
        <v>-8.5065651825203537E-3</v>
      </c>
      <c r="W390" s="31">
        <f t="shared" si="105"/>
        <v>-1.2476295601029853E-2</v>
      </c>
      <c r="X390" s="31">
        <f t="shared" si="106"/>
        <v>-3.9697304185094982E-3</v>
      </c>
    </row>
    <row r="391" spans="1:24" ht="14.25" customHeight="1" x14ac:dyDescent="0.25">
      <c r="A391" s="41"/>
      <c r="B391" s="38">
        <v>67</v>
      </c>
      <c r="C391" s="32">
        <v>6.8</v>
      </c>
      <c r="D391" s="32">
        <v>2.8</v>
      </c>
      <c r="E391" s="32">
        <v>4.8</v>
      </c>
      <c r="F391" s="32">
        <v>1.4</v>
      </c>
      <c r="G391" s="39">
        <v>1</v>
      </c>
      <c r="H391">
        <f t="shared" si="96"/>
        <v>1</v>
      </c>
      <c r="I391" s="38">
        <f t="shared" si="107"/>
        <v>0.25372857998133669</v>
      </c>
      <c r="J391" s="40">
        <f t="shared" si="108"/>
        <v>-0.26469451079107764</v>
      </c>
      <c r="K391" s="40">
        <f t="shared" si="109"/>
        <v>-0.42740065557515544</v>
      </c>
      <c r="L391" s="40">
        <f t="shared" si="110"/>
        <v>1.1068241114460751</v>
      </c>
      <c r="M391" s="40">
        <f t="shared" si="111"/>
        <v>0.81947887841155009</v>
      </c>
      <c r="N391" s="35">
        <f t="shared" si="97"/>
        <v>3.7171102357089039</v>
      </c>
      <c r="O391" s="35">
        <f t="shared" si="98"/>
        <v>0.97627257413714508</v>
      </c>
      <c r="P391" s="36">
        <f t="shared" si="99"/>
        <v>1</v>
      </c>
      <c r="Q391" s="36">
        <f t="shared" si="100"/>
        <v>-2.3727425862854923E-2</v>
      </c>
      <c r="R391" s="37">
        <f t="shared" si="101"/>
        <v>5.6299073807727668E-4</v>
      </c>
      <c r="T391" s="31">
        <f t="shared" si="102"/>
        <v>-1.0992648341561482E-3</v>
      </c>
      <c r="U391" s="31">
        <f t="shared" si="103"/>
        <v>-7.4750008722618078E-3</v>
      </c>
      <c r="V391" s="31">
        <f t="shared" si="104"/>
        <v>-3.077941535637215E-3</v>
      </c>
      <c r="W391" s="31">
        <f t="shared" si="105"/>
        <v>-5.2764712039495114E-3</v>
      </c>
      <c r="X391" s="31">
        <f t="shared" si="106"/>
        <v>-1.5389707678186075E-3</v>
      </c>
    </row>
    <row r="392" spans="1:24" ht="14.25" customHeight="1" x14ac:dyDescent="0.25">
      <c r="A392" s="41"/>
      <c r="B392" s="38">
        <v>68</v>
      </c>
      <c r="C392" s="32">
        <v>6.7</v>
      </c>
      <c r="D392" s="32">
        <v>3</v>
      </c>
      <c r="E392" s="32">
        <v>5</v>
      </c>
      <c r="F392" s="32">
        <v>1.7</v>
      </c>
      <c r="G392" s="39">
        <v>1</v>
      </c>
      <c r="H392">
        <f t="shared" si="96"/>
        <v>1</v>
      </c>
      <c r="I392" s="38">
        <f t="shared" si="107"/>
        <v>0.25383850646475231</v>
      </c>
      <c r="J392" s="40">
        <f t="shared" si="108"/>
        <v>-0.26394701070385146</v>
      </c>
      <c r="K392" s="40">
        <f t="shared" si="109"/>
        <v>-0.4270928614215917</v>
      </c>
      <c r="L392" s="40">
        <f t="shared" si="110"/>
        <v>1.1073517585664701</v>
      </c>
      <c r="M392" s="40">
        <f t="shared" si="111"/>
        <v>0.81963277548833191</v>
      </c>
      <c r="N392" s="35">
        <f t="shared" si="97"/>
        <v>4.1342494616466867</v>
      </c>
      <c r="O392" s="35">
        <f t="shared" si="98"/>
        <v>0.98423774718676138</v>
      </c>
      <c r="P392" s="36">
        <f t="shared" si="99"/>
        <v>1</v>
      </c>
      <c r="Q392" s="36">
        <f t="shared" si="100"/>
        <v>-1.576225281323862E-2</v>
      </c>
      <c r="R392" s="37">
        <f t="shared" si="101"/>
        <v>2.4844861374844878E-4</v>
      </c>
      <c r="T392" s="31">
        <f t="shared" si="102"/>
        <v>-4.8906500777489413E-4</v>
      </c>
      <c r="U392" s="31">
        <f t="shared" si="103"/>
        <v>-3.2767355520917909E-3</v>
      </c>
      <c r="V392" s="31">
        <f t="shared" si="104"/>
        <v>-1.4671950233246824E-3</v>
      </c>
      <c r="W392" s="31">
        <f t="shared" si="105"/>
        <v>-2.4453250388744704E-3</v>
      </c>
      <c r="X392" s="31">
        <f t="shared" si="106"/>
        <v>-8.3141051321731997E-4</v>
      </c>
    </row>
    <row r="393" spans="1:24" ht="14.25" customHeight="1" x14ac:dyDescent="0.25">
      <c r="A393" s="41"/>
      <c r="B393" s="38">
        <v>69</v>
      </c>
      <c r="C393" s="32">
        <v>6</v>
      </c>
      <c r="D393" s="32">
        <v>2.9</v>
      </c>
      <c r="E393" s="32">
        <v>4.5</v>
      </c>
      <c r="F393" s="32">
        <v>1.5</v>
      </c>
      <c r="G393" s="39">
        <v>1</v>
      </c>
      <c r="H393">
        <f t="shared" si="96"/>
        <v>1</v>
      </c>
      <c r="I393" s="38">
        <f t="shared" si="107"/>
        <v>0.2538874129655298</v>
      </c>
      <c r="J393" s="40">
        <f t="shared" si="108"/>
        <v>-0.26361933714864227</v>
      </c>
      <c r="K393" s="40">
        <f t="shared" si="109"/>
        <v>-0.42694614191925923</v>
      </c>
      <c r="L393" s="40">
        <f t="shared" si="110"/>
        <v>1.1075962910703574</v>
      </c>
      <c r="M393" s="40">
        <f t="shared" si="111"/>
        <v>0.81971591653965359</v>
      </c>
      <c r="N393" s="35">
        <f t="shared" si="97"/>
        <v>3.6477847631339131</v>
      </c>
      <c r="O393" s="35">
        <f t="shared" si="98"/>
        <v>0.97461254290276333</v>
      </c>
      <c r="P393" s="36">
        <f t="shared" si="99"/>
        <v>1</v>
      </c>
      <c r="Q393" s="36">
        <f t="shared" si="100"/>
        <v>-2.5387457097236665E-2</v>
      </c>
      <c r="R393" s="37">
        <f t="shared" si="101"/>
        <v>6.4452297786403228E-4</v>
      </c>
      <c r="T393" s="31">
        <f t="shared" si="102"/>
        <v>-1.2563203568306518E-3</v>
      </c>
      <c r="U393" s="31">
        <f t="shared" si="103"/>
        <v>-7.537922140983911E-3</v>
      </c>
      <c r="V393" s="31">
        <f t="shared" si="104"/>
        <v>-3.6433290348088904E-3</v>
      </c>
      <c r="W393" s="31">
        <f t="shared" si="105"/>
        <v>-5.6534416057379333E-3</v>
      </c>
      <c r="X393" s="31">
        <f t="shared" si="106"/>
        <v>-1.8844805352459778E-3</v>
      </c>
    </row>
    <row r="394" spans="1:24" ht="14.25" customHeight="1" x14ac:dyDescent="0.25">
      <c r="A394" s="41"/>
      <c r="B394" s="38">
        <v>70</v>
      </c>
      <c r="C394" s="32">
        <v>5.7</v>
      </c>
      <c r="D394" s="32">
        <v>2.6</v>
      </c>
      <c r="E394" s="32">
        <v>3.5</v>
      </c>
      <c r="F394" s="32">
        <v>1</v>
      </c>
      <c r="G394" s="39">
        <v>1</v>
      </c>
      <c r="H394">
        <f t="shared" si="96"/>
        <v>1</v>
      </c>
      <c r="I394" s="38">
        <f t="shared" si="107"/>
        <v>0.25401304500121286</v>
      </c>
      <c r="J394" s="40">
        <f t="shared" si="108"/>
        <v>-0.26286554493454389</v>
      </c>
      <c r="K394" s="40">
        <f t="shared" si="109"/>
        <v>-0.42658180901577836</v>
      </c>
      <c r="L394" s="40">
        <f t="shared" si="110"/>
        <v>1.1081616352309311</v>
      </c>
      <c r="M394" s="40">
        <f t="shared" si="111"/>
        <v>0.81990436459317817</v>
      </c>
      <c r="N394" s="35">
        <f t="shared" si="97"/>
        <v>2.3450368233347261</v>
      </c>
      <c r="O394" s="35">
        <f t="shared" si="98"/>
        <v>0.91253891849503677</v>
      </c>
      <c r="P394" s="36">
        <f t="shared" si="99"/>
        <v>1</v>
      </c>
      <c r="Q394" s="36">
        <f t="shared" si="100"/>
        <v>-8.7461081504963234E-2</v>
      </c>
      <c r="R394" s="37">
        <f t="shared" si="101"/>
        <v>7.6494407780178216E-3</v>
      </c>
      <c r="T394" s="31">
        <f t="shared" si="102"/>
        <v>-1.3960824829328431E-2</v>
      </c>
      <c r="U394" s="31">
        <f t="shared" si="103"/>
        <v>-7.9576701527172056E-2</v>
      </c>
      <c r="V394" s="31">
        <f t="shared" si="104"/>
        <v>-3.6298144556253922E-2</v>
      </c>
      <c r="W394" s="31">
        <f t="shared" si="105"/>
        <v>-4.8862886902649505E-2</v>
      </c>
      <c r="X394" s="31">
        <f t="shared" si="106"/>
        <v>-1.3960824829328431E-2</v>
      </c>
    </row>
    <row r="395" spans="1:24" ht="14.25" customHeight="1" x14ac:dyDescent="0.25">
      <c r="A395" s="41"/>
      <c r="B395" s="38">
        <v>71</v>
      </c>
      <c r="C395" s="32">
        <v>5.5</v>
      </c>
      <c r="D395" s="32">
        <v>2.4</v>
      </c>
      <c r="E395" s="32">
        <v>3.8</v>
      </c>
      <c r="F395" s="32">
        <v>1.1000000000000001</v>
      </c>
      <c r="G395" s="39">
        <v>1</v>
      </c>
      <c r="H395">
        <f t="shared" si="96"/>
        <v>1</v>
      </c>
      <c r="I395" s="38">
        <f t="shared" si="107"/>
        <v>0.25540912748414568</v>
      </c>
      <c r="J395" s="40">
        <f t="shared" si="108"/>
        <v>-0.25490787478182669</v>
      </c>
      <c r="K395" s="40">
        <f t="shared" si="109"/>
        <v>-0.42295199456015298</v>
      </c>
      <c r="L395" s="40">
        <f t="shared" si="110"/>
        <v>1.1130479239211961</v>
      </c>
      <c r="M395" s="40">
        <f t="shared" si="111"/>
        <v>0.82130044707611105</v>
      </c>
      <c r="N395" s="35">
        <f t="shared" si="97"/>
        <v>2.9713436319239994</v>
      </c>
      <c r="O395" s="35">
        <f t="shared" si="98"/>
        <v>0.95126260832685716</v>
      </c>
      <c r="P395" s="36">
        <f t="shared" si="99"/>
        <v>1</v>
      </c>
      <c r="Q395" s="36">
        <f t="shared" si="100"/>
        <v>-4.8737391673142838E-2</v>
      </c>
      <c r="R395" s="37">
        <f t="shared" si="101"/>
        <v>2.3753333471013328E-3</v>
      </c>
      <c r="T395" s="31">
        <f t="shared" si="102"/>
        <v>-4.5191315908187559E-3</v>
      </c>
      <c r="U395" s="31">
        <f t="shared" si="103"/>
        <v>-2.4855223749503157E-2</v>
      </c>
      <c r="V395" s="31">
        <f t="shared" si="104"/>
        <v>-1.0845915817965015E-2</v>
      </c>
      <c r="W395" s="31">
        <f t="shared" si="105"/>
        <v>-1.7172700045111271E-2</v>
      </c>
      <c r="X395" s="31">
        <f t="shared" si="106"/>
        <v>-4.971044749900632E-3</v>
      </c>
    </row>
    <row r="396" spans="1:24" ht="14.25" customHeight="1" x14ac:dyDescent="0.25">
      <c r="A396" s="41"/>
      <c r="B396" s="38">
        <v>72</v>
      </c>
      <c r="C396" s="32">
        <v>5.5</v>
      </c>
      <c r="D396" s="32">
        <v>2.4</v>
      </c>
      <c r="E396" s="32">
        <v>3.7</v>
      </c>
      <c r="F396" s="32">
        <v>1</v>
      </c>
      <c r="G396" s="39">
        <v>1</v>
      </c>
      <c r="H396">
        <f t="shared" si="96"/>
        <v>1</v>
      </c>
      <c r="I396" s="38">
        <f t="shared" si="107"/>
        <v>0.25586104064322757</v>
      </c>
      <c r="J396" s="40">
        <f t="shared" si="108"/>
        <v>-0.25242235240687638</v>
      </c>
      <c r="K396" s="40">
        <f t="shared" si="109"/>
        <v>-0.42186740297835645</v>
      </c>
      <c r="L396" s="40">
        <f t="shared" si="110"/>
        <v>1.1147651939257073</v>
      </c>
      <c r="M396" s="40">
        <f t="shared" si="111"/>
        <v>0.82179755155110112</v>
      </c>
      <c r="N396" s="35">
        <f t="shared" si="97"/>
        <v>2.8014851043335698</v>
      </c>
      <c r="O396" s="35">
        <f t="shared" si="98"/>
        <v>0.94275602360005639</v>
      </c>
      <c r="P396" s="36">
        <f t="shared" si="99"/>
        <v>1</v>
      </c>
      <c r="Q396" s="36">
        <f t="shared" si="100"/>
        <v>-5.7243976399943608E-2</v>
      </c>
      <c r="R396" s="37">
        <f t="shared" si="101"/>
        <v>3.2768728340773008E-3</v>
      </c>
      <c r="T396" s="31">
        <f t="shared" si="102"/>
        <v>-6.178583205795527E-3</v>
      </c>
      <c r="U396" s="31">
        <f t="shared" si="103"/>
        <v>-3.39822076318754E-2</v>
      </c>
      <c r="V396" s="31">
        <f t="shared" si="104"/>
        <v>-1.4828599693909265E-2</v>
      </c>
      <c r="W396" s="31">
        <f t="shared" si="105"/>
        <v>-2.286075786144345E-2</v>
      </c>
      <c r="X396" s="31">
        <f t="shared" si="106"/>
        <v>-6.178583205795527E-3</v>
      </c>
    </row>
    <row r="397" spans="1:24" ht="14.25" customHeight="1" x14ac:dyDescent="0.25">
      <c r="A397" s="41"/>
      <c r="B397" s="38">
        <v>73</v>
      </c>
      <c r="C397" s="32">
        <v>5.8</v>
      </c>
      <c r="D397" s="32">
        <v>2.7</v>
      </c>
      <c r="E397" s="32">
        <v>3.9</v>
      </c>
      <c r="F397" s="32">
        <v>1.2</v>
      </c>
      <c r="G397" s="39">
        <v>1</v>
      </c>
      <c r="H397">
        <f t="shared" si="96"/>
        <v>1</v>
      </c>
      <c r="I397" s="38">
        <f t="shared" si="107"/>
        <v>0.2564788989638071</v>
      </c>
      <c r="J397" s="40">
        <f t="shared" si="108"/>
        <v>-0.24902413164368883</v>
      </c>
      <c r="K397" s="40">
        <f t="shared" si="109"/>
        <v>-0.42038454300896555</v>
      </c>
      <c r="L397" s="40">
        <f t="shared" si="110"/>
        <v>1.1170512697118515</v>
      </c>
      <c r="M397" s="40">
        <f t="shared" si="111"/>
        <v>0.82241540987168071</v>
      </c>
      <c r="N397" s="35">
        <f t="shared" si="97"/>
        <v>3.0204991130284427</v>
      </c>
      <c r="O397" s="35">
        <f t="shared" si="98"/>
        <v>0.95349166381807315</v>
      </c>
      <c r="P397" s="36">
        <f t="shared" si="99"/>
        <v>1</v>
      </c>
      <c r="Q397" s="36">
        <f t="shared" si="100"/>
        <v>-4.6508336181926846E-2</v>
      </c>
      <c r="R397" s="37">
        <f t="shared" si="101"/>
        <v>2.1630253344111258E-3</v>
      </c>
      <c r="T397" s="31">
        <f t="shared" si="102"/>
        <v>-4.124853249976617E-3</v>
      </c>
      <c r="U397" s="31">
        <f t="shared" si="103"/>
        <v>-2.392414884986438E-2</v>
      </c>
      <c r="V397" s="31">
        <f t="shared" si="104"/>
        <v>-1.1137103774936867E-2</v>
      </c>
      <c r="W397" s="31">
        <f t="shared" si="105"/>
        <v>-1.6086927674908807E-2</v>
      </c>
      <c r="X397" s="31">
        <f t="shared" si="106"/>
        <v>-4.9498238999719406E-3</v>
      </c>
    </row>
    <row r="398" spans="1:24" ht="14.25" customHeight="1" x14ac:dyDescent="0.25">
      <c r="A398" s="41"/>
      <c r="B398" s="38">
        <v>74</v>
      </c>
      <c r="C398" s="32">
        <v>6</v>
      </c>
      <c r="D398" s="32">
        <v>2.7</v>
      </c>
      <c r="E398" s="32">
        <v>5.0999999999999996</v>
      </c>
      <c r="F398" s="32">
        <v>1.6</v>
      </c>
      <c r="G398" s="39">
        <v>1</v>
      </c>
      <c r="H398">
        <f t="shared" si="96"/>
        <v>1</v>
      </c>
      <c r="I398" s="38">
        <f t="shared" si="107"/>
        <v>0.25689138428880476</v>
      </c>
      <c r="J398" s="40">
        <f t="shared" si="108"/>
        <v>-0.24663171675870241</v>
      </c>
      <c r="K398" s="40">
        <f t="shared" si="109"/>
        <v>-0.41927083263147186</v>
      </c>
      <c r="L398" s="40">
        <f t="shared" si="110"/>
        <v>1.1186599624793425</v>
      </c>
      <c r="M398" s="40">
        <f t="shared" si="111"/>
        <v>0.82291039226167795</v>
      </c>
      <c r="N398" s="35">
        <f t="shared" si="97"/>
        <v>4.6668922718949473</v>
      </c>
      <c r="O398" s="35">
        <f t="shared" si="98"/>
        <v>0.99068612257396571</v>
      </c>
      <c r="P398" s="36">
        <f t="shared" si="99"/>
        <v>1</v>
      </c>
      <c r="Q398" s="36">
        <f t="shared" si="100"/>
        <v>-9.3138774260342894E-3</v>
      </c>
      <c r="R398" s="37">
        <f t="shared" si="101"/>
        <v>8.6748312707191118E-5</v>
      </c>
      <c r="T398" s="31">
        <f t="shared" si="102"/>
        <v>-1.7188069911144209E-4</v>
      </c>
      <c r="U398" s="31">
        <f t="shared" si="103"/>
        <v>-1.0312841946686527E-3</v>
      </c>
      <c r="V398" s="31">
        <f t="shared" si="104"/>
        <v>-4.6407788760089369E-4</v>
      </c>
      <c r="W398" s="31">
        <f t="shared" si="105"/>
        <v>-8.7659156546835456E-4</v>
      </c>
      <c r="X398" s="31">
        <f t="shared" si="106"/>
        <v>-2.7500911857830738E-4</v>
      </c>
    </row>
    <row r="399" spans="1:24" ht="14.25" customHeight="1" x14ac:dyDescent="0.25">
      <c r="A399" s="41"/>
      <c r="B399" s="38">
        <v>75</v>
      </c>
      <c r="C399" s="32">
        <v>5.4</v>
      </c>
      <c r="D399" s="32">
        <v>3</v>
      </c>
      <c r="E399" s="32">
        <v>4.5</v>
      </c>
      <c r="F399" s="32">
        <v>1.5</v>
      </c>
      <c r="G399" s="39">
        <v>1</v>
      </c>
      <c r="H399">
        <f t="shared" si="96"/>
        <v>1</v>
      </c>
      <c r="I399" s="38">
        <f t="shared" si="107"/>
        <v>0.25690857235871589</v>
      </c>
      <c r="J399" s="40">
        <f t="shared" si="108"/>
        <v>-0.24652858833923555</v>
      </c>
      <c r="K399" s="40">
        <f t="shared" si="109"/>
        <v>-0.41922442484271177</v>
      </c>
      <c r="L399" s="40">
        <f t="shared" si="110"/>
        <v>1.1187476216358894</v>
      </c>
      <c r="M399" s="40">
        <f t="shared" si="111"/>
        <v>0.82293789317353583</v>
      </c>
      <c r="N399" s="35">
        <f t="shared" si="97"/>
        <v>3.9367520579205149</v>
      </c>
      <c r="O399" s="35">
        <f t="shared" si="98"/>
        <v>0.98086192807390082</v>
      </c>
      <c r="P399" s="36">
        <f t="shared" si="99"/>
        <v>1</v>
      </c>
      <c r="Q399" s="36">
        <f t="shared" si="100"/>
        <v>-1.9138071926099176E-2</v>
      </c>
      <c r="R399" s="37">
        <f t="shared" si="101"/>
        <v>3.6626579704854544E-4</v>
      </c>
      <c r="T399" s="31">
        <f t="shared" si="102"/>
        <v>-7.185123517611207E-4</v>
      </c>
      <c r="U399" s="31">
        <f t="shared" si="103"/>
        <v>-3.8799666995100522E-3</v>
      </c>
      <c r="V399" s="31">
        <f t="shared" si="104"/>
        <v>-2.155537055283362E-3</v>
      </c>
      <c r="W399" s="31">
        <f t="shared" si="105"/>
        <v>-3.233305582925043E-3</v>
      </c>
      <c r="X399" s="31">
        <f t="shared" si="106"/>
        <v>-1.077768527641681E-3</v>
      </c>
    </row>
    <row r="400" spans="1:24" ht="14.25" customHeight="1" x14ac:dyDescent="0.25">
      <c r="A400" s="41"/>
      <c r="B400" s="38">
        <v>76</v>
      </c>
      <c r="C400" s="32">
        <v>6</v>
      </c>
      <c r="D400" s="32">
        <v>3.4</v>
      </c>
      <c r="E400" s="32">
        <v>4.5</v>
      </c>
      <c r="F400" s="32">
        <v>1.6</v>
      </c>
      <c r="G400" s="39">
        <v>1</v>
      </c>
      <c r="H400">
        <f t="shared" si="96"/>
        <v>1</v>
      </c>
      <c r="I400" s="38">
        <f t="shared" si="107"/>
        <v>0.256980423593892</v>
      </c>
      <c r="J400" s="40">
        <f t="shared" si="108"/>
        <v>-0.24614059166928454</v>
      </c>
      <c r="K400" s="40">
        <f t="shared" si="109"/>
        <v>-0.41900887113718344</v>
      </c>
      <c r="L400" s="40">
        <f t="shared" si="110"/>
        <v>1.119070952194182</v>
      </c>
      <c r="M400" s="40">
        <f t="shared" si="111"/>
        <v>0.82304567002630002</v>
      </c>
      <c r="N400" s="35">
        <f t="shared" si="97"/>
        <v>3.7081990686276596</v>
      </c>
      <c r="O400" s="35">
        <f t="shared" si="98"/>
        <v>0.97606527354352546</v>
      </c>
      <c r="P400" s="36">
        <f t="shared" si="99"/>
        <v>1</v>
      </c>
      <c r="Q400" s="36">
        <f t="shared" si="100"/>
        <v>-2.3934726456474542E-2</v>
      </c>
      <c r="R400" s="37">
        <f t="shared" si="101"/>
        <v>5.7287113054626236E-4</v>
      </c>
      <c r="T400" s="31">
        <f t="shared" si="102"/>
        <v>-1.1183192334836525E-3</v>
      </c>
      <c r="U400" s="31">
        <f t="shared" si="103"/>
        <v>-6.7099154009019153E-3</v>
      </c>
      <c r="V400" s="31">
        <f t="shared" si="104"/>
        <v>-3.8022853938444187E-3</v>
      </c>
      <c r="W400" s="31">
        <f t="shared" si="105"/>
        <v>-5.0324365506764362E-3</v>
      </c>
      <c r="X400" s="31">
        <f t="shared" si="106"/>
        <v>-1.7893107735738442E-3</v>
      </c>
    </row>
    <row r="401" spans="1:24" ht="14.25" customHeight="1" x14ac:dyDescent="0.25">
      <c r="A401" s="41"/>
      <c r="B401" s="38">
        <v>77</v>
      </c>
      <c r="C401" s="32">
        <v>6.7</v>
      </c>
      <c r="D401" s="32">
        <v>3.1</v>
      </c>
      <c r="E401" s="32">
        <v>4.7</v>
      </c>
      <c r="F401" s="32">
        <v>1.5</v>
      </c>
      <c r="G401" s="39">
        <v>1</v>
      </c>
      <c r="H401">
        <f t="shared" si="96"/>
        <v>1</v>
      </c>
      <c r="I401" s="38">
        <f t="shared" si="107"/>
        <v>0.25709225551724035</v>
      </c>
      <c r="J401" s="40">
        <f t="shared" si="108"/>
        <v>-0.24546960012919433</v>
      </c>
      <c r="K401" s="40">
        <f t="shared" si="109"/>
        <v>-0.41862864259779897</v>
      </c>
      <c r="L401" s="40">
        <f t="shared" si="110"/>
        <v>1.1195741958492496</v>
      </c>
      <c r="M401" s="40">
        <f t="shared" si="111"/>
        <v>0.82322460110365736</v>
      </c>
      <c r="N401" s="35">
        <f t="shared" si="97"/>
        <v>3.8115327647454205</v>
      </c>
      <c r="O401" s="35">
        <f t="shared" si="98"/>
        <v>0.97836420257202494</v>
      </c>
      <c r="P401" s="36">
        <f t="shared" si="99"/>
        <v>1</v>
      </c>
      <c r="Q401" s="36">
        <f t="shared" si="100"/>
        <v>-2.1635797427975056E-2</v>
      </c>
      <c r="R401" s="37">
        <f t="shared" si="101"/>
        <v>4.6810773034437205E-4</v>
      </c>
      <c r="T401" s="31">
        <f t="shared" si="102"/>
        <v>-9.159596926323441E-4</v>
      </c>
      <c r="U401" s="31">
        <f t="shared" si="103"/>
        <v>-6.1369299406367058E-3</v>
      </c>
      <c r="V401" s="31">
        <f t="shared" si="104"/>
        <v>-2.8394750471602667E-3</v>
      </c>
      <c r="W401" s="31">
        <f t="shared" si="105"/>
        <v>-4.3050105553720172E-3</v>
      </c>
      <c r="X401" s="31">
        <f t="shared" si="106"/>
        <v>-1.3739395389485163E-3</v>
      </c>
    </row>
    <row r="402" spans="1:24" ht="14.25" customHeight="1" x14ac:dyDescent="0.25">
      <c r="A402" s="41"/>
      <c r="B402" s="38">
        <v>78</v>
      </c>
      <c r="C402" s="32">
        <v>6.3</v>
      </c>
      <c r="D402" s="32">
        <v>2.2999999999999998</v>
      </c>
      <c r="E402" s="32">
        <v>4.4000000000000004</v>
      </c>
      <c r="F402" s="32">
        <v>1.3</v>
      </c>
      <c r="G402" s="39">
        <v>1</v>
      </c>
      <c r="H402">
        <f t="shared" si="96"/>
        <v>1</v>
      </c>
      <c r="I402" s="38">
        <f t="shared" si="107"/>
        <v>0.25718385148650358</v>
      </c>
      <c r="J402" s="40">
        <f t="shared" si="108"/>
        <v>-0.24485590713513067</v>
      </c>
      <c r="K402" s="40">
        <f t="shared" si="109"/>
        <v>-0.41834469509308292</v>
      </c>
      <c r="L402" s="40">
        <f t="shared" si="110"/>
        <v>1.1200046969047868</v>
      </c>
      <c r="M402" s="40">
        <f t="shared" si="111"/>
        <v>0.82336199505755225</v>
      </c>
      <c r="N402" s="35">
        <f t="shared" si="97"/>
        <v>3.7507900977769699</v>
      </c>
      <c r="O402" s="35">
        <f t="shared" si="98"/>
        <v>0.97704036063574351</v>
      </c>
      <c r="P402" s="36">
        <f t="shared" si="99"/>
        <v>1</v>
      </c>
      <c r="Q402" s="36">
        <f t="shared" si="100"/>
        <v>-2.295963936425649E-2</v>
      </c>
      <c r="R402" s="37">
        <f t="shared" si="101"/>
        <v>5.2714503973671611E-4</v>
      </c>
      <c r="T402" s="31">
        <f t="shared" si="102"/>
        <v>-1.0300839594634089E-3</v>
      </c>
      <c r="U402" s="31">
        <f t="shared" si="103"/>
        <v>-6.489528944619476E-3</v>
      </c>
      <c r="V402" s="31">
        <f t="shared" si="104"/>
        <v>-2.3691931067658404E-3</v>
      </c>
      <c r="W402" s="31">
        <f t="shared" si="105"/>
        <v>-4.5323694216389994E-3</v>
      </c>
      <c r="X402" s="31">
        <f t="shared" si="106"/>
        <v>-1.3391091473024315E-3</v>
      </c>
    </row>
    <row r="403" spans="1:24" ht="14.25" customHeight="1" x14ac:dyDescent="0.25">
      <c r="A403" s="41"/>
      <c r="B403" s="38">
        <v>79</v>
      </c>
      <c r="C403" s="32">
        <v>5.6</v>
      </c>
      <c r="D403" s="32">
        <v>3</v>
      </c>
      <c r="E403" s="32">
        <v>4.0999999999999996</v>
      </c>
      <c r="F403" s="32">
        <v>1.3</v>
      </c>
      <c r="G403" s="39">
        <v>1</v>
      </c>
      <c r="H403">
        <f t="shared" si="96"/>
        <v>1</v>
      </c>
      <c r="I403" s="38">
        <f t="shared" si="107"/>
        <v>0.25728685988244993</v>
      </c>
      <c r="J403" s="40">
        <f t="shared" si="108"/>
        <v>-0.24420695424066871</v>
      </c>
      <c r="K403" s="40">
        <f t="shared" si="109"/>
        <v>-0.41810777578240632</v>
      </c>
      <c r="L403" s="40">
        <f t="shared" si="110"/>
        <v>1.1204579338469507</v>
      </c>
      <c r="M403" s="40">
        <f t="shared" si="111"/>
        <v>0.8234959059722825</v>
      </c>
      <c r="N403" s="35">
        <f t="shared" si="97"/>
        <v>3.2998267953239511</v>
      </c>
      <c r="O403" s="35">
        <f t="shared" si="98"/>
        <v>0.96442286831057178</v>
      </c>
      <c r="P403" s="36">
        <f t="shared" si="99"/>
        <v>1</v>
      </c>
      <c r="Q403" s="36">
        <f t="shared" si="100"/>
        <v>-3.5577131689428221E-2</v>
      </c>
      <c r="R403" s="37">
        <f t="shared" si="101"/>
        <v>1.2657322992469177E-3</v>
      </c>
      <c r="T403" s="31">
        <f t="shared" si="102"/>
        <v>-2.4414023491060948E-3</v>
      </c>
      <c r="U403" s="31">
        <f t="shared" si="103"/>
        <v>-1.367185315499413E-2</v>
      </c>
      <c r="V403" s="31">
        <f t="shared" si="104"/>
        <v>-7.324207047318284E-3</v>
      </c>
      <c r="W403" s="31">
        <f t="shared" si="105"/>
        <v>-1.0009749631334988E-2</v>
      </c>
      <c r="X403" s="31">
        <f t="shared" si="106"/>
        <v>-3.1738230538379234E-3</v>
      </c>
    </row>
    <row r="404" spans="1:24" ht="14.25" customHeight="1" x14ac:dyDescent="0.25">
      <c r="A404" s="41"/>
      <c r="B404" s="38">
        <v>80</v>
      </c>
      <c r="C404" s="32">
        <v>5.5</v>
      </c>
      <c r="D404" s="32">
        <v>2.5</v>
      </c>
      <c r="E404" s="32">
        <v>4</v>
      </c>
      <c r="F404" s="32">
        <v>1.3</v>
      </c>
      <c r="G404" s="39">
        <v>1</v>
      </c>
      <c r="H404">
        <f t="shared" si="96"/>
        <v>1</v>
      </c>
      <c r="I404" s="38">
        <f t="shared" si="107"/>
        <v>0.25753100011736052</v>
      </c>
      <c r="J404" s="40">
        <f t="shared" si="108"/>
        <v>-0.24283976892516929</v>
      </c>
      <c r="K404" s="40">
        <f t="shared" si="109"/>
        <v>-0.41737535507767448</v>
      </c>
      <c r="L404" s="40">
        <f t="shared" si="110"/>
        <v>1.1214589088100841</v>
      </c>
      <c r="M404" s="40">
        <f t="shared" si="111"/>
        <v>0.82381328827766631</v>
      </c>
      <c r="N404" s="35">
        <f t="shared" si="97"/>
        <v>3.4352667933360461</v>
      </c>
      <c r="O404" s="35">
        <f t="shared" si="98"/>
        <v>0.96878871432668634</v>
      </c>
      <c r="P404" s="36">
        <f t="shared" si="99"/>
        <v>1</v>
      </c>
      <c r="Q404" s="36">
        <f t="shared" si="100"/>
        <v>-3.121128567331366E-2</v>
      </c>
      <c r="R404" s="37">
        <f t="shared" si="101"/>
        <v>9.7414435338119456E-4</v>
      </c>
      <c r="S404">
        <f>AVERAGE(R325:R404)</f>
        <v>1.2740158208926558E-2</v>
      </c>
      <c r="T404" s="31">
        <f t="shared" si="102"/>
        <v>-1.8874801113615374E-3</v>
      </c>
      <c r="U404" s="31">
        <f t="shared" si="103"/>
        <v>-1.0381140612488456E-2</v>
      </c>
      <c r="V404" s="31">
        <f t="shared" si="104"/>
        <v>-4.7187002784038435E-3</v>
      </c>
      <c r="W404" s="31">
        <f t="shared" si="105"/>
        <v>-7.5499204454461495E-3</v>
      </c>
      <c r="X404" s="31">
        <f t="shared" si="106"/>
        <v>-2.4537241447699985E-3</v>
      </c>
    </row>
    <row r="405" spans="1:24" ht="14.25" customHeight="1" x14ac:dyDescent="0.25">
      <c r="B405" s="38"/>
      <c r="C405" s="42"/>
      <c r="D405" s="40"/>
      <c r="E405" s="40"/>
      <c r="F405" s="40"/>
      <c r="G405" s="39"/>
      <c r="I405" s="78"/>
      <c r="J405" s="79"/>
      <c r="K405" s="79"/>
      <c r="L405" s="79"/>
      <c r="M405" s="79"/>
      <c r="N405" s="80"/>
      <c r="O405" s="80"/>
      <c r="P405" s="81"/>
      <c r="Q405" s="81"/>
      <c r="R405" s="82"/>
      <c r="T405" s="31"/>
      <c r="U405" s="31"/>
      <c r="V405" s="31"/>
      <c r="W405" s="31"/>
      <c r="X405" s="31"/>
    </row>
    <row r="406" spans="1:24" ht="14.25" customHeight="1" x14ac:dyDescent="0.25">
      <c r="B406" s="38"/>
      <c r="C406" s="42"/>
      <c r="D406" s="40"/>
      <c r="E406" s="40"/>
      <c r="F406" s="40"/>
      <c r="G406" s="39"/>
      <c r="H406" s="78"/>
      <c r="J406" s="79"/>
      <c r="K406" s="79"/>
      <c r="L406" s="79"/>
      <c r="M406" s="79"/>
      <c r="N406" s="80"/>
      <c r="O406" s="80"/>
      <c r="P406" s="81"/>
      <c r="Q406" s="81"/>
      <c r="R406" s="82"/>
      <c r="T406" s="31"/>
      <c r="U406" s="31"/>
      <c r="V406" s="31"/>
      <c r="W406" s="31"/>
      <c r="X406" s="31"/>
    </row>
    <row r="407" spans="1:24" ht="14.25" customHeight="1" x14ac:dyDescent="0.25">
      <c r="B407" s="38" t="s">
        <v>37</v>
      </c>
      <c r="C407" s="42"/>
      <c r="D407" s="40"/>
      <c r="E407" s="40" t="s">
        <v>38</v>
      </c>
      <c r="F407" s="40"/>
      <c r="G407" s="39"/>
      <c r="I407" s="78"/>
      <c r="J407" s="79"/>
      <c r="K407" s="79"/>
      <c r="L407" s="79"/>
      <c r="M407" s="79"/>
      <c r="N407" s="80"/>
      <c r="O407" s="80"/>
      <c r="P407" s="81"/>
      <c r="Q407" s="81"/>
      <c r="R407" s="82"/>
      <c r="T407" s="31"/>
      <c r="U407" s="31"/>
      <c r="V407" s="31"/>
      <c r="W407" s="31"/>
      <c r="X407" s="31"/>
    </row>
    <row r="408" spans="1:24" ht="14.25" customHeight="1" x14ac:dyDescent="0.25">
      <c r="B408" s="38" t="s">
        <v>39</v>
      </c>
      <c r="C408" s="42" t="s">
        <v>40</v>
      </c>
      <c r="D408" s="40"/>
      <c r="E408" s="40" t="s">
        <v>39</v>
      </c>
      <c r="F408" s="40" t="s">
        <v>41</v>
      </c>
      <c r="G408" s="39"/>
      <c r="I408" s="78"/>
      <c r="J408" s="79"/>
      <c r="K408" s="79"/>
      <c r="L408" s="79"/>
      <c r="M408" s="79"/>
      <c r="N408" s="80"/>
      <c r="O408" s="80"/>
      <c r="P408" s="81"/>
      <c r="Q408" s="81"/>
      <c r="R408" s="82"/>
      <c r="T408" s="31"/>
      <c r="U408" s="31"/>
      <c r="V408" s="31"/>
      <c r="W408" s="31"/>
      <c r="X408" s="31"/>
    </row>
    <row r="409" spans="1:24" ht="14.25" customHeight="1" x14ac:dyDescent="0.25">
      <c r="B409" s="38" t="s">
        <v>42</v>
      </c>
      <c r="C409" s="42">
        <f>S84</f>
        <v>0.44988865513952919</v>
      </c>
      <c r="D409" s="40"/>
      <c r="E409" s="40" t="s">
        <v>42</v>
      </c>
      <c r="F409" s="40">
        <f>SUM(H5:H84)/80</f>
        <v>0.52500000000000002</v>
      </c>
      <c r="G409" s="39"/>
      <c r="I409" s="78"/>
      <c r="J409" s="79"/>
      <c r="K409" s="79"/>
      <c r="L409" s="79"/>
      <c r="M409" s="79"/>
      <c r="N409" s="80"/>
      <c r="O409" s="80"/>
      <c r="P409" s="81"/>
      <c r="Q409" s="81"/>
      <c r="R409" s="82"/>
      <c r="T409" s="31"/>
      <c r="U409" s="31"/>
      <c r="V409" s="31"/>
      <c r="W409" s="31"/>
      <c r="X409" s="31"/>
    </row>
    <row r="410" spans="1:24" ht="14.25" customHeight="1" x14ac:dyDescent="0.25">
      <c r="B410" s="38" t="s">
        <v>43</v>
      </c>
      <c r="C410" s="42">
        <f>S164</f>
        <v>3.74519142280995E-2</v>
      </c>
      <c r="D410" s="40"/>
      <c r="E410" s="40" t="s">
        <v>43</v>
      </c>
      <c r="F410" s="40">
        <f>SUM(H85:H164)/80</f>
        <v>0.95</v>
      </c>
      <c r="G410" s="39"/>
      <c r="I410" s="78"/>
      <c r="J410" s="79"/>
      <c r="K410" s="79"/>
      <c r="L410" s="79"/>
      <c r="M410" s="79"/>
      <c r="N410" s="80"/>
      <c r="O410" s="80"/>
      <c r="P410" s="81"/>
      <c r="Q410" s="81"/>
      <c r="R410" s="82"/>
      <c r="T410" s="31"/>
      <c r="U410" s="31"/>
      <c r="V410" s="31"/>
      <c r="W410" s="31"/>
      <c r="X410" s="31"/>
    </row>
    <row r="411" spans="1:24" ht="14.25" customHeight="1" x14ac:dyDescent="0.25">
      <c r="B411" s="38" t="s">
        <v>44</v>
      </c>
      <c r="C411" s="42">
        <f>S244</f>
        <v>2.4372194996393773E-2</v>
      </c>
      <c r="D411" s="40"/>
      <c r="E411" s="40" t="s">
        <v>44</v>
      </c>
      <c r="F411" s="40">
        <f>SUM(H165:H244)/80</f>
        <v>0.97499999999999998</v>
      </c>
      <c r="G411" s="39"/>
      <c r="I411" s="78"/>
      <c r="J411" s="79"/>
      <c r="K411" s="79"/>
      <c r="L411" s="79"/>
      <c r="M411" s="79"/>
      <c r="N411" s="80"/>
      <c r="O411" s="80"/>
      <c r="P411" s="81"/>
      <c r="Q411" s="81"/>
      <c r="R411" s="82"/>
      <c r="T411" s="31"/>
      <c r="U411" s="31"/>
      <c r="V411" s="31"/>
      <c r="W411" s="31"/>
      <c r="X411" s="31"/>
    </row>
    <row r="412" spans="1:24" ht="14.25" customHeight="1" x14ac:dyDescent="0.25">
      <c r="B412" s="38" t="s">
        <v>45</v>
      </c>
      <c r="C412" s="42">
        <f>S324</f>
        <v>1.7357201678426602E-2</v>
      </c>
      <c r="D412" s="40"/>
      <c r="E412" s="40" t="s">
        <v>45</v>
      </c>
      <c r="F412" s="40">
        <f>SUM(H245:H324)/80</f>
        <v>0.97499999999999998</v>
      </c>
      <c r="G412" s="39"/>
      <c r="I412" s="78"/>
      <c r="J412" s="79"/>
      <c r="K412" s="79"/>
      <c r="L412" s="79"/>
      <c r="M412" s="79"/>
      <c r="N412" s="80"/>
      <c r="O412" s="80"/>
      <c r="P412" s="81"/>
      <c r="Q412" s="81"/>
      <c r="R412" s="82"/>
      <c r="T412" s="31"/>
      <c r="U412" s="31"/>
      <c r="V412" s="31"/>
      <c r="W412" s="31"/>
      <c r="X412" s="31"/>
    </row>
    <row r="413" spans="1:24" ht="14.25" customHeight="1" x14ac:dyDescent="0.25">
      <c r="B413" s="38" t="s">
        <v>46</v>
      </c>
      <c r="C413" s="42">
        <f>S404</f>
        <v>1.2740158208926558E-2</v>
      </c>
      <c r="D413" s="40"/>
      <c r="E413" s="40" t="s">
        <v>46</v>
      </c>
      <c r="F413" s="40">
        <f>SUM(H325:H404)/80</f>
        <v>0.98750000000000004</v>
      </c>
      <c r="G413" s="39"/>
      <c r="I413" s="78"/>
      <c r="J413" s="79"/>
      <c r="K413" s="79"/>
      <c r="L413" s="79"/>
      <c r="M413" s="79"/>
      <c r="N413" s="80"/>
      <c r="O413" s="80"/>
      <c r="P413" s="81"/>
      <c r="Q413" s="81"/>
      <c r="R413" s="82"/>
      <c r="T413" s="31"/>
      <c r="U413" s="31"/>
      <c r="V413" s="31"/>
      <c r="W413" s="31"/>
      <c r="X413" s="31"/>
    </row>
    <row r="414" spans="1:24" ht="14.25" customHeight="1" x14ac:dyDescent="0.25">
      <c r="B414" s="73"/>
      <c r="C414" s="74"/>
      <c r="D414" s="75"/>
      <c r="E414" s="75"/>
      <c r="F414" s="75"/>
      <c r="G414" s="76"/>
      <c r="I414" s="78"/>
      <c r="J414" s="79"/>
      <c r="K414" s="79"/>
      <c r="L414" s="79"/>
      <c r="M414" s="79"/>
      <c r="N414" s="80"/>
      <c r="O414" s="80"/>
      <c r="P414" s="81"/>
      <c r="Q414" s="81"/>
      <c r="R414" s="82"/>
      <c r="T414" s="31"/>
      <c r="U414" s="31"/>
      <c r="V414" s="31"/>
      <c r="W414" s="31"/>
      <c r="X414" s="31"/>
    </row>
    <row r="415" spans="1:24" ht="14.25" customHeight="1" x14ac:dyDescent="0.25">
      <c r="B415" s="75"/>
      <c r="C415" s="74"/>
      <c r="D415" s="75"/>
      <c r="E415" s="75"/>
      <c r="F415" s="75"/>
      <c r="G415" s="77"/>
      <c r="I415" s="78"/>
      <c r="J415" s="79"/>
      <c r="K415" s="79"/>
      <c r="L415" s="79"/>
      <c r="M415" s="79"/>
      <c r="N415" s="80"/>
      <c r="O415" s="80"/>
      <c r="P415" s="81"/>
      <c r="Q415" s="81"/>
      <c r="R415" s="82"/>
      <c r="T415" s="31"/>
      <c r="U415" s="31"/>
      <c r="V415" s="31"/>
      <c r="W415" s="31"/>
      <c r="X415" s="31"/>
    </row>
    <row r="416" spans="1:24" ht="14.25" customHeight="1" x14ac:dyDescent="0.25">
      <c r="B416" s="75"/>
      <c r="C416" s="74"/>
      <c r="D416" s="75"/>
      <c r="E416" s="75"/>
      <c r="F416" s="75"/>
      <c r="G416" s="77"/>
      <c r="I416" s="78"/>
      <c r="J416" s="79"/>
      <c r="K416" s="79"/>
      <c r="L416" s="79"/>
      <c r="M416" s="79"/>
      <c r="N416" s="80"/>
      <c r="O416" s="80"/>
      <c r="P416" s="81"/>
      <c r="Q416" s="81"/>
      <c r="R416" s="82"/>
      <c r="T416" s="31"/>
      <c r="U416" s="31"/>
      <c r="V416" s="31"/>
      <c r="W416" s="31"/>
      <c r="X416" s="31"/>
    </row>
    <row r="417" spans="2:24" ht="14.25" customHeight="1" x14ac:dyDescent="0.25">
      <c r="B417" s="75"/>
      <c r="C417" s="74"/>
      <c r="D417" s="75"/>
      <c r="E417" s="75"/>
      <c r="F417" s="75"/>
      <c r="G417" s="77"/>
      <c r="I417" s="78"/>
      <c r="J417" s="79"/>
      <c r="K417" s="79"/>
      <c r="L417" s="79"/>
      <c r="M417" s="79"/>
      <c r="N417" s="80"/>
      <c r="O417" s="80"/>
      <c r="P417" s="81"/>
      <c r="Q417" s="81"/>
      <c r="R417" s="82"/>
      <c r="T417" s="31"/>
      <c r="U417" s="31"/>
      <c r="V417" s="31"/>
      <c r="W417" s="31"/>
      <c r="X417" s="31"/>
    </row>
    <row r="418" spans="2:24" ht="14.25" customHeight="1" x14ac:dyDescent="0.25">
      <c r="B418" s="75"/>
      <c r="C418" s="74"/>
      <c r="D418" s="75"/>
      <c r="E418" s="75"/>
      <c r="F418" s="75"/>
      <c r="G418" s="77"/>
      <c r="I418" s="78"/>
      <c r="J418" s="79"/>
      <c r="K418" s="79"/>
      <c r="L418" s="79"/>
      <c r="M418" s="79"/>
      <c r="N418" s="80"/>
      <c r="O418" s="80"/>
      <c r="P418" s="81"/>
      <c r="Q418" s="81"/>
      <c r="R418" s="82"/>
      <c r="T418" s="31"/>
      <c r="U418" s="31"/>
      <c r="V418" s="31"/>
      <c r="W418" s="31"/>
      <c r="X418" s="31"/>
    </row>
    <row r="419" spans="2:24" ht="14.25" customHeight="1" x14ac:dyDescent="0.25">
      <c r="B419" s="75"/>
      <c r="C419" s="74"/>
      <c r="D419" s="75"/>
      <c r="E419" s="75"/>
      <c r="F419" s="75"/>
      <c r="G419" s="77"/>
      <c r="I419" s="78"/>
      <c r="J419" s="79"/>
      <c r="K419" s="79"/>
      <c r="L419" s="79"/>
      <c r="M419" s="79"/>
      <c r="N419" s="80"/>
      <c r="O419" s="80"/>
      <c r="P419" s="81"/>
      <c r="Q419" s="81"/>
      <c r="R419" s="82"/>
      <c r="T419" s="31"/>
      <c r="U419" s="31"/>
      <c r="V419" s="31"/>
      <c r="W419" s="31"/>
      <c r="X419" s="31"/>
    </row>
    <row r="420" spans="2:24" ht="14.25" customHeight="1" x14ac:dyDescent="0.25">
      <c r="B420" s="75"/>
      <c r="C420" s="74"/>
      <c r="D420" s="75"/>
      <c r="E420" s="75"/>
      <c r="F420" s="75"/>
      <c r="G420" s="77"/>
      <c r="I420" s="78"/>
      <c r="J420" s="79"/>
      <c r="K420" s="79"/>
      <c r="L420" s="79"/>
      <c r="M420" s="79"/>
      <c r="N420" s="80"/>
      <c r="O420" s="80"/>
      <c r="P420" s="81"/>
      <c r="Q420" s="81"/>
      <c r="R420" s="82"/>
      <c r="T420" s="31"/>
      <c r="U420" s="31"/>
      <c r="V420" s="31"/>
      <c r="W420" s="31"/>
      <c r="X420" s="31"/>
    </row>
    <row r="421" spans="2:24" ht="14.25" customHeight="1" x14ac:dyDescent="0.25">
      <c r="B421" s="75"/>
      <c r="C421" s="74"/>
      <c r="D421" s="75"/>
      <c r="E421" s="75"/>
      <c r="F421" s="75"/>
      <c r="G421" s="77"/>
      <c r="I421" s="78"/>
      <c r="J421" s="79"/>
      <c r="K421" s="79"/>
      <c r="L421" s="79"/>
      <c r="M421" s="79"/>
      <c r="N421" s="80"/>
      <c r="O421" s="80"/>
      <c r="P421" s="81"/>
      <c r="Q421" s="81"/>
      <c r="R421" s="82"/>
      <c r="T421" s="31"/>
      <c r="U421" s="31"/>
      <c r="V421" s="31"/>
      <c r="W421" s="31"/>
      <c r="X421" s="31"/>
    </row>
    <row r="422" spans="2:24" ht="14.25" customHeight="1" x14ac:dyDescent="0.25">
      <c r="B422" s="75"/>
      <c r="C422" s="74"/>
      <c r="D422" s="75"/>
      <c r="E422" s="75"/>
      <c r="F422" s="75"/>
      <c r="G422" s="77"/>
      <c r="I422" s="78"/>
      <c r="J422" s="79"/>
      <c r="K422" s="79"/>
      <c r="L422" s="79"/>
      <c r="M422" s="79"/>
      <c r="N422" s="80"/>
      <c r="O422" s="80"/>
      <c r="P422" s="81"/>
      <c r="Q422" s="81"/>
      <c r="R422" s="82"/>
      <c r="T422" s="31"/>
      <c r="U422" s="31"/>
      <c r="V422" s="31"/>
      <c r="W422" s="31"/>
      <c r="X422" s="31"/>
    </row>
    <row r="423" spans="2:24" ht="14.25" customHeight="1" x14ac:dyDescent="0.25">
      <c r="B423" s="75"/>
      <c r="C423" s="74"/>
      <c r="D423" s="75"/>
      <c r="E423" s="75"/>
      <c r="F423" s="75"/>
      <c r="G423" s="77"/>
      <c r="I423" s="78"/>
      <c r="J423" s="79"/>
      <c r="K423" s="79"/>
      <c r="L423" s="79"/>
      <c r="M423" s="79"/>
      <c r="N423" s="80"/>
      <c r="O423" s="80"/>
      <c r="P423" s="81"/>
      <c r="Q423" s="81"/>
      <c r="R423" s="82"/>
      <c r="T423" s="31"/>
      <c r="U423" s="31"/>
      <c r="V423" s="31"/>
      <c r="W423" s="31"/>
      <c r="X423" s="31"/>
    </row>
    <row r="424" spans="2:24" ht="14.25" customHeight="1" x14ac:dyDescent="0.25">
      <c r="B424" s="75"/>
      <c r="C424" s="74"/>
      <c r="D424" s="75"/>
      <c r="E424" s="75"/>
      <c r="F424" s="75"/>
      <c r="G424" s="77"/>
      <c r="I424" s="78"/>
      <c r="J424" s="79"/>
      <c r="K424" s="79"/>
      <c r="L424" s="79"/>
      <c r="M424" s="79"/>
      <c r="N424" s="80"/>
      <c r="O424" s="80"/>
      <c r="P424" s="81"/>
      <c r="Q424" s="81"/>
      <c r="R424" s="82"/>
      <c r="T424" s="31"/>
      <c r="U424" s="31"/>
      <c r="V424" s="31"/>
      <c r="W424" s="31"/>
      <c r="X424" s="31"/>
    </row>
    <row r="425" spans="2:24" ht="14.25" customHeight="1" x14ac:dyDescent="0.25">
      <c r="B425" s="75"/>
      <c r="C425" s="74"/>
      <c r="D425" s="75"/>
      <c r="E425" s="75"/>
      <c r="F425" s="75"/>
      <c r="G425" s="77"/>
      <c r="I425" s="78"/>
      <c r="J425" s="79"/>
      <c r="K425" s="79"/>
      <c r="L425" s="79"/>
      <c r="M425" s="79"/>
      <c r="N425" s="80"/>
      <c r="O425" s="80"/>
      <c r="P425" s="81"/>
      <c r="Q425" s="81"/>
      <c r="R425" s="82"/>
      <c r="T425" s="31"/>
      <c r="U425" s="31"/>
      <c r="V425" s="31"/>
      <c r="W425" s="31"/>
      <c r="X425" s="31"/>
    </row>
    <row r="426" spans="2:24" ht="14.25" customHeight="1" x14ac:dyDescent="0.25">
      <c r="B426" s="75"/>
      <c r="C426" s="74"/>
      <c r="D426" s="75"/>
      <c r="E426" s="75"/>
      <c r="F426" s="75"/>
      <c r="G426" s="77"/>
      <c r="I426" s="78"/>
      <c r="J426" s="79"/>
      <c r="K426" s="79"/>
      <c r="L426" s="79"/>
      <c r="M426" s="79"/>
      <c r="N426" s="80"/>
      <c r="O426" s="80"/>
      <c r="P426" s="81"/>
      <c r="Q426" s="81"/>
      <c r="R426" s="82"/>
      <c r="T426" s="31"/>
      <c r="U426" s="31"/>
      <c r="V426" s="31"/>
      <c r="W426" s="31"/>
      <c r="X426" s="31"/>
    </row>
    <row r="427" spans="2:24" ht="14.25" customHeight="1" x14ac:dyDescent="0.25">
      <c r="B427" s="75"/>
      <c r="C427" s="74"/>
      <c r="D427" s="75"/>
      <c r="E427" s="75"/>
      <c r="F427" s="75"/>
      <c r="G427" s="77"/>
      <c r="I427" s="78"/>
      <c r="J427" s="79"/>
      <c r="K427" s="79"/>
      <c r="L427" s="79"/>
      <c r="M427" s="79"/>
      <c r="N427" s="80"/>
      <c r="O427" s="80"/>
      <c r="P427" s="81"/>
      <c r="Q427" s="81"/>
      <c r="R427" s="82"/>
      <c r="T427" s="31"/>
      <c r="U427" s="31"/>
      <c r="V427" s="31"/>
      <c r="W427" s="31"/>
      <c r="X427" s="31"/>
    </row>
    <row r="428" spans="2:24" ht="14.25" customHeight="1" x14ac:dyDescent="0.25">
      <c r="B428" s="75"/>
      <c r="C428" s="74"/>
      <c r="D428" s="75"/>
      <c r="E428" s="75"/>
      <c r="F428" s="75"/>
      <c r="G428" s="77"/>
      <c r="I428" s="78"/>
      <c r="J428" s="79"/>
      <c r="K428" s="79"/>
      <c r="L428" s="79"/>
      <c r="M428" s="79"/>
      <c r="N428" s="80"/>
      <c r="O428" s="80"/>
      <c r="P428" s="81"/>
      <c r="Q428" s="81"/>
      <c r="R428" s="82"/>
      <c r="T428" s="31"/>
      <c r="U428" s="31"/>
      <c r="V428" s="31"/>
      <c r="W428" s="31"/>
      <c r="X428" s="31"/>
    </row>
    <row r="429" spans="2:24" ht="14.25" customHeight="1" x14ac:dyDescent="0.25">
      <c r="B429" s="75"/>
      <c r="C429" s="74"/>
      <c r="D429" s="75"/>
      <c r="E429" s="75"/>
      <c r="F429" s="75"/>
      <c r="G429" s="77"/>
      <c r="I429" s="78"/>
      <c r="J429" s="79"/>
      <c r="K429" s="79"/>
      <c r="L429" s="79"/>
      <c r="M429" s="79"/>
      <c r="N429" s="80"/>
      <c r="O429" s="80"/>
      <c r="P429" s="81"/>
      <c r="Q429" s="81"/>
      <c r="R429" s="82"/>
      <c r="T429" s="31"/>
      <c r="U429" s="31"/>
      <c r="V429" s="31"/>
      <c r="W429" s="31"/>
      <c r="X429" s="31"/>
    </row>
    <row r="430" spans="2:24" ht="14.25" customHeight="1" x14ac:dyDescent="0.25">
      <c r="B430" s="75"/>
      <c r="C430" s="74"/>
      <c r="D430" s="75"/>
      <c r="E430" s="75"/>
      <c r="F430" s="75"/>
      <c r="G430" s="77"/>
      <c r="I430" s="78"/>
      <c r="J430" s="79"/>
      <c r="K430" s="79"/>
      <c r="L430" s="79"/>
      <c r="M430" s="79"/>
      <c r="N430" s="80"/>
      <c r="O430" s="80"/>
      <c r="P430" s="81"/>
      <c r="Q430" s="81"/>
      <c r="R430" s="82"/>
      <c r="T430" s="31"/>
      <c r="U430" s="31"/>
      <c r="V430" s="31"/>
      <c r="W430" s="31"/>
      <c r="X430" s="31"/>
    </row>
    <row r="431" spans="2:24" ht="14.25" customHeight="1" x14ac:dyDescent="0.25">
      <c r="B431" s="75"/>
      <c r="C431" s="74"/>
      <c r="D431" s="75"/>
      <c r="E431" s="75"/>
      <c r="F431" s="75"/>
      <c r="G431" s="77"/>
      <c r="I431" s="78"/>
      <c r="J431" s="79"/>
      <c r="K431" s="79"/>
      <c r="L431" s="79"/>
      <c r="M431" s="79"/>
      <c r="N431" s="80"/>
      <c r="O431" s="80"/>
      <c r="P431" s="81"/>
      <c r="Q431" s="81"/>
      <c r="R431" s="82"/>
      <c r="T431" s="31"/>
      <c r="U431" s="31"/>
      <c r="V431" s="31"/>
      <c r="W431" s="31"/>
      <c r="X431" s="31"/>
    </row>
    <row r="432" spans="2:24" ht="14.25" customHeight="1" x14ac:dyDescent="0.25">
      <c r="B432" s="75"/>
      <c r="C432" s="74"/>
      <c r="D432" s="75"/>
      <c r="E432" s="75"/>
      <c r="F432" s="75"/>
      <c r="G432" s="77"/>
      <c r="I432" s="78"/>
      <c r="J432" s="79"/>
      <c r="K432" s="79"/>
      <c r="L432" s="79"/>
      <c r="M432" s="79"/>
      <c r="N432" s="80"/>
      <c r="O432" s="80"/>
      <c r="P432" s="81"/>
      <c r="Q432" s="81"/>
      <c r="R432" s="82"/>
      <c r="T432" s="31"/>
      <c r="U432" s="31"/>
      <c r="V432" s="31"/>
      <c r="W432" s="31"/>
      <c r="X432" s="31"/>
    </row>
    <row r="433" spans="2:24" ht="14.25" customHeight="1" x14ac:dyDescent="0.25">
      <c r="B433" s="75"/>
      <c r="C433" s="74"/>
      <c r="D433" s="75"/>
      <c r="E433" s="75"/>
      <c r="F433" s="75"/>
      <c r="G433" s="77"/>
      <c r="I433" s="78"/>
      <c r="J433" s="79"/>
      <c r="K433" s="79"/>
      <c r="L433" s="79"/>
      <c r="M433" s="79"/>
      <c r="N433" s="80"/>
      <c r="O433" s="80"/>
      <c r="P433" s="81"/>
      <c r="Q433" s="81"/>
      <c r="R433" s="82"/>
      <c r="T433" s="31"/>
      <c r="U433" s="31"/>
      <c r="V433" s="31"/>
      <c r="W433" s="31"/>
      <c r="X433" s="31"/>
    </row>
    <row r="434" spans="2:24" ht="14.25" customHeight="1" x14ac:dyDescent="0.25">
      <c r="B434" s="75"/>
      <c r="C434" s="74"/>
      <c r="D434" s="75"/>
      <c r="E434" s="75"/>
      <c r="F434" s="75"/>
      <c r="G434" s="77"/>
      <c r="I434" s="78"/>
      <c r="J434" s="79"/>
      <c r="K434" s="79"/>
      <c r="L434" s="79"/>
      <c r="M434" s="79"/>
      <c r="N434" s="80"/>
      <c r="O434" s="80"/>
      <c r="P434" s="81"/>
      <c r="Q434" s="81"/>
      <c r="R434" s="82"/>
      <c r="T434" s="31"/>
      <c r="U434" s="31"/>
      <c r="V434" s="31"/>
      <c r="W434" s="31"/>
      <c r="X434" s="31"/>
    </row>
    <row r="435" spans="2:24" ht="14.25" customHeight="1" x14ac:dyDescent="0.25">
      <c r="B435" s="75"/>
      <c r="C435" s="74"/>
      <c r="D435" s="75"/>
      <c r="E435" s="75"/>
      <c r="F435" s="75"/>
      <c r="G435" s="77"/>
      <c r="I435" s="78"/>
      <c r="J435" s="79"/>
      <c r="K435" s="79"/>
      <c r="L435" s="79"/>
      <c r="M435" s="79"/>
      <c r="N435" s="80"/>
      <c r="O435" s="80"/>
      <c r="P435" s="81"/>
      <c r="Q435" s="81"/>
      <c r="R435" s="82"/>
      <c r="T435" s="31"/>
      <c r="U435" s="31"/>
      <c r="V435" s="31"/>
      <c r="W435" s="31"/>
      <c r="X435" s="31"/>
    </row>
    <row r="436" spans="2:24" ht="14.25" customHeight="1" x14ac:dyDescent="0.25">
      <c r="B436" s="75"/>
      <c r="C436" s="74"/>
      <c r="D436" s="75"/>
      <c r="E436" s="75"/>
      <c r="F436" s="75"/>
      <c r="G436" s="77"/>
      <c r="I436" s="78"/>
      <c r="J436" s="79"/>
      <c r="K436" s="79"/>
      <c r="L436" s="79"/>
      <c r="M436" s="79"/>
      <c r="N436" s="80"/>
      <c r="O436" s="80"/>
      <c r="P436" s="81"/>
      <c r="Q436" s="81"/>
      <c r="R436" s="82"/>
      <c r="T436" s="31"/>
      <c r="U436" s="31"/>
      <c r="V436" s="31"/>
      <c r="W436" s="31"/>
      <c r="X436" s="31"/>
    </row>
    <row r="437" spans="2:24" ht="14.25" customHeight="1" x14ac:dyDescent="0.25">
      <c r="B437" s="75"/>
      <c r="C437" s="74"/>
      <c r="D437" s="75"/>
      <c r="E437" s="75"/>
      <c r="F437" s="75"/>
      <c r="G437" s="77"/>
      <c r="I437" s="78"/>
      <c r="J437" s="79"/>
      <c r="K437" s="79"/>
      <c r="L437" s="79"/>
      <c r="M437" s="79"/>
      <c r="N437" s="80"/>
      <c r="O437" s="80"/>
      <c r="P437" s="81"/>
      <c r="Q437" s="81"/>
      <c r="R437" s="82"/>
      <c r="T437" s="31"/>
      <c r="U437" s="31"/>
      <c r="V437" s="31"/>
      <c r="W437" s="31"/>
      <c r="X437" s="31"/>
    </row>
    <row r="438" spans="2:24" ht="14.25" customHeight="1" x14ac:dyDescent="0.25">
      <c r="B438" s="75"/>
      <c r="C438" s="74"/>
      <c r="D438" s="75"/>
      <c r="E438" s="75"/>
      <c r="F438" s="75"/>
      <c r="G438" s="77"/>
      <c r="I438" s="78"/>
      <c r="J438" s="79"/>
      <c r="K438" s="79"/>
      <c r="L438" s="79"/>
      <c r="M438" s="79"/>
      <c r="N438" s="80"/>
      <c r="O438" s="80"/>
      <c r="P438" s="81"/>
      <c r="Q438" s="81"/>
      <c r="R438" s="82"/>
      <c r="T438" s="31"/>
      <c r="U438" s="31"/>
      <c r="V438" s="31"/>
      <c r="W438" s="31"/>
      <c r="X438" s="31"/>
    </row>
    <row r="439" spans="2:24" ht="14.25" customHeight="1" x14ac:dyDescent="0.25">
      <c r="B439" s="75"/>
      <c r="C439" s="74"/>
      <c r="D439" s="75"/>
      <c r="E439" s="75"/>
      <c r="F439" s="75"/>
      <c r="G439" s="77"/>
      <c r="I439" s="78"/>
      <c r="J439" s="79"/>
      <c r="K439" s="79"/>
      <c r="L439" s="79"/>
      <c r="M439" s="79"/>
      <c r="N439" s="80"/>
      <c r="O439" s="80"/>
      <c r="P439" s="81"/>
      <c r="Q439" s="81"/>
      <c r="R439" s="82"/>
      <c r="T439" s="31"/>
      <c r="U439" s="31"/>
      <c r="V439" s="31"/>
      <c r="W439" s="31"/>
      <c r="X439" s="31"/>
    </row>
    <row r="440" spans="2:24" ht="14.25" customHeight="1" x14ac:dyDescent="0.25">
      <c r="B440" s="75"/>
      <c r="C440" s="74"/>
      <c r="D440" s="75"/>
      <c r="E440" s="75"/>
      <c r="F440" s="75"/>
      <c r="G440" s="77"/>
      <c r="I440" s="78"/>
      <c r="J440" s="79"/>
      <c r="K440" s="79"/>
      <c r="L440" s="79"/>
      <c r="M440" s="79"/>
      <c r="N440" s="80"/>
      <c r="O440" s="80"/>
      <c r="P440" s="81"/>
      <c r="Q440" s="81"/>
      <c r="R440" s="82"/>
      <c r="T440" s="31"/>
      <c r="U440" s="31"/>
      <c r="V440" s="31"/>
      <c r="W440" s="31"/>
      <c r="X440" s="31"/>
    </row>
    <row r="441" spans="2:24" ht="14.25" customHeight="1" x14ac:dyDescent="0.25">
      <c r="B441" s="75"/>
      <c r="C441" s="74"/>
      <c r="D441" s="75"/>
      <c r="E441" s="75"/>
      <c r="F441" s="75"/>
      <c r="G441" s="77"/>
      <c r="I441" s="78"/>
      <c r="J441" s="79"/>
      <c r="K441" s="79"/>
      <c r="L441" s="79"/>
      <c r="M441" s="79"/>
      <c r="N441" s="80"/>
      <c r="O441" s="80"/>
      <c r="P441" s="81"/>
      <c r="Q441" s="81"/>
      <c r="R441" s="82"/>
      <c r="T441" s="31"/>
      <c r="U441" s="31"/>
      <c r="V441" s="31"/>
      <c r="W441" s="31"/>
      <c r="X441" s="31"/>
    </row>
    <row r="442" spans="2:24" ht="14.25" customHeight="1" x14ac:dyDescent="0.25">
      <c r="B442" s="75"/>
      <c r="C442" s="74"/>
      <c r="D442" s="75"/>
      <c r="E442" s="75"/>
      <c r="F442" s="75"/>
      <c r="G442" s="77"/>
      <c r="I442" s="78"/>
      <c r="J442" s="79"/>
      <c r="K442" s="79"/>
      <c r="L442" s="79"/>
      <c r="M442" s="79"/>
      <c r="N442" s="80"/>
      <c r="O442" s="80"/>
      <c r="P442" s="81"/>
      <c r="Q442" s="81"/>
      <c r="R442" s="82"/>
      <c r="T442" s="31"/>
      <c r="U442" s="31"/>
      <c r="V442" s="31"/>
      <c r="W442" s="31"/>
      <c r="X442" s="31"/>
    </row>
    <row r="443" spans="2:24" ht="14.25" customHeight="1" x14ac:dyDescent="0.25">
      <c r="B443" s="75"/>
      <c r="C443" s="74"/>
      <c r="D443" s="75"/>
      <c r="E443" s="75"/>
      <c r="F443" s="75"/>
      <c r="G443" s="77"/>
      <c r="I443" s="78"/>
      <c r="J443" s="79"/>
      <c r="K443" s="79"/>
      <c r="L443" s="79"/>
      <c r="M443" s="79"/>
      <c r="N443" s="80"/>
      <c r="O443" s="80"/>
      <c r="P443" s="81"/>
      <c r="Q443" s="81"/>
      <c r="R443" s="82"/>
      <c r="T443" s="31"/>
      <c r="U443" s="31"/>
      <c r="V443" s="31"/>
      <c r="W443" s="31"/>
      <c r="X443" s="31"/>
    </row>
    <row r="444" spans="2:24" ht="14.25" customHeight="1" x14ac:dyDescent="0.25">
      <c r="B444" s="75"/>
      <c r="C444" s="74"/>
      <c r="D444" s="75"/>
      <c r="E444" s="75"/>
      <c r="F444" s="75"/>
      <c r="G444" s="77"/>
      <c r="I444" s="78"/>
      <c r="J444" s="79"/>
      <c r="K444" s="79"/>
      <c r="L444" s="79"/>
      <c r="M444" s="79"/>
      <c r="N444" s="80"/>
      <c r="O444" s="80"/>
      <c r="P444" s="81"/>
      <c r="Q444" s="81"/>
      <c r="R444" s="82"/>
      <c r="T444" s="31"/>
      <c r="U444" s="31"/>
      <c r="V444" s="31"/>
      <c r="W444" s="31"/>
      <c r="X444" s="31"/>
    </row>
    <row r="445" spans="2:24" ht="14.25" customHeight="1" x14ac:dyDescent="0.25">
      <c r="B445" s="75"/>
      <c r="C445" s="74"/>
      <c r="D445" s="75"/>
      <c r="E445" s="75"/>
      <c r="F445" s="75"/>
      <c r="G445" s="77"/>
      <c r="I445" s="78"/>
      <c r="J445" s="79"/>
      <c r="K445" s="79"/>
      <c r="L445" s="79"/>
      <c r="M445" s="79"/>
      <c r="N445" s="80"/>
      <c r="O445" s="80"/>
      <c r="P445" s="81"/>
      <c r="Q445" s="81"/>
      <c r="R445" s="82"/>
      <c r="T445" s="31"/>
      <c r="U445" s="31"/>
      <c r="V445" s="31"/>
      <c r="W445" s="31"/>
      <c r="X445" s="31"/>
    </row>
    <row r="446" spans="2:24" ht="14.25" customHeight="1" x14ac:dyDescent="0.25">
      <c r="B446" s="75"/>
      <c r="C446" s="74"/>
      <c r="D446" s="75"/>
      <c r="E446" s="75"/>
      <c r="F446" s="75"/>
      <c r="G446" s="77"/>
      <c r="I446" s="78"/>
      <c r="J446" s="79"/>
      <c r="K446" s="79"/>
      <c r="L446" s="79"/>
      <c r="M446" s="79"/>
      <c r="N446" s="80"/>
      <c r="O446" s="80"/>
      <c r="P446" s="81"/>
      <c r="Q446" s="81"/>
      <c r="R446" s="82"/>
      <c r="T446" s="31"/>
      <c r="U446" s="31"/>
      <c r="V446" s="31"/>
      <c r="W446" s="31"/>
      <c r="X446" s="31"/>
    </row>
    <row r="447" spans="2:24" ht="14.25" customHeight="1" x14ac:dyDescent="0.25">
      <c r="B447" s="75"/>
      <c r="C447" s="74"/>
      <c r="D447" s="75"/>
      <c r="E447" s="75"/>
      <c r="F447" s="75"/>
      <c r="G447" s="77"/>
      <c r="I447" s="78"/>
      <c r="J447" s="79"/>
      <c r="K447" s="79"/>
      <c r="L447" s="79"/>
      <c r="M447" s="79"/>
      <c r="N447" s="80"/>
      <c r="O447" s="80"/>
      <c r="P447" s="81"/>
      <c r="Q447" s="81"/>
      <c r="R447" s="82"/>
      <c r="T447" s="31"/>
      <c r="U447" s="31"/>
      <c r="V447" s="31"/>
      <c r="W447" s="31"/>
      <c r="X447" s="31"/>
    </row>
    <row r="448" spans="2:24" ht="14.25" customHeight="1" x14ac:dyDescent="0.25">
      <c r="B448" s="75"/>
      <c r="C448" s="74"/>
      <c r="D448" s="75"/>
      <c r="E448" s="75"/>
      <c r="F448" s="75"/>
      <c r="G448" s="77"/>
      <c r="I448" s="78"/>
      <c r="J448" s="79"/>
      <c r="K448" s="79"/>
      <c r="L448" s="79"/>
      <c r="M448" s="79"/>
      <c r="N448" s="80"/>
      <c r="O448" s="80"/>
      <c r="P448" s="81"/>
      <c r="Q448" s="81"/>
      <c r="R448" s="82"/>
      <c r="T448" s="31"/>
      <c r="U448" s="31"/>
      <c r="V448" s="31"/>
      <c r="W448" s="31"/>
      <c r="X448" s="31"/>
    </row>
    <row r="449" spans="2:24" ht="14.25" customHeight="1" x14ac:dyDescent="0.25">
      <c r="B449" s="75"/>
      <c r="C449" s="74"/>
      <c r="D449" s="75"/>
      <c r="E449" s="75"/>
      <c r="F449" s="75"/>
      <c r="G449" s="77"/>
      <c r="I449" s="78"/>
      <c r="J449" s="79"/>
      <c r="K449" s="79"/>
      <c r="L449" s="79"/>
      <c r="M449" s="79"/>
      <c r="N449" s="80"/>
      <c r="O449" s="80"/>
      <c r="P449" s="81"/>
      <c r="Q449" s="81"/>
      <c r="R449" s="82"/>
      <c r="T449" s="31"/>
      <c r="U449" s="31"/>
      <c r="V449" s="31"/>
      <c r="W449" s="31"/>
      <c r="X449" s="31"/>
    </row>
    <row r="450" spans="2:24" ht="14.25" customHeight="1" x14ac:dyDescent="0.25">
      <c r="B450" s="75"/>
      <c r="C450" s="74"/>
      <c r="D450" s="75"/>
      <c r="E450" s="75"/>
      <c r="F450" s="75"/>
      <c r="G450" s="77"/>
      <c r="I450" s="78"/>
      <c r="J450" s="79"/>
      <c r="K450" s="79"/>
      <c r="L450" s="79"/>
      <c r="M450" s="79"/>
      <c r="N450" s="80"/>
      <c r="O450" s="80"/>
      <c r="P450" s="81"/>
      <c r="Q450" s="81"/>
      <c r="R450" s="82"/>
      <c r="T450" s="31"/>
      <c r="U450" s="31"/>
      <c r="V450" s="31"/>
      <c r="W450" s="31"/>
      <c r="X450" s="31"/>
    </row>
    <row r="451" spans="2:24" ht="14.25" customHeight="1" x14ac:dyDescent="0.25">
      <c r="B451" s="75"/>
      <c r="C451" s="74"/>
      <c r="D451" s="75"/>
      <c r="E451" s="75"/>
      <c r="F451" s="75"/>
      <c r="G451" s="77"/>
      <c r="I451" s="78"/>
      <c r="J451" s="79"/>
      <c r="K451" s="79"/>
      <c r="L451" s="79"/>
      <c r="M451" s="79"/>
      <c r="N451" s="80"/>
      <c r="O451" s="80"/>
      <c r="P451" s="81"/>
      <c r="Q451" s="81"/>
      <c r="R451" s="82"/>
      <c r="T451" s="31"/>
      <c r="U451" s="31"/>
      <c r="V451" s="31"/>
      <c r="W451" s="31"/>
      <c r="X451" s="31"/>
    </row>
    <row r="452" spans="2:24" ht="14.25" customHeight="1" x14ac:dyDescent="0.25">
      <c r="B452" s="75"/>
      <c r="C452" s="74"/>
      <c r="D452" s="75"/>
      <c r="E452" s="75"/>
      <c r="F452" s="75"/>
      <c r="G452" s="77"/>
      <c r="I452" s="78"/>
      <c r="J452" s="79"/>
      <c r="K452" s="79"/>
      <c r="L452" s="79"/>
      <c r="M452" s="79"/>
      <c r="N452" s="80"/>
      <c r="O452" s="80"/>
      <c r="P452" s="81"/>
      <c r="Q452" s="81"/>
      <c r="R452" s="82"/>
      <c r="T452" s="31"/>
      <c r="U452" s="31"/>
      <c r="V452" s="31"/>
      <c r="W452" s="31"/>
      <c r="X452" s="31"/>
    </row>
    <row r="453" spans="2:24" ht="14.25" customHeight="1" x14ac:dyDescent="0.25">
      <c r="B453" s="75"/>
      <c r="C453" s="74"/>
      <c r="D453" s="75"/>
      <c r="E453" s="75"/>
      <c r="F453" s="75"/>
      <c r="G453" s="77"/>
      <c r="I453" s="78"/>
      <c r="J453" s="79"/>
      <c r="K453" s="79"/>
      <c r="L453" s="79"/>
      <c r="M453" s="79"/>
      <c r="N453" s="80"/>
      <c r="O453" s="80"/>
      <c r="P453" s="81"/>
      <c r="Q453" s="81"/>
      <c r="R453" s="82"/>
      <c r="T453" s="31"/>
      <c r="U453" s="31"/>
      <c r="V453" s="31"/>
      <c r="W453" s="31"/>
      <c r="X453" s="31"/>
    </row>
    <row r="454" spans="2:24" ht="14.25" customHeight="1" x14ac:dyDescent="0.25">
      <c r="B454" s="75"/>
      <c r="C454" s="74"/>
      <c r="D454" s="75"/>
      <c r="E454" s="75"/>
      <c r="F454" s="75"/>
      <c r="G454" s="77"/>
      <c r="I454" s="78"/>
      <c r="J454" s="79"/>
      <c r="K454" s="79"/>
      <c r="L454" s="79"/>
      <c r="M454" s="79"/>
      <c r="N454" s="80"/>
      <c r="O454" s="80"/>
      <c r="P454" s="81"/>
      <c r="Q454" s="81"/>
      <c r="R454" s="82"/>
      <c r="T454" s="31"/>
      <c r="U454" s="31"/>
      <c r="V454" s="31"/>
      <c r="W454" s="31"/>
      <c r="X454" s="31"/>
    </row>
    <row r="455" spans="2:24" ht="14.25" customHeight="1" x14ac:dyDescent="0.25">
      <c r="B455" s="75"/>
      <c r="C455" s="74"/>
      <c r="D455" s="75"/>
      <c r="E455" s="75"/>
      <c r="F455" s="75"/>
      <c r="G455" s="77"/>
      <c r="I455" s="78"/>
      <c r="J455" s="79"/>
      <c r="K455" s="79"/>
      <c r="L455" s="79"/>
      <c r="M455" s="79"/>
      <c r="N455" s="80"/>
      <c r="O455" s="80"/>
      <c r="P455" s="81"/>
      <c r="Q455" s="81"/>
      <c r="R455" s="82"/>
      <c r="T455" s="31"/>
      <c r="U455" s="31"/>
      <c r="V455" s="31"/>
      <c r="W455" s="31"/>
      <c r="X455" s="31"/>
    </row>
    <row r="456" spans="2:24" ht="14.25" customHeight="1" x14ac:dyDescent="0.25">
      <c r="B456" s="75"/>
      <c r="C456" s="74"/>
      <c r="D456" s="75"/>
      <c r="E456" s="75"/>
      <c r="F456" s="75"/>
      <c r="G456" s="77"/>
      <c r="I456" s="78"/>
      <c r="J456" s="79"/>
      <c r="K456" s="79"/>
      <c r="L456" s="79"/>
      <c r="M456" s="79"/>
      <c r="N456" s="80"/>
      <c r="O456" s="80"/>
      <c r="P456" s="81"/>
      <c r="Q456" s="81"/>
      <c r="R456" s="82"/>
      <c r="T456" s="31"/>
      <c r="U456" s="31"/>
      <c r="V456" s="31"/>
      <c r="W456" s="31"/>
      <c r="X456" s="31"/>
    </row>
    <row r="457" spans="2:24" ht="14.25" customHeight="1" x14ac:dyDescent="0.25">
      <c r="B457" s="75"/>
      <c r="C457" s="74"/>
      <c r="D457" s="75"/>
      <c r="E457" s="75"/>
      <c r="F457" s="75"/>
      <c r="G457" s="77"/>
      <c r="I457" s="78"/>
      <c r="J457" s="79"/>
      <c r="K457" s="79"/>
      <c r="L457" s="79"/>
      <c r="M457" s="79"/>
      <c r="N457" s="80"/>
      <c r="O457" s="80"/>
      <c r="P457" s="81"/>
      <c r="Q457" s="81"/>
      <c r="R457" s="82"/>
      <c r="T457" s="31"/>
      <c r="U457" s="31"/>
      <c r="V457" s="31"/>
      <c r="W457" s="31"/>
      <c r="X457" s="31"/>
    </row>
    <row r="458" spans="2:24" ht="14.25" customHeight="1" x14ac:dyDescent="0.25">
      <c r="B458" s="75"/>
      <c r="C458" s="74"/>
      <c r="D458" s="75"/>
      <c r="E458" s="75"/>
      <c r="F458" s="75"/>
      <c r="G458" s="77"/>
      <c r="I458" s="78"/>
      <c r="J458" s="79"/>
      <c r="K458" s="79"/>
      <c r="L458" s="79"/>
      <c r="M458" s="79"/>
      <c r="N458" s="80"/>
      <c r="O458" s="80"/>
      <c r="P458" s="81"/>
      <c r="Q458" s="81"/>
      <c r="R458" s="82"/>
      <c r="T458" s="31"/>
      <c r="U458" s="31"/>
      <c r="V458" s="31"/>
      <c r="W458" s="31"/>
      <c r="X458" s="31"/>
    </row>
    <row r="459" spans="2:24" ht="14.25" customHeight="1" x14ac:dyDescent="0.25">
      <c r="B459" s="75"/>
      <c r="C459" s="74"/>
      <c r="D459" s="75"/>
      <c r="E459" s="75"/>
      <c r="F459" s="75"/>
      <c r="G459" s="77"/>
      <c r="I459" s="78"/>
      <c r="J459" s="79"/>
      <c r="K459" s="79"/>
      <c r="L459" s="79"/>
      <c r="M459" s="79"/>
      <c r="N459" s="80"/>
      <c r="O459" s="80"/>
      <c r="P459" s="81"/>
      <c r="Q459" s="81"/>
      <c r="R459" s="82"/>
      <c r="T459" s="31"/>
      <c r="U459" s="31"/>
      <c r="V459" s="31"/>
      <c r="W459" s="31"/>
      <c r="X459" s="31"/>
    </row>
    <row r="460" spans="2:24" ht="14.25" customHeight="1" x14ac:dyDescent="0.25">
      <c r="B460" s="75"/>
      <c r="C460" s="74"/>
      <c r="D460" s="75"/>
      <c r="E460" s="75"/>
      <c r="F460" s="75"/>
      <c r="G460" s="77"/>
      <c r="I460" s="78"/>
      <c r="J460" s="79"/>
      <c r="K460" s="79"/>
      <c r="L460" s="79"/>
      <c r="M460" s="79"/>
      <c r="N460" s="80"/>
      <c r="O460" s="80"/>
      <c r="P460" s="81"/>
      <c r="Q460" s="81"/>
      <c r="R460" s="82"/>
      <c r="T460" s="31"/>
      <c r="U460" s="31"/>
      <c r="V460" s="31"/>
      <c r="W460" s="31"/>
      <c r="X460" s="31"/>
    </row>
    <row r="461" spans="2:24" ht="14.25" customHeight="1" x14ac:dyDescent="0.25">
      <c r="B461" s="75"/>
      <c r="C461" s="74"/>
      <c r="D461" s="75"/>
      <c r="E461" s="75"/>
      <c r="F461" s="75"/>
      <c r="G461" s="77"/>
      <c r="I461" s="78"/>
      <c r="J461" s="79"/>
      <c r="K461" s="79"/>
      <c r="L461" s="79"/>
      <c r="M461" s="79"/>
      <c r="N461" s="80"/>
      <c r="O461" s="80"/>
      <c r="P461" s="81"/>
      <c r="Q461" s="81"/>
      <c r="R461" s="82"/>
      <c r="T461" s="31"/>
      <c r="U461" s="31"/>
      <c r="V461" s="31"/>
      <c r="W461" s="31"/>
      <c r="X461" s="31"/>
    </row>
    <row r="462" spans="2:24" ht="14.25" customHeight="1" x14ac:dyDescent="0.25">
      <c r="B462" s="75"/>
      <c r="C462" s="74"/>
      <c r="D462" s="75"/>
      <c r="E462" s="75"/>
      <c r="F462" s="75"/>
      <c r="G462" s="77"/>
      <c r="I462" s="78"/>
      <c r="J462" s="79"/>
      <c r="K462" s="79"/>
      <c r="L462" s="79"/>
      <c r="M462" s="79"/>
      <c r="N462" s="80"/>
      <c r="O462" s="80"/>
      <c r="P462" s="81"/>
      <c r="Q462" s="81"/>
      <c r="R462" s="82"/>
      <c r="T462" s="31"/>
      <c r="U462" s="31"/>
      <c r="V462" s="31"/>
      <c r="W462" s="31"/>
      <c r="X462" s="31"/>
    </row>
    <row r="463" spans="2:24" ht="14.25" customHeight="1" x14ac:dyDescent="0.25">
      <c r="B463" s="75"/>
      <c r="C463" s="74"/>
      <c r="D463" s="75"/>
      <c r="E463" s="75"/>
      <c r="F463" s="75"/>
      <c r="G463" s="77"/>
      <c r="I463" s="78"/>
      <c r="J463" s="79"/>
      <c r="K463" s="79"/>
      <c r="L463" s="79"/>
      <c r="M463" s="79"/>
      <c r="N463" s="80"/>
      <c r="O463" s="80"/>
      <c r="P463" s="81"/>
      <c r="Q463" s="81"/>
      <c r="R463" s="82"/>
      <c r="T463" s="31"/>
      <c r="U463" s="31"/>
      <c r="V463" s="31"/>
      <c r="W463" s="31"/>
      <c r="X463" s="31"/>
    </row>
    <row r="464" spans="2:24" ht="14.25" customHeight="1" x14ac:dyDescent="0.25">
      <c r="B464" s="75"/>
      <c r="C464" s="74"/>
      <c r="D464" s="75"/>
      <c r="E464" s="75"/>
      <c r="F464" s="75"/>
      <c r="G464" s="77"/>
      <c r="I464" s="78"/>
      <c r="J464" s="79"/>
      <c r="K464" s="79"/>
      <c r="L464" s="79"/>
      <c r="M464" s="79"/>
      <c r="N464" s="80"/>
      <c r="O464" s="80"/>
      <c r="P464" s="81"/>
      <c r="Q464" s="81"/>
      <c r="R464" s="82"/>
      <c r="T464" s="31"/>
      <c r="U464" s="31"/>
      <c r="V464" s="31"/>
      <c r="W464" s="31"/>
      <c r="X464" s="31"/>
    </row>
    <row r="465" spans="2:24" ht="14.25" customHeight="1" x14ac:dyDescent="0.25">
      <c r="B465" s="75"/>
      <c r="C465" s="74"/>
      <c r="D465" s="75"/>
      <c r="E465" s="75"/>
      <c r="F465" s="75"/>
      <c r="G465" s="77"/>
      <c r="I465" s="78"/>
      <c r="J465" s="79"/>
      <c r="K465" s="79"/>
      <c r="L465" s="79"/>
      <c r="M465" s="79"/>
      <c r="N465" s="80"/>
      <c r="O465" s="80"/>
      <c r="P465" s="81"/>
      <c r="Q465" s="81"/>
      <c r="R465" s="82"/>
      <c r="T465" s="31"/>
      <c r="U465" s="31"/>
      <c r="V465" s="31"/>
      <c r="W465" s="31"/>
      <c r="X465" s="31"/>
    </row>
    <row r="466" spans="2:24" ht="14.25" customHeight="1" x14ac:dyDescent="0.25">
      <c r="B466" s="75"/>
      <c r="C466" s="74"/>
      <c r="D466" s="75"/>
      <c r="E466" s="75"/>
      <c r="F466" s="75"/>
      <c r="G466" s="77"/>
      <c r="I466" s="78"/>
      <c r="J466" s="79"/>
      <c r="K466" s="79"/>
      <c r="L466" s="79"/>
      <c r="M466" s="79"/>
      <c r="N466" s="80"/>
      <c r="O466" s="80"/>
      <c r="P466" s="81"/>
      <c r="Q466" s="81"/>
      <c r="R466" s="82"/>
      <c r="T466" s="31"/>
      <c r="U466" s="31"/>
      <c r="V466" s="31"/>
      <c r="W466" s="31"/>
      <c r="X466" s="31"/>
    </row>
    <row r="467" spans="2:24" ht="14.25" customHeight="1" x14ac:dyDescent="0.25">
      <c r="B467" s="75"/>
      <c r="C467" s="74"/>
      <c r="D467" s="75"/>
      <c r="E467" s="75"/>
      <c r="F467" s="75"/>
      <c r="G467" s="77"/>
      <c r="I467" s="78"/>
      <c r="J467" s="79"/>
      <c r="K467" s="79"/>
      <c r="L467" s="79"/>
      <c r="M467" s="79"/>
      <c r="N467" s="80"/>
      <c r="O467" s="80"/>
      <c r="P467" s="81"/>
      <c r="Q467" s="81"/>
      <c r="R467" s="82"/>
      <c r="T467" s="31"/>
      <c r="U467" s="31"/>
      <c r="V467" s="31"/>
      <c r="W467" s="31"/>
      <c r="X467" s="31"/>
    </row>
    <row r="468" spans="2:24" ht="14.25" customHeight="1" x14ac:dyDescent="0.25">
      <c r="B468" s="75"/>
      <c r="C468" s="74"/>
      <c r="D468" s="75"/>
      <c r="E468" s="75"/>
      <c r="F468" s="75"/>
      <c r="G468" s="77"/>
      <c r="I468" s="78"/>
      <c r="J468" s="79"/>
      <c r="K468" s="79"/>
      <c r="L468" s="79"/>
      <c r="M468" s="79"/>
      <c r="N468" s="80"/>
      <c r="O468" s="80"/>
      <c r="P468" s="81"/>
      <c r="Q468" s="81"/>
      <c r="R468" s="82"/>
      <c r="T468" s="31"/>
      <c r="U468" s="31"/>
      <c r="V468" s="31"/>
      <c r="W468" s="31"/>
      <c r="X468" s="31"/>
    </row>
    <row r="469" spans="2:24" ht="14.25" customHeight="1" x14ac:dyDescent="0.25">
      <c r="B469" s="75"/>
      <c r="C469" s="74"/>
      <c r="D469" s="75"/>
      <c r="E469" s="75"/>
      <c r="F469" s="75"/>
      <c r="G469" s="77"/>
      <c r="I469" s="78"/>
      <c r="J469" s="79"/>
      <c r="K469" s="79"/>
      <c r="L469" s="79"/>
      <c r="M469" s="79"/>
      <c r="N469" s="80"/>
      <c r="O469" s="80"/>
      <c r="P469" s="81"/>
      <c r="Q469" s="81"/>
      <c r="R469" s="82"/>
      <c r="T469" s="31"/>
      <c r="U469" s="31"/>
      <c r="V469" s="31"/>
      <c r="W469" s="31"/>
      <c r="X469" s="31"/>
    </row>
    <row r="470" spans="2:24" ht="14.25" customHeight="1" x14ac:dyDescent="0.25">
      <c r="B470" s="75"/>
      <c r="C470" s="74"/>
      <c r="D470" s="75"/>
      <c r="E470" s="75"/>
      <c r="F470" s="75"/>
      <c r="G470" s="77"/>
      <c r="I470" s="78"/>
      <c r="J470" s="79"/>
      <c r="K470" s="79"/>
      <c r="L470" s="79"/>
      <c r="M470" s="79"/>
      <c r="N470" s="80"/>
      <c r="O470" s="80"/>
      <c r="P470" s="81"/>
      <c r="Q470" s="81"/>
      <c r="R470" s="82"/>
      <c r="T470" s="31"/>
      <c r="U470" s="31"/>
      <c r="V470" s="31"/>
      <c r="W470" s="31"/>
      <c r="X470" s="31"/>
    </row>
    <row r="471" spans="2:24" ht="14.25" customHeight="1" x14ac:dyDescent="0.25">
      <c r="B471" s="75"/>
      <c r="C471" s="74"/>
      <c r="D471" s="75"/>
      <c r="E471" s="75"/>
      <c r="F471" s="75"/>
      <c r="G471" s="77"/>
      <c r="I471" s="78"/>
      <c r="J471" s="79"/>
      <c r="K471" s="79"/>
      <c r="L471" s="79"/>
      <c r="M471" s="79"/>
      <c r="N471" s="80"/>
      <c r="O471" s="80"/>
      <c r="P471" s="81"/>
      <c r="Q471" s="81"/>
      <c r="R471" s="82"/>
      <c r="T471" s="31"/>
      <c r="U471" s="31"/>
      <c r="V471" s="31"/>
      <c r="W471" s="31"/>
      <c r="X471" s="31"/>
    </row>
    <row r="472" spans="2:24" ht="14.25" customHeight="1" x14ac:dyDescent="0.25">
      <c r="B472" s="75"/>
      <c r="C472" s="74"/>
      <c r="D472" s="75"/>
      <c r="E472" s="75"/>
      <c r="F472" s="75"/>
      <c r="G472" s="77"/>
      <c r="I472" s="78"/>
      <c r="J472" s="79"/>
      <c r="K472" s="79"/>
      <c r="L472" s="79"/>
      <c r="M472" s="79"/>
      <c r="N472" s="80"/>
      <c r="O472" s="80"/>
      <c r="P472" s="81"/>
      <c r="Q472" s="81"/>
      <c r="R472" s="82"/>
      <c r="T472" s="31"/>
      <c r="U472" s="31"/>
      <c r="V472" s="31"/>
      <c r="W472" s="31"/>
      <c r="X472" s="31"/>
    </row>
    <row r="473" spans="2:24" ht="14.25" customHeight="1" x14ac:dyDescent="0.25">
      <c r="B473" s="75"/>
      <c r="C473" s="74"/>
      <c r="D473" s="75"/>
      <c r="E473" s="75"/>
      <c r="F473" s="75"/>
      <c r="G473" s="77"/>
      <c r="I473" s="78"/>
      <c r="J473" s="79"/>
      <c r="K473" s="79"/>
      <c r="L473" s="79"/>
      <c r="M473" s="79"/>
      <c r="N473" s="80"/>
      <c r="O473" s="80"/>
      <c r="P473" s="81"/>
      <c r="Q473" s="81"/>
      <c r="R473" s="82"/>
      <c r="T473" s="31"/>
      <c r="U473" s="31"/>
      <c r="V473" s="31"/>
      <c r="W473" s="31"/>
      <c r="X473" s="31"/>
    </row>
    <row r="474" spans="2:24" ht="14.25" customHeight="1" x14ac:dyDescent="0.25">
      <c r="B474" s="75"/>
      <c r="C474" s="74"/>
      <c r="D474" s="75"/>
      <c r="E474" s="75"/>
      <c r="F474" s="75"/>
      <c r="G474" s="77"/>
      <c r="I474" s="78"/>
      <c r="J474" s="79"/>
      <c r="K474" s="79"/>
      <c r="L474" s="79"/>
      <c r="M474" s="79"/>
      <c r="N474" s="80"/>
      <c r="O474" s="80"/>
      <c r="P474" s="81"/>
      <c r="Q474" s="81"/>
      <c r="R474" s="82"/>
      <c r="T474" s="31"/>
      <c r="U474" s="31"/>
      <c r="V474" s="31"/>
      <c r="W474" s="31"/>
      <c r="X474" s="31"/>
    </row>
    <row r="475" spans="2:24" ht="14.25" customHeight="1" x14ac:dyDescent="0.25">
      <c r="B475" s="75"/>
      <c r="C475" s="74"/>
      <c r="D475" s="75"/>
      <c r="E475" s="75"/>
      <c r="F475" s="75"/>
      <c r="G475" s="77"/>
      <c r="I475" s="78"/>
      <c r="J475" s="79"/>
      <c r="K475" s="79"/>
      <c r="L475" s="79"/>
      <c r="M475" s="79"/>
      <c r="N475" s="80"/>
      <c r="O475" s="80"/>
      <c r="P475" s="81"/>
      <c r="Q475" s="81"/>
      <c r="R475" s="82"/>
      <c r="T475" s="31"/>
      <c r="U475" s="31"/>
      <c r="V475" s="31"/>
      <c r="W475" s="31"/>
      <c r="X475" s="31"/>
    </row>
    <row r="476" spans="2:24" ht="14.25" customHeight="1" x14ac:dyDescent="0.25">
      <c r="B476" s="75"/>
      <c r="C476" s="74"/>
      <c r="D476" s="75"/>
      <c r="E476" s="75"/>
      <c r="F476" s="75"/>
      <c r="G476" s="77"/>
      <c r="I476" s="78"/>
      <c r="J476" s="79"/>
      <c r="K476" s="79"/>
      <c r="L476" s="79"/>
      <c r="M476" s="79"/>
      <c r="N476" s="80"/>
      <c r="O476" s="80"/>
      <c r="P476" s="81"/>
      <c r="Q476" s="81"/>
      <c r="R476" s="82"/>
      <c r="T476" s="31"/>
      <c r="U476" s="31"/>
      <c r="V476" s="31"/>
      <c r="W476" s="31"/>
      <c r="X476" s="31"/>
    </row>
    <row r="477" spans="2:24" ht="14.25" customHeight="1" x14ac:dyDescent="0.25">
      <c r="B477" s="75"/>
      <c r="C477" s="74"/>
      <c r="D477" s="75"/>
      <c r="E477" s="75"/>
      <c r="F477" s="75"/>
      <c r="G477" s="77"/>
      <c r="I477" s="78"/>
      <c r="J477" s="79"/>
      <c r="K477" s="79"/>
      <c r="L477" s="79"/>
      <c r="M477" s="79"/>
      <c r="N477" s="80"/>
      <c r="O477" s="80"/>
      <c r="P477" s="81"/>
      <c r="Q477" s="81"/>
      <c r="R477" s="82"/>
      <c r="T477" s="31"/>
      <c r="U477" s="31"/>
      <c r="V477" s="31"/>
      <c r="W477" s="31"/>
      <c r="X477" s="31"/>
    </row>
    <row r="478" spans="2:24" ht="14.25" customHeight="1" x14ac:dyDescent="0.25">
      <c r="B478" s="75"/>
      <c r="C478" s="74"/>
      <c r="D478" s="75"/>
      <c r="E478" s="75"/>
      <c r="F478" s="75"/>
      <c r="G478" s="77"/>
      <c r="I478" s="78"/>
      <c r="J478" s="79"/>
      <c r="K478" s="79"/>
      <c r="L478" s="79"/>
      <c r="M478" s="79"/>
      <c r="N478" s="80"/>
      <c r="O478" s="80"/>
      <c r="P478" s="81"/>
      <c r="Q478" s="81"/>
      <c r="R478" s="82"/>
      <c r="T478" s="31"/>
      <c r="U478" s="31"/>
      <c r="V478" s="31"/>
      <c r="W478" s="31"/>
      <c r="X478" s="31"/>
    </row>
    <row r="479" spans="2:24" ht="14.25" customHeight="1" x14ac:dyDescent="0.25">
      <c r="B479" s="75"/>
      <c r="C479" s="74"/>
      <c r="D479" s="75"/>
      <c r="E479" s="75"/>
      <c r="F479" s="75"/>
      <c r="G479" s="77"/>
      <c r="I479" s="78"/>
      <c r="J479" s="79"/>
      <c r="K479" s="79"/>
      <c r="L479" s="79"/>
      <c r="M479" s="79"/>
      <c r="N479" s="80"/>
      <c r="O479" s="80"/>
      <c r="P479" s="81"/>
      <c r="Q479" s="81"/>
      <c r="R479" s="82"/>
      <c r="T479" s="31"/>
      <c r="U479" s="31"/>
      <c r="V479" s="31"/>
      <c r="W479" s="31"/>
      <c r="X479" s="31"/>
    </row>
    <row r="480" spans="2:24" ht="14.25" customHeight="1" x14ac:dyDescent="0.25">
      <c r="B480" s="75"/>
      <c r="C480" s="74"/>
      <c r="D480" s="75"/>
      <c r="E480" s="75"/>
      <c r="F480" s="75"/>
      <c r="G480" s="77"/>
      <c r="I480" s="78"/>
      <c r="J480" s="79"/>
      <c r="K480" s="79"/>
      <c r="L480" s="79"/>
      <c r="M480" s="79"/>
      <c r="N480" s="80"/>
      <c r="O480" s="80"/>
      <c r="P480" s="81"/>
      <c r="Q480" s="81"/>
      <c r="R480" s="82"/>
      <c r="T480" s="31"/>
      <c r="U480" s="31"/>
      <c r="V480" s="31"/>
      <c r="W480" s="31"/>
      <c r="X480" s="31"/>
    </row>
    <row r="481" spans="2:24" ht="14.25" customHeight="1" x14ac:dyDescent="0.25">
      <c r="B481" s="75"/>
      <c r="C481" s="74"/>
      <c r="D481" s="75"/>
      <c r="E481" s="75"/>
      <c r="F481" s="75"/>
      <c r="G481" s="77"/>
      <c r="I481" s="78"/>
      <c r="J481" s="79"/>
      <c r="K481" s="79"/>
      <c r="L481" s="79"/>
      <c r="M481" s="79"/>
      <c r="N481" s="80"/>
      <c r="O481" s="80"/>
      <c r="P481" s="81"/>
      <c r="Q481" s="81"/>
      <c r="R481" s="82"/>
      <c r="T481" s="31"/>
      <c r="U481" s="31"/>
      <c r="V481" s="31"/>
      <c r="W481" s="31"/>
      <c r="X481" s="31"/>
    </row>
    <row r="482" spans="2:24" ht="14.25" customHeight="1" x14ac:dyDescent="0.25">
      <c r="B482" s="75"/>
      <c r="C482" s="74"/>
      <c r="D482" s="75"/>
      <c r="E482" s="75"/>
      <c r="F482" s="75"/>
      <c r="G482" s="77"/>
      <c r="I482" s="78"/>
      <c r="J482" s="79"/>
      <c r="K482" s="79"/>
      <c r="L482" s="79"/>
      <c r="M482" s="79"/>
      <c r="N482" s="80"/>
      <c r="O482" s="80"/>
      <c r="P482" s="81"/>
      <c r="Q482" s="81"/>
      <c r="R482" s="82"/>
      <c r="T482" s="31"/>
      <c r="U482" s="31"/>
      <c r="V482" s="31"/>
      <c r="W482" s="31"/>
      <c r="X482" s="31"/>
    </row>
    <row r="483" spans="2:24" ht="14.25" customHeight="1" x14ac:dyDescent="0.25">
      <c r="B483" s="75"/>
      <c r="C483" s="74"/>
      <c r="D483" s="75"/>
      <c r="E483" s="75"/>
      <c r="F483" s="75"/>
      <c r="G483" s="77"/>
      <c r="I483" s="78"/>
      <c r="J483" s="79"/>
      <c r="K483" s="79"/>
      <c r="L483" s="79"/>
      <c r="M483" s="79"/>
      <c r="N483" s="80"/>
      <c r="O483" s="80"/>
      <c r="P483" s="81"/>
      <c r="Q483" s="81"/>
      <c r="R483" s="82"/>
      <c r="T483" s="31"/>
      <c r="U483" s="31"/>
      <c r="V483" s="31"/>
      <c r="W483" s="31"/>
      <c r="X483" s="31"/>
    </row>
    <row r="484" spans="2:24" ht="14.25" customHeight="1" x14ac:dyDescent="0.25">
      <c r="B484" s="75"/>
      <c r="C484" s="74"/>
      <c r="D484" s="75"/>
      <c r="E484" s="75"/>
      <c r="F484" s="75"/>
      <c r="G484" s="77"/>
      <c r="I484" s="78"/>
      <c r="J484" s="79"/>
      <c r="K484" s="79"/>
      <c r="L484" s="79"/>
      <c r="M484" s="79"/>
      <c r="N484" s="80"/>
      <c r="O484" s="80"/>
      <c r="P484" s="81"/>
      <c r="Q484" s="81"/>
      <c r="R484" s="82"/>
      <c r="T484" s="31"/>
      <c r="U484" s="31"/>
      <c r="V484" s="31"/>
      <c r="W484" s="31"/>
      <c r="X484" s="31"/>
    </row>
    <row r="485" spans="2:24" ht="14.25" customHeight="1" x14ac:dyDescent="0.25">
      <c r="P485" s="19"/>
      <c r="Q485" s="19"/>
      <c r="R485" s="19"/>
    </row>
    <row r="486" spans="2:24" ht="14.25" customHeight="1" x14ac:dyDescent="0.25">
      <c r="B486" s="43"/>
      <c r="C486" s="43"/>
      <c r="E486" s="43"/>
      <c r="F486" s="44"/>
      <c r="G486" s="45"/>
      <c r="H486" s="45"/>
      <c r="P486" s="19"/>
      <c r="Q486" s="46"/>
    </row>
    <row r="487" spans="2:24" ht="14.25" customHeight="1" x14ac:dyDescent="0.25">
      <c r="B487" s="43"/>
      <c r="C487" s="43"/>
      <c r="E487" s="43"/>
      <c r="F487" s="43"/>
      <c r="P487" s="19"/>
      <c r="Q487" s="43"/>
      <c r="R487" s="43"/>
    </row>
    <row r="488" spans="2:24" ht="14.25" customHeight="1" x14ac:dyDescent="0.25">
      <c r="B488" s="47"/>
      <c r="E488" s="47"/>
      <c r="F488" s="48"/>
      <c r="G488" s="19"/>
      <c r="P488" s="19"/>
      <c r="Q488" s="19"/>
      <c r="R488" s="19"/>
    </row>
    <row r="489" spans="2:24" ht="14.25" customHeight="1" x14ac:dyDescent="0.25">
      <c r="B489" s="47"/>
      <c r="E489" s="47"/>
      <c r="F489" s="48"/>
      <c r="G489" s="19"/>
      <c r="P489" s="19"/>
      <c r="Q489" s="19"/>
      <c r="R489" s="19"/>
    </row>
    <row r="490" spans="2:24" ht="14.25" customHeight="1" x14ac:dyDescent="0.25">
      <c r="B490" s="47"/>
      <c r="E490" s="47"/>
      <c r="F490" s="48"/>
      <c r="G490" s="19"/>
      <c r="P490" s="19"/>
      <c r="Q490" s="19"/>
      <c r="R490" s="19"/>
    </row>
    <row r="491" spans="2:24" ht="14.25" customHeight="1" x14ac:dyDescent="0.25">
      <c r="B491" s="47"/>
      <c r="E491" s="47"/>
      <c r="F491" s="48"/>
      <c r="G491" s="19"/>
      <c r="P491" s="19"/>
      <c r="Q491" s="19"/>
      <c r="R491" s="19"/>
    </row>
    <row r="492" spans="2:24" ht="14.25" customHeight="1" x14ac:dyDescent="0.25">
      <c r="B492" s="47"/>
      <c r="E492" s="47"/>
      <c r="F492" s="48"/>
      <c r="G492" s="19"/>
      <c r="P492" s="19"/>
      <c r="Q492" s="19"/>
      <c r="R492" s="19"/>
    </row>
    <row r="493" spans="2:24" ht="14.25" customHeight="1" x14ac:dyDescent="0.25">
      <c r="P493" s="19"/>
      <c r="Q493" s="19"/>
      <c r="R493" s="19"/>
    </row>
    <row r="494" spans="2:24" ht="14.25" customHeight="1" x14ac:dyDescent="0.25">
      <c r="P494" s="19"/>
      <c r="Q494" s="19"/>
      <c r="R494" s="19"/>
    </row>
    <row r="495" spans="2:24" ht="14.25" customHeight="1" x14ac:dyDescent="0.25">
      <c r="P495" s="19"/>
      <c r="Q495" s="19"/>
      <c r="R495" s="19"/>
    </row>
    <row r="496" spans="2:24" ht="14.25" customHeight="1" x14ac:dyDescent="0.25">
      <c r="P496" s="19"/>
      <c r="Q496" s="19"/>
      <c r="R496" s="19"/>
    </row>
    <row r="497" spans="16:18" ht="14.25" customHeight="1" x14ac:dyDescent="0.25">
      <c r="P497" s="19"/>
      <c r="Q497" s="19"/>
      <c r="R497" s="19"/>
    </row>
    <row r="498" spans="16:18" ht="14.25" customHeight="1" x14ac:dyDescent="0.25">
      <c r="P498" s="19"/>
      <c r="Q498" s="19"/>
      <c r="R498" s="19"/>
    </row>
    <row r="499" spans="16:18" ht="14.25" customHeight="1" x14ac:dyDescent="0.25">
      <c r="P499" s="19"/>
      <c r="Q499" s="19"/>
      <c r="R499" s="19"/>
    </row>
    <row r="500" spans="16:18" ht="14.25" customHeight="1" x14ac:dyDescent="0.25">
      <c r="P500" s="19"/>
      <c r="Q500" s="19"/>
      <c r="R500" s="19"/>
    </row>
    <row r="501" spans="16:18" ht="14.25" customHeight="1" x14ac:dyDescent="0.25">
      <c r="P501" s="19"/>
      <c r="Q501" s="19"/>
      <c r="R501" s="19"/>
    </row>
    <row r="502" spans="16:18" ht="14.25" customHeight="1" x14ac:dyDescent="0.25">
      <c r="P502" s="19"/>
      <c r="Q502" s="19"/>
      <c r="R502" s="19"/>
    </row>
    <row r="503" spans="16:18" ht="14.25" customHeight="1" x14ac:dyDescent="0.25">
      <c r="P503" s="19"/>
      <c r="Q503" s="19"/>
      <c r="R503" s="19"/>
    </row>
    <row r="504" spans="16:18" ht="14.25" customHeight="1" x14ac:dyDescent="0.25">
      <c r="P504" s="19"/>
      <c r="Q504" s="19"/>
      <c r="R504" s="19"/>
    </row>
    <row r="505" spans="16:18" ht="14.25" customHeight="1" x14ac:dyDescent="0.25">
      <c r="P505" s="19"/>
      <c r="Q505" s="19"/>
      <c r="R505" s="19"/>
    </row>
    <row r="506" spans="16:18" ht="14.25" customHeight="1" x14ac:dyDescent="0.25">
      <c r="P506" s="19"/>
      <c r="Q506" s="19"/>
      <c r="R506" s="19"/>
    </row>
    <row r="507" spans="16:18" ht="14.25" customHeight="1" x14ac:dyDescent="0.25">
      <c r="P507" s="19"/>
      <c r="Q507" s="19"/>
      <c r="R507" s="19"/>
    </row>
    <row r="508" spans="16:18" ht="14.25" customHeight="1" x14ac:dyDescent="0.25">
      <c r="P508" s="19"/>
      <c r="Q508" s="19"/>
      <c r="R508" s="19"/>
    </row>
    <row r="509" spans="16:18" ht="14.25" customHeight="1" x14ac:dyDescent="0.25">
      <c r="P509" s="19"/>
      <c r="Q509" s="19"/>
      <c r="R509" s="19"/>
    </row>
    <row r="510" spans="16:18" ht="14.25" customHeight="1" x14ac:dyDescent="0.25">
      <c r="P510" s="19"/>
      <c r="Q510" s="19"/>
      <c r="R510" s="19"/>
    </row>
    <row r="511" spans="16:18" ht="14.25" customHeight="1" x14ac:dyDescent="0.25">
      <c r="P511" s="19"/>
      <c r="Q511" s="19"/>
      <c r="R511" s="19"/>
    </row>
    <row r="512" spans="16:18" ht="14.25" customHeight="1" x14ac:dyDescent="0.25">
      <c r="P512" s="19"/>
      <c r="Q512" s="19"/>
      <c r="R512" s="19"/>
    </row>
    <row r="513" spans="16:18" ht="14.25" customHeight="1" x14ac:dyDescent="0.25">
      <c r="P513" s="19"/>
      <c r="Q513" s="19"/>
      <c r="R513" s="19"/>
    </row>
    <row r="514" spans="16:18" ht="14.25" customHeight="1" x14ac:dyDescent="0.25">
      <c r="P514" s="19"/>
      <c r="Q514" s="19"/>
      <c r="R514" s="19"/>
    </row>
    <row r="515" spans="16:18" ht="14.25" customHeight="1" x14ac:dyDescent="0.25">
      <c r="P515" s="19"/>
      <c r="Q515" s="19"/>
      <c r="R515" s="19"/>
    </row>
    <row r="516" spans="16:18" ht="14.25" customHeight="1" x14ac:dyDescent="0.25">
      <c r="P516" s="19"/>
      <c r="Q516" s="19"/>
      <c r="R516" s="19"/>
    </row>
    <row r="517" spans="16:18" ht="14.25" customHeight="1" x14ac:dyDescent="0.25">
      <c r="P517" s="19"/>
      <c r="Q517" s="19"/>
      <c r="R517" s="19"/>
    </row>
    <row r="518" spans="16:18" ht="14.25" customHeight="1" x14ac:dyDescent="0.25">
      <c r="P518" s="19"/>
      <c r="Q518" s="19"/>
      <c r="R518" s="19"/>
    </row>
    <row r="519" spans="16:18" ht="14.25" customHeight="1" x14ac:dyDescent="0.25">
      <c r="P519" s="19"/>
      <c r="Q519" s="19"/>
      <c r="R519" s="19"/>
    </row>
    <row r="520" spans="16:18" ht="14.25" customHeight="1" x14ac:dyDescent="0.25">
      <c r="P520" s="19"/>
      <c r="Q520" s="19"/>
      <c r="R520" s="19"/>
    </row>
    <row r="521" spans="16:18" ht="14.25" customHeight="1" x14ac:dyDescent="0.25">
      <c r="P521" s="19"/>
      <c r="Q521" s="19"/>
      <c r="R521" s="19"/>
    </row>
    <row r="522" spans="16:18" ht="14.25" customHeight="1" x14ac:dyDescent="0.25">
      <c r="P522" s="19"/>
      <c r="Q522" s="19"/>
      <c r="R522" s="19"/>
    </row>
    <row r="523" spans="16:18" ht="14.25" customHeight="1" x14ac:dyDescent="0.25">
      <c r="P523" s="19"/>
      <c r="Q523" s="19"/>
      <c r="R523" s="19"/>
    </row>
    <row r="524" spans="16:18" ht="14.25" customHeight="1" x14ac:dyDescent="0.25">
      <c r="P524" s="19"/>
      <c r="Q524" s="19"/>
      <c r="R524" s="19"/>
    </row>
    <row r="525" spans="16:18" ht="14.25" customHeight="1" x14ac:dyDescent="0.25">
      <c r="P525" s="19"/>
      <c r="Q525" s="19"/>
      <c r="R525" s="19"/>
    </row>
    <row r="526" spans="16:18" ht="14.25" customHeight="1" x14ac:dyDescent="0.25">
      <c r="P526" s="19"/>
      <c r="Q526" s="19"/>
      <c r="R526" s="19"/>
    </row>
    <row r="527" spans="16:18" ht="14.25" customHeight="1" x14ac:dyDescent="0.25">
      <c r="P527" s="19"/>
      <c r="Q527" s="19"/>
      <c r="R527" s="19"/>
    </row>
    <row r="528" spans="16:18" ht="14.25" customHeight="1" x14ac:dyDescent="0.25">
      <c r="P528" s="19"/>
      <c r="Q528" s="19"/>
      <c r="R528" s="19"/>
    </row>
    <row r="529" spans="16:18" ht="14.25" customHeight="1" x14ac:dyDescent="0.25">
      <c r="P529" s="19"/>
      <c r="Q529" s="19"/>
      <c r="R529" s="19"/>
    </row>
    <row r="530" spans="16:18" ht="14.25" customHeight="1" x14ac:dyDescent="0.25">
      <c r="P530" s="19"/>
      <c r="Q530" s="19"/>
      <c r="R530" s="19"/>
    </row>
    <row r="531" spans="16:18" ht="14.25" customHeight="1" x14ac:dyDescent="0.25">
      <c r="P531" s="19"/>
      <c r="Q531" s="19"/>
      <c r="R531" s="19"/>
    </row>
    <row r="532" spans="16:18" ht="14.25" customHeight="1" x14ac:dyDescent="0.25">
      <c r="P532" s="19"/>
      <c r="Q532" s="19"/>
      <c r="R532" s="19"/>
    </row>
    <row r="533" spans="16:18" ht="14.25" customHeight="1" x14ac:dyDescent="0.25">
      <c r="P533" s="19"/>
      <c r="Q533" s="19"/>
      <c r="R533" s="19"/>
    </row>
    <row r="534" spans="16:18" ht="14.25" customHeight="1" x14ac:dyDescent="0.25">
      <c r="P534" s="19"/>
      <c r="Q534" s="19"/>
      <c r="R534" s="19"/>
    </row>
    <row r="535" spans="16:18" ht="14.25" customHeight="1" x14ac:dyDescent="0.25">
      <c r="P535" s="19"/>
      <c r="Q535" s="19"/>
      <c r="R535" s="19"/>
    </row>
    <row r="536" spans="16:18" ht="14.25" customHeight="1" x14ac:dyDescent="0.25">
      <c r="P536" s="19"/>
      <c r="Q536" s="19"/>
      <c r="R536" s="19"/>
    </row>
    <row r="537" spans="16:18" ht="14.25" customHeight="1" x14ac:dyDescent="0.25">
      <c r="P537" s="19"/>
      <c r="Q537" s="19"/>
      <c r="R537" s="19"/>
    </row>
    <row r="538" spans="16:18" ht="14.25" customHeight="1" x14ac:dyDescent="0.25">
      <c r="P538" s="19"/>
      <c r="Q538" s="19"/>
      <c r="R538" s="19"/>
    </row>
    <row r="539" spans="16:18" ht="14.25" customHeight="1" x14ac:dyDescent="0.25">
      <c r="P539" s="19"/>
      <c r="Q539" s="19"/>
      <c r="R539" s="19"/>
    </row>
    <row r="540" spans="16:18" ht="14.25" customHeight="1" x14ac:dyDescent="0.25">
      <c r="P540" s="19"/>
      <c r="Q540" s="19"/>
      <c r="R540" s="19"/>
    </row>
    <row r="541" spans="16:18" ht="14.25" customHeight="1" x14ac:dyDescent="0.25">
      <c r="P541" s="19"/>
      <c r="Q541" s="19"/>
      <c r="R541" s="19"/>
    </row>
    <row r="542" spans="16:18" ht="14.25" customHeight="1" x14ac:dyDescent="0.25">
      <c r="P542" s="19"/>
      <c r="Q542" s="19"/>
      <c r="R542" s="19"/>
    </row>
    <row r="543" spans="16:18" ht="14.25" customHeight="1" x14ac:dyDescent="0.25">
      <c r="P543" s="19"/>
      <c r="Q543" s="19"/>
      <c r="R543" s="19"/>
    </row>
    <row r="544" spans="16:18" ht="14.25" customHeight="1" x14ac:dyDescent="0.25">
      <c r="P544" s="19"/>
      <c r="Q544" s="19"/>
      <c r="R544" s="19"/>
    </row>
    <row r="545" spans="16:18" ht="14.25" customHeight="1" x14ac:dyDescent="0.25">
      <c r="P545" s="19"/>
      <c r="Q545" s="19"/>
      <c r="R545" s="19"/>
    </row>
    <row r="546" spans="16:18" ht="14.25" customHeight="1" x14ac:dyDescent="0.25">
      <c r="P546" s="19"/>
      <c r="Q546" s="19"/>
      <c r="R546" s="19"/>
    </row>
    <row r="547" spans="16:18" ht="14.25" customHeight="1" x14ac:dyDescent="0.25">
      <c r="P547" s="19"/>
      <c r="Q547" s="19"/>
      <c r="R547" s="19"/>
    </row>
    <row r="548" spans="16:18" ht="14.25" customHeight="1" x14ac:dyDescent="0.25">
      <c r="P548" s="19"/>
      <c r="Q548" s="19"/>
      <c r="R548" s="19"/>
    </row>
    <row r="549" spans="16:18" ht="14.25" customHeight="1" x14ac:dyDescent="0.25">
      <c r="P549" s="19"/>
      <c r="Q549" s="19"/>
      <c r="R549" s="19"/>
    </row>
    <row r="550" spans="16:18" ht="14.25" customHeight="1" x14ac:dyDescent="0.25">
      <c r="P550" s="19"/>
      <c r="Q550" s="19"/>
      <c r="R550" s="19"/>
    </row>
    <row r="551" spans="16:18" ht="14.25" customHeight="1" x14ac:dyDescent="0.25">
      <c r="P551" s="19"/>
      <c r="Q551" s="19"/>
      <c r="R551" s="19"/>
    </row>
    <row r="552" spans="16:18" ht="14.25" customHeight="1" x14ac:dyDescent="0.25">
      <c r="P552" s="19"/>
      <c r="Q552" s="19"/>
      <c r="R552" s="19"/>
    </row>
    <row r="553" spans="16:18" ht="14.25" customHeight="1" x14ac:dyDescent="0.25">
      <c r="P553" s="19"/>
      <c r="Q553" s="19"/>
      <c r="R553" s="19"/>
    </row>
    <row r="554" spans="16:18" ht="14.25" customHeight="1" x14ac:dyDescent="0.25">
      <c r="P554" s="19"/>
      <c r="Q554" s="19"/>
      <c r="R554" s="19"/>
    </row>
    <row r="555" spans="16:18" ht="14.25" customHeight="1" x14ac:dyDescent="0.25">
      <c r="P555" s="19"/>
      <c r="Q555" s="19"/>
      <c r="R555" s="19"/>
    </row>
    <row r="556" spans="16:18" ht="14.25" customHeight="1" x14ac:dyDescent="0.25">
      <c r="P556" s="19"/>
      <c r="Q556" s="19"/>
      <c r="R556" s="19"/>
    </row>
    <row r="557" spans="16:18" ht="14.25" customHeight="1" x14ac:dyDescent="0.25">
      <c r="P557" s="19"/>
      <c r="Q557" s="19"/>
      <c r="R557" s="19"/>
    </row>
    <row r="558" spans="16:18" ht="14.25" customHeight="1" x14ac:dyDescent="0.25">
      <c r="P558" s="19"/>
      <c r="Q558" s="19"/>
      <c r="R558" s="19"/>
    </row>
    <row r="559" spans="16:18" ht="14.25" customHeight="1" x14ac:dyDescent="0.25">
      <c r="P559" s="19"/>
      <c r="Q559" s="19"/>
      <c r="R559" s="19"/>
    </row>
    <row r="560" spans="16:18" ht="14.25" customHeight="1" x14ac:dyDescent="0.25">
      <c r="P560" s="19"/>
      <c r="Q560" s="19"/>
      <c r="R560" s="19"/>
    </row>
    <row r="561" spans="16:18" ht="14.25" customHeight="1" x14ac:dyDescent="0.25">
      <c r="P561" s="19"/>
      <c r="Q561" s="19"/>
      <c r="R561" s="19"/>
    </row>
    <row r="562" spans="16:18" ht="14.25" customHeight="1" x14ac:dyDescent="0.25">
      <c r="P562" s="19"/>
      <c r="Q562" s="19"/>
      <c r="R562" s="19"/>
    </row>
    <row r="563" spans="16:18" ht="14.25" customHeight="1" x14ac:dyDescent="0.25">
      <c r="P563" s="19"/>
      <c r="Q563" s="19"/>
      <c r="R563" s="19"/>
    </row>
    <row r="564" spans="16:18" ht="14.25" customHeight="1" x14ac:dyDescent="0.25">
      <c r="P564" s="19"/>
      <c r="Q564" s="19"/>
      <c r="R564" s="19"/>
    </row>
    <row r="565" spans="16:18" ht="14.25" customHeight="1" x14ac:dyDescent="0.25">
      <c r="P565" s="19"/>
      <c r="Q565" s="19"/>
      <c r="R565" s="19"/>
    </row>
    <row r="566" spans="16:18" ht="14.25" customHeight="1" x14ac:dyDescent="0.25">
      <c r="P566" s="19"/>
      <c r="Q566" s="19"/>
      <c r="R566" s="19"/>
    </row>
    <row r="567" spans="16:18" ht="14.25" customHeight="1" x14ac:dyDescent="0.25">
      <c r="P567" s="19"/>
      <c r="Q567" s="19"/>
      <c r="R567" s="19"/>
    </row>
    <row r="568" spans="16:18" ht="14.25" customHeight="1" x14ac:dyDescent="0.25">
      <c r="P568" s="19"/>
      <c r="Q568" s="19"/>
      <c r="R568" s="19"/>
    </row>
    <row r="569" spans="16:18" ht="14.25" customHeight="1" x14ac:dyDescent="0.25">
      <c r="P569" s="19"/>
      <c r="Q569" s="19"/>
      <c r="R569" s="19"/>
    </row>
    <row r="570" spans="16:18" ht="14.25" customHeight="1" x14ac:dyDescent="0.25">
      <c r="P570" s="19"/>
      <c r="Q570" s="19"/>
      <c r="R570" s="19"/>
    </row>
    <row r="571" spans="16:18" ht="14.25" customHeight="1" x14ac:dyDescent="0.25">
      <c r="P571" s="19"/>
      <c r="Q571" s="19"/>
      <c r="R571" s="19"/>
    </row>
    <row r="572" spans="16:18" ht="14.25" customHeight="1" x14ac:dyDescent="0.25">
      <c r="P572" s="19"/>
      <c r="Q572" s="19"/>
      <c r="R572" s="19"/>
    </row>
    <row r="573" spans="16:18" ht="14.25" customHeight="1" x14ac:dyDescent="0.25">
      <c r="P573" s="19"/>
      <c r="Q573" s="19"/>
      <c r="R573" s="19"/>
    </row>
    <row r="574" spans="16:18" ht="14.25" customHeight="1" x14ac:dyDescent="0.25">
      <c r="P574" s="19"/>
      <c r="Q574" s="19"/>
      <c r="R574" s="19"/>
    </row>
    <row r="575" spans="16:18" ht="14.25" customHeight="1" x14ac:dyDescent="0.25">
      <c r="P575" s="19"/>
      <c r="Q575" s="19"/>
      <c r="R575" s="19"/>
    </row>
    <row r="576" spans="16:18" ht="14.25" customHeight="1" x14ac:dyDescent="0.25">
      <c r="P576" s="19"/>
      <c r="Q576" s="19"/>
      <c r="R576" s="19"/>
    </row>
    <row r="577" spans="16:18" ht="14.25" customHeight="1" x14ac:dyDescent="0.25">
      <c r="P577" s="19"/>
      <c r="Q577" s="19"/>
      <c r="R577" s="19"/>
    </row>
    <row r="578" spans="16:18" ht="14.25" customHeight="1" x14ac:dyDescent="0.25">
      <c r="P578" s="19"/>
      <c r="Q578" s="19"/>
      <c r="R578" s="19"/>
    </row>
    <row r="579" spans="16:18" ht="14.25" customHeight="1" x14ac:dyDescent="0.25">
      <c r="P579" s="19"/>
      <c r="Q579" s="19"/>
      <c r="R579" s="19"/>
    </row>
    <row r="580" spans="16:18" ht="14.25" customHeight="1" x14ac:dyDescent="0.25">
      <c r="P580" s="19"/>
      <c r="Q580" s="19"/>
      <c r="R580" s="19"/>
    </row>
    <row r="581" spans="16:18" ht="14.25" customHeight="1" x14ac:dyDescent="0.25">
      <c r="P581" s="19"/>
      <c r="Q581" s="19"/>
      <c r="R581" s="19"/>
    </row>
    <row r="582" spans="16:18" ht="14.25" customHeight="1" x14ac:dyDescent="0.25">
      <c r="P582" s="19"/>
      <c r="Q582" s="19"/>
      <c r="R582" s="19"/>
    </row>
    <row r="583" spans="16:18" ht="14.25" customHeight="1" x14ac:dyDescent="0.25">
      <c r="P583" s="19"/>
      <c r="Q583" s="19"/>
      <c r="R583" s="19"/>
    </row>
    <row r="584" spans="16:18" ht="14.25" customHeight="1" x14ac:dyDescent="0.25">
      <c r="P584" s="19"/>
      <c r="Q584" s="19"/>
      <c r="R584" s="19"/>
    </row>
    <row r="585" spans="16:18" ht="14.25" customHeight="1" x14ac:dyDescent="0.25">
      <c r="P585" s="19"/>
      <c r="Q585" s="19"/>
      <c r="R585" s="19"/>
    </row>
    <row r="586" spans="16:18" ht="14.25" customHeight="1" x14ac:dyDescent="0.25">
      <c r="P586" s="19"/>
      <c r="Q586" s="19"/>
      <c r="R586" s="19"/>
    </row>
    <row r="587" spans="16:18" ht="14.25" customHeight="1" x14ac:dyDescent="0.25">
      <c r="P587" s="19"/>
      <c r="Q587" s="19"/>
      <c r="R587" s="19"/>
    </row>
    <row r="588" spans="16:18" ht="14.25" customHeight="1" x14ac:dyDescent="0.25">
      <c r="P588" s="19"/>
      <c r="Q588" s="19"/>
      <c r="R588" s="19"/>
    </row>
    <row r="589" spans="16:18" ht="14.25" customHeight="1" x14ac:dyDescent="0.25">
      <c r="P589" s="19"/>
      <c r="Q589" s="19"/>
      <c r="R589" s="19"/>
    </row>
    <row r="590" spans="16:18" ht="14.25" customHeight="1" x14ac:dyDescent="0.25">
      <c r="P590" s="19"/>
      <c r="Q590" s="19"/>
      <c r="R590" s="19"/>
    </row>
    <row r="591" spans="16:18" ht="14.25" customHeight="1" x14ac:dyDescent="0.25">
      <c r="P591" s="19"/>
      <c r="Q591" s="19"/>
      <c r="R591" s="19"/>
    </row>
    <row r="592" spans="16:18" ht="14.25" customHeight="1" x14ac:dyDescent="0.25">
      <c r="P592" s="19"/>
      <c r="Q592" s="19"/>
      <c r="R592" s="19"/>
    </row>
    <row r="593" spans="16:18" ht="14.25" customHeight="1" x14ac:dyDescent="0.25">
      <c r="P593" s="19"/>
      <c r="Q593" s="19"/>
      <c r="R593" s="19"/>
    </row>
    <row r="594" spans="16:18" ht="14.25" customHeight="1" x14ac:dyDescent="0.25">
      <c r="P594" s="19"/>
      <c r="Q594" s="19"/>
      <c r="R594" s="19"/>
    </row>
    <row r="595" spans="16:18" ht="14.25" customHeight="1" x14ac:dyDescent="0.25">
      <c r="P595" s="19"/>
      <c r="Q595" s="19"/>
      <c r="R595" s="19"/>
    </row>
    <row r="596" spans="16:18" ht="14.25" customHeight="1" x14ac:dyDescent="0.25">
      <c r="P596" s="19"/>
      <c r="Q596" s="19"/>
      <c r="R596" s="19"/>
    </row>
    <row r="597" spans="16:18" ht="14.25" customHeight="1" x14ac:dyDescent="0.25">
      <c r="P597" s="19"/>
      <c r="Q597" s="19"/>
      <c r="R597" s="19"/>
    </row>
    <row r="598" spans="16:18" ht="14.25" customHeight="1" x14ac:dyDescent="0.25">
      <c r="P598" s="19"/>
      <c r="Q598" s="19"/>
      <c r="R598" s="19"/>
    </row>
    <row r="599" spans="16:18" ht="14.25" customHeight="1" x14ac:dyDescent="0.25">
      <c r="P599" s="19"/>
      <c r="Q599" s="19"/>
      <c r="R599" s="19"/>
    </row>
    <row r="600" spans="16:18" ht="14.25" customHeight="1" x14ac:dyDescent="0.25">
      <c r="P600" s="19"/>
      <c r="Q600" s="19"/>
      <c r="R600" s="19"/>
    </row>
    <row r="601" spans="16:18" ht="14.25" customHeight="1" x14ac:dyDescent="0.25">
      <c r="P601" s="19"/>
      <c r="Q601" s="19"/>
      <c r="R601" s="19"/>
    </row>
    <row r="602" spans="16:18" ht="14.25" customHeight="1" x14ac:dyDescent="0.25">
      <c r="P602" s="19"/>
      <c r="Q602" s="19"/>
      <c r="R602" s="19"/>
    </row>
    <row r="603" spans="16:18" ht="14.25" customHeight="1" x14ac:dyDescent="0.25">
      <c r="P603" s="19"/>
      <c r="Q603" s="19"/>
      <c r="R603" s="19"/>
    </row>
    <row r="604" spans="16:18" ht="14.25" customHeight="1" x14ac:dyDescent="0.25">
      <c r="P604" s="19"/>
      <c r="Q604" s="19"/>
      <c r="R604" s="19"/>
    </row>
    <row r="605" spans="16:18" ht="14.25" customHeight="1" x14ac:dyDescent="0.25">
      <c r="P605" s="19"/>
      <c r="Q605" s="19"/>
      <c r="R605" s="19"/>
    </row>
    <row r="606" spans="16:18" ht="14.25" customHeight="1" x14ac:dyDescent="0.25">
      <c r="P606" s="19"/>
      <c r="Q606" s="19"/>
      <c r="R606" s="19"/>
    </row>
    <row r="607" spans="16:18" ht="14.25" customHeight="1" x14ac:dyDescent="0.25">
      <c r="P607" s="19"/>
      <c r="Q607" s="19"/>
      <c r="R607" s="19"/>
    </row>
    <row r="608" spans="16:18" ht="14.25" customHeight="1" x14ac:dyDescent="0.25">
      <c r="P608" s="19"/>
      <c r="Q608" s="19"/>
      <c r="R608" s="19"/>
    </row>
    <row r="609" spans="16:18" ht="14.25" customHeight="1" x14ac:dyDescent="0.25">
      <c r="P609" s="19"/>
      <c r="Q609" s="19"/>
      <c r="R609" s="19"/>
    </row>
    <row r="610" spans="16:18" ht="14.25" customHeight="1" x14ac:dyDescent="0.25">
      <c r="P610" s="19"/>
      <c r="Q610" s="19"/>
      <c r="R610" s="19"/>
    </row>
    <row r="611" spans="16:18" ht="14.25" customHeight="1" x14ac:dyDescent="0.25">
      <c r="P611" s="19"/>
      <c r="Q611" s="19"/>
      <c r="R611" s="19"/>
    </row>
    <row r="612" spans="16:18" ht="14.25" customHeight="1" x14ac:dyDescent="0.25">
      <c r="P612" s="19"/>
      <c r="Q612" s="19"/>
      <c r="R612" s="19"/>
    </row>
    <row r="613" spans="16:18" ht="14.25" customHeight="1" x14ac:dyDescent="0.25">
      <c r="P613" s="19"/>
      <c r="Q613" s="19"/>
      <c r="R613" s="19"/>
    </row>
    <row r="614" spans="16:18" ht="14.25" customHeight="1" x14ac:dyDescent="0.25">
      <c r="P614" s="19"/>
      <c r="Q614" s="19"/>
      <c r="R614" s="19"/>
    </row>
    <row r="615" spans="16:18" ht="14.25" customHeight="1" x14ac:dyDescent="0.25">
      <c r="P615" s="19"/>
      <c r="Q615" s="19"/>
      <c r="R615" s="19"/>
    </row>
    <row r="616" spans="16:18" ht="14.25" customHeight="1" x14ac:dyDescent="0.25">
      <c r="P616" s="19"/>
      <c r="Q616" s="19"/>
      <c r="R616" s="19"/>
    </row>
    <row r="617" spans="16:18" ht="14.25" customHeight="1" x14ac:dyDescent="0.25">
      <c r="P617" s="19"/>
      <c r="Q617" s="19"/>
      <c r="R617" s="19"/>
    </row>
    <row r="618" spans="16:18" ht="14.25" customHeight="1" x14ac:dyDescent="0.25">
      <c r="P618" s="19"/>
      <c r="Q618" s="19"/>
      <c r="R618" s="19"/>
    </row>
    <row r="619" spans="16:18" ht="14.25" customHeight="1" x14ac:dyDescent="0.25">
      <c r="P619" s="19"/>
      <c r="Q619" s="19"/>
      <c r="R619" s="19"/>
    </row>
    <row r="620" spans="16:18" ht="14.25" customHeight="1" x14ac:dyDescent="0.25">
      <c r="P620" s="19"/>
      <c r="Q620" s="19"/>
      <c r="R620" s="19"/>
    </row>
    <row r="621" spans="16:18" ht="14.25" customHeight="1" x14ac:dyDescent="0.25">
      <c r="P621" s="19"/>
      <c r="Q621" s="19"/>
      <c r="R621" s="19"/>
    </row>
    <row r="622" spans="16:18" ht="14.25" customHeight="1" x14ac:dyDescent="0.25">
      <c r="P622" s="19"/>
      <c r="Q622" s="19"/>
      <c r="R622" s="19"/>
    </row>
    <row r="623" spans="16:18" ht="14.25" customHeight="1" x14ac:dyDescent="0.25">
      <c r="P623" s="19"/>
      <c r="Q623" s="19"/>
      <c r="R623" s="19"/>
    </row>
    <row r="624" spans="16:18" ht="14.25" customHeight="1" x14ac:dyDescent="0.25">
      <c r="P624" s="19"/>
      <c r="Q624" s="19"/>
      <c r="R624" s="19"/>
    </row>
    <row r="625" spans="16:18" ht="14.25" customHeight="1" x14ac:dyDescent="0.25">
      <c r="P625" s="19"/>
      <c r="Q625" s="19"/>
      <c r="R625" s="19"/>
    </row>
    <row r="626" spans="16:18" ht="14.25" customHeight="1" x14ac:dyDescent="0.25">
      <c r="P626" s="19"/>
      <c r="Q626" s="19"/>
      <c r="R626" s="19"/>
    </row>
    <row r="627" spans="16:18" ht="14.25" customHeight="1" x14ac:dyDescent="0.25">
      <c r="P627" s="19"/>
      <c r="Q627" s="19"/>
      <c r="R627" s="19"/>
    </row>
    <row r="628" spans="16:18" ht="14.25" customHeight="1" x14ac:dyDescent="0.25">
      <c r="P628" s="19"/>
      <c r="Q628" s="19"/>
      <c r="R628" s="19"/>
    </row>
    <row r="629" spans="16:18" ht="14.25" customHeight="1" x14ac:dyDescent="0.25">
      <c r="P629" s="19"/>
      <c r="Q629" s="19"/>
      <c r="R629" s="19"/>
    </row>
    <row r="630" spans="16:18" ht="14.25" customHeight="1" x14ac:dyDescent="0.25">
      <c r="P630" s="19"/>
      <c r="Q630" s="19"/>
      <c r="R630" s="19"/>
    </row>
    <row r="631" spans="16:18" ht="14.25" customHeight="1" x14ac:dyDescent="0.25">
      <c r="P631" s="19"/>
      <c r="Q631" s="19"/>
      <c r="R631" s="19"/>
    </row>
    <row r="632" spans="16:18" ht="14.25" customHeight="1" x14ac:dyDescent="0.25">
      <c r="P632" s="19"/>
      <c r="Q632" s="19"/>
      <c r="R632" s="19"/>
    </row>
    <row r="633" spans="16:18" ht="14.25" customHeight="1" x14ac:dyDescent="0.25">
      <c r="P633" s="19"/>
      <c r="Q633" s="19"/>
      <c r="R633" s="19"/>
    </row>
    <row r="634" spans="16:18" ht="14.25" customHeight="1" x14ac:dyDescent="0.25">
      <c r="P634" s="19"/>
      <c r="Q634" s="19"/>
      <c r="R634" s="19"/>
    </row>
    <row r="635" spans="16:18" ht="14.25" customHeight="1" x14ac:dyDescent="0.25">
      <c r="P635" s="19"/>
      <c r="Q635" s="19"/>
      <c r="R635" s="19"/>
    </row>
    <row r="636" spans="16:18" ht="14.25" customHeight="1" x14ac:dyDescent="0.25">
      <c r="P636" s="19"/>
      <c r="Q636" s="19"/>
      <c r="R636" s="19"/>
    </row>
    <row r="637" spans="16:18" ht="14.25" customHeight="1" x14ac:dyDescent="0.25">
      <c r="P637" s="19"/>
      <c r="Q637" s="19"/>
      <c r="R637" s="19"/>
    </row>
    <row r="638" spans="16:18" ht="14.25" customHeight="1" x14ac:dyDescent="0.25">
      <c r="P638" s="19"/>
      <c r="Q638" s="19"/>
      <c r="R638" s="19"/>
    </row>
    <row r="639" spans="16:18" ht="14.25" customHeight="1" x14ac:dyDescent="0.25">
      <c r="P639" s="19"/>
      <c r="Q639" s="19"/>
      <c r="R639" s="19"/>
    </row>
    <row r="640" spans="16:18" ht="14.25" customHeight="1" x14ac:dyDescent="0.25">
      <c r="P640" s="19"/>
      <c r="Q640" s="19"/>
      <c r="R640" s="19"/>
    </row>
    <row r="641" spans="16:18" ht="14.25" customHeight="1" x14ac:dyDescent="0.25">
      <c r="P641" s="19"/>
      <c r="Q641" s="19"/>
      <c r="R641" s="19"/>
    </row>
    <row r="642" spans="16:18" ht="14.25" customHeight="1" x14ac:dyDescent="0.25">
      <c r="P642" s="19"/>
      <c r="Q642" s="19"/>
      <c r="R642" s="19"/>
    </row>
    <row r="643" spans="16:18" ht="14.25" customHeight="1" x14ac:dyDescent="0.25">
      <c r="P643" s="19"/>
      <c r="Q643" s="19"/>
      <c r="R643" s="19"/>
    </row>
    <row r="644" spans="16:18" ht="14.25" customHeight="1" x14ac:dyDescent="0.25">
      <c r="P644" s="19"/>
      <c r="Q644" s="19"/>
      <c r="R644" s="19"/>
    </row>
    <row r="645" spans="16:18" ht="14.25" customHeight="1" x14ac:dyDescent="0.25">
      <c r="P645" s="19"/>
      <c r="Q645" s="19"/>
      <c r="R645" s="19"/>
    </row>
    <row r="646" spans="16:18" ht="14.25" customHeight="1" x14ac:dyDescent="0.25">
      <c r="P646" s="19"/>
      <c r="Q646" s="19"/>
      <c r="R646" s="19"/>
    </row>
    <row r="647" spans="16:18" ht="14.25" customHeight="1" x14ac:dyDescent="0.25">
      <c r="P647" s="19"/>
      <c r="Q647" s="19"/>
      <c r="R647" s="19"/>
    </row>
    <row r="648" spans="16:18" ht="14.25" customHeight="1" x14ac:dyDescent="0.25">
      <c r="P648" s="19"/>
      <c r="Q648" s="19"/>
      <c r="R648" s="19"/>
    </row>
    <row r="649" spans="16:18" ht="14.25" customHeight="1" x14ac:dyDescent="0.25">
      <c r="P649" s="19"/>
      <c r="Q649" s="19"/>
      <c r="R649" s="19"/>
    </row>
    <row r="650" spans="16:18" ht="14.25" customHeight="1" x14ac:dyDescent="0.25">
      <c r="P650" s="19"/>
      <c r="Q650" s="19"/>
      <c r="R650" s="19"/>
    </row>
    <row r="651" spans="16:18" ht="14.25" customHeight="1" x14ac:dyDescent="0.25">
      <c r="P651" s="19"/>
      <c r="Q651" s="19"/>
      <c r="R651" s="19"/>
    </row>
    <row r="652" spans="16:18" ht="14.25" customHeight="1" x14ac:dyDescent="0.25">
      <c r="P652" s="19"/>
      <c r="Q652" s="19"/>
      <c r="R652" s="19"/>
    </row>
    <row r="653" spans="16:18" ht="14.25" customHeight="1" x14ac:dyDescent="0.25">
      <c r="P653" s="19"/>
      <c r="Q653" s="19"/>
      <c r="R653" s="19"/>
    </row>
    <row r="654" spans="16:18" ht="14.25" customHeight="1" x14ac:dyDescent="0.25">
      <c r="P654" s="19"/>
      <c r="Q654" s="19"/>
      <c r="R654" s="19"/>
    </row>
    <row r="655" spans="16:18" ht="14.25" customHeight="1" x14ac:dyDescent="0.25">
      <c r="P655" s="19"/>
      <c r="Q655" s="19"/>
      <c r="R655" s="19"/>
    </row>
    <row r="656" spans="16:18" ht="14.25" customHeight="1" x14ac:dyDescent="0.25">
      <c r="P656" s="19"/>
      <c r="Q656" s="19"/>
      <c r="R656" s="19"/>
    </row>
    <row r="657" spans="16:18" ht="14.25" customHeight="1" x14ac:dyDescent="0.25">
      <c r="P657" s="19"/>
      <c r="Q657" s="19"/>
      <c r="R657" s="19"/>
    </row>
    <row r="658" spans="16:18" ht="14.25" customHeight="1" x14ac:dyDescent="0.25">
      <c r="P658" s="19"/>
      <c r="Q658" s="19"/>
      <c r="R658" s="19"/>
    </row>
    <row r="659" spans="16:18" ht="14.25" customHeight="1" x14ac:dyDescent="0.25">
      <c r="P659" s="19"/>
      <c r="Q659" s="19"/>
      <c r="R659" s="19"/>
    </row>
    <row r="660" spans="16:18" ht="14.25" customHeight="1" x14ac:dyDescent="0.25">
      <c r="P660" s="19"/>
      <c r="Q660" s="19"/>
      <c r="R660" s="19"/>
    </row>
    <row r="661" spans="16:18" ht="14.25" customHeight="1" x14ac:dyDescent="0.25">
      <c r="P661" s="19"/>
      <c r="Q661" s="19"/>
      <c r="R661" s="19"/>
    </row>
    <row r="662" spans="16:18" ht="14.25" customHeight="1" x14ac:dyDescent="0.25">
      <c r="P662" s="19"/>
      <c r="Q662" s="19"/>
      <c r="R662" s="19"/>
    </row>
    <row r="663" spans="16:18" ht="14.25" customHeight="1" x14ac:dyDescent="0.25">
      <c r="P663" s="19"/>
      <c r="Q663" s="19"/>
      <c r="R663" s="19"/>
    </row>
    <row r="664" spans="16:18" ht="14.25" customHeight="1" x14ac:dyDescent="0.25">
      <c r="P664" s="19"/>
      <c r="Q664" s="19"/>
      <c r="R664" s="19"/>
    </row>
    <row r="665" spans="16:18" ht="14.25" customHeight="1" x14ac:dyDescent="0.25">
      <c r="P665" s="19"/>
      <c r="Q665" s="19"/>
      <c r="R665" s="19"/>
    </row>
    <row r="666" spans="16:18" ht="14.25" customHeight="1" x14ac:dyDescent="0.25">
      <c r="P666" s="19"/>
      <c r="Q666" s="19"/>
      <c r="R666" s="19"/>
    </row>
    <row r="667" spans="16:18" ht="14.25" customHeight="1" x14ac:dyDescent="0.25">
      <c r="P667" s="19"/>
      <c r="Q667" s="19"/>
      <c r="R667" s="19"/>
    </row>
    <row r="668" spans="16:18" ht="14.25" customHeight="1" x14ac:dyDescent="0.25">
      <c r="P668" s="19"/>
      <c r="Q668" s="19"/>
      <c r="R668" s="19"/>
    </row>
    <row r="669" spans="16:18" ht="14.25" customHeight="1" x14ac:dyDescent="0.25">
      <c r="P669" s="19"/>
      <c r="Q669" s="19"/>
      <c r="R669" s="19"/>
    </row>
    <row r="670" spans="16:18" ht="14.25" customHeight="1" x14ac:dyDescent="0.25">
      <c r="P670" s="19"/>
      <c r="Q670" s="19"/>
      <c r="R670" s="19"/>
    </row>
    <row r="671" spans="16:18" ht="14.25" customHeight="1" x14ac:dyDescent="0.25">
      <c r="P671" s="19"/>
      <c r="Q671" s="19"/>
      <c r="R671" s="19"/>
    </row>
    <row r="672" spans="16:18" ht="14.25" customHeight="1" x14ac:dyDescent="0.25">
      <c r="P672" s="19"/>
      <c r="Q672" s="19"/>
      <c r="R672" s="19"/>
    </row>
    <row r="673" spans="16:18" ht="14.25" customHeight="1" x14ac:dyDescent="0.25">
      <c r="P673" s="19"/>
      <c r="Q673" s="19"/>
      <c r="R673" s="19"/>
    </row>
    <row r="674" spans="16:18" ht="14.25" customHeight="1" x14ac:dyDescent="0.25">
      <c r="P674" s="19"/>
      <c r="Q674" s="19"/>
      <c r="R674" s="19"/>
    </row>
    <row r="675" spans="16:18" ht="14.25" customHeight="1" x14ac:dyDescent="0.25">
      <c r="P675" s="19"/>
      <c r="Q675" s="19"/>
      <c r="R675" s="19"/>
    </row>
    <row r="676" spans="16:18" ht="14.25" customHeight="1" x14ac:dyDescent="0.25">
      <c r="P676" s="19"/>
      <c r="Q676" s="19"/>
      <c r="R676" s="19"/>
    </row>
    <row r="677" spans="16:18" ht="14.25" customHeight="1" x14ac:dyDescent="0.25">
      <c r="P677" s="19"/>
      <c r="Q677" s="19"/>
      <c r="R677" s="19"/>
    </row>
    <row r="678" spans="16:18" ht="14.25" customHeight="1" x14ac:dyDescent="0.25">
      <c r="P678" s="19"/>
      <c r="Q678" s="19"/>
      <c r="R678" s="19"/>
    </row>
    <row r="679" spans="16:18" ht="14.25" customHeight="1" x14ac:dyDescent="0.25">
      <c r="P679" s="19"/>
      <c r="Q679" s="19"/>
      <c r="R679" s="19"/>
    </row>
    <row r="680" spans="16:18" ht="14.25" customHeight="1" x14ac:dyDescent="0.25">
      <c r="P680" s="19"/>
      <c r="Q680" s="19"/>
      <c r="R680" s="19"/>
    </row>
    <row r="681" spans="16:18" ht="14.25" customHeight="1" x14ac:dyDescent="0.25">
      <c r="P681" s="19"/>
      <c r="Q681" s="19"/>
      <c r="R681" s="19"/>
    </row>
    <row r="682" spans="16:18" ht="14.25" customHeight="1" x14ac:dyDescent="0.25">
      <c r="P682" s="19"/>
      <c r="Q682" s="19"/>
      <c r="R682" s="19"/>
    </row>
    <row r="683" spans="16:18" ht="14.25" customHeight="1" x14ac:dyDescent="0.25">
      <c r="P683" s="19"/>
      <c r="Q683" s="19"/>
      <c r="R683" s="19"/>
    </row>
    <row r="684" spans="16:18" ht="14.25" customHeight="1" x14ac:dyDescent="0.25">
      <c r="P684" s="19"/>
      <c r="Q684" s="19"/>
      <c r="R684" s="19"/>
    </row>
    <row r="685" spans="16:18" ht="14.25" customHeight="1" x14ac:dyDescent="0.25">
      <c r="P685" s="19"/>
      <c r="Q685" s="19"/>
      <c r="R685" s="19"/>
    </row>
    <row r="686" spans="16:18" ht="14.25" customHeight="1" x14ac:dyDescent="0.25">
      <c r="P686" s="19"/>
      <c r="Q686" s="19"/>
      <c r="R686" s="19"/>
    </row>
    <row r="687" spans="16:18" ht="14.25" customHeight="1" x14ac:dyDescent="0.25">
      <c r="P687" s="19"/>
      <c r="Q687" s="19"/>
      <c r="R687" s="19"/>
    </row>
    <row r="688" spans="16:18" ht="14.25" customHeight="1" x14ac:dyDescent="0.25">
      <c r="P688" s="19"/>
      <c r="Q688" s="19"/>
      <c r="R688" s="19"/>
    </row>
    <row r="689" spans="16:18" ht="14.25" customHeight="1" x14ac:dyDescent="0.25">
      <c r="P689" s="19"/>
      <c r="Q689" s="19"/>
      <c r="R689" s="19"/>
    </row>
    <row r="690" spans="16:18" ht="14.25" customHeight="1" x14ac:dyDescent="0.25">
      <c r="P690" s="19"/>
      <c r="Q690" s="19"/>
      <c r="R690" s="19"/>
    </row>
    <row r="691" spans="16:18" ht="14.25" customHeight="1" x14ac:dyDescent="0.25">
      <c r="P691" s="19"/>
      <c r="Q691" s="19"/>
      <c r="R691" s="19"/>
    </row>
    <row r="692" spans="16:18" ht="14.25" customHeight="1" x14ac:dyDescent="0.25">
      <c r="P692" s="19"/>
      <c r="Q692" s="19"/>
      <c r="R692" s="19"/>
    </row>
    <row r="693" spans="16:18" ht="14.25" customHeight="1" x14ac:dyDescent="0.25">
      <c r="P693" s="19"/>
      <c r="Q693" s="19"/>
      <c r="R693" s="19"/>
    </row>
    <row r="694" spans="16:18" ht="14.25" customHeight="1" x14ac:dyDescent="0.25">
      <c r="P694" s="19"/>
      <c r="Q694" s="19"/>
      <c r="R694" s="19"/>
    </row>
    <row r="695" spans="16:18" ht="14.25" customHeight="1" x14ac:dyDescent="0.25">
      <c r="P695" s="19"/>
      <c r="Q695" s="19"/>
      <c r="R695" s="19"/>
    </row>
    <row r="696" spans="16:18" ht="14.25" customHeight="1" x14ac:dyDescent="0.25">
      <c r="P696" s="19"/>
      <c r="Q696" s="19"/>
      <c r="R696" s="19"/>
    </row>
    <row r="697" spans="16:18" ht="14.25" customHeight="1" x14ac:dyDescent="0.25">
      <c r="P697" s="19"/>
      <c r="Q697" s="19"/>
      <c r="R697" s="19"/>
    </row>
    <row r="698" spans="16:18" ht="14.25" customHeight="1" x14ac:dyDescent="0.25">
      <c r="P698" s="19"/>
      <c r="Q698" s="19"/>
      <c r="R698" s="19"/>
    </row>
    <row r="699" spans="16:18" ht="14.25" customHeight="1" x14ac:dyDescent="0.25">
      <c r="P699" s="19"/>
      <c r="Q699" s="19"/>
      <c r="R699" s="19"/>
    </row>
    <row r="700" spans="16:18" ht="14.25" customHeight="1" x14ac:dyDescent="0.25">
      <c r="P700" s="19"/>
      <c r="Q700" s="19"/>
      <c r="R700" s="19"/>
    </row>
    <row r="701" spans="16:18" ht="14.25" customHeight="1" x14ac:dyDescent="0.25">
      <c r="P701" s="19"/>
      <c r="Q701" s="19"/>
      <c r="R701" s="19"/>
    </row>
    <row r="702" spans="16:18" ht="14.25" customHeight="1" x14ac:dyDescent="0.25">
      <c r="P702" s="19"/>
      <c r="Q702" s="19"/>
      <c r="R702" s="19"/>
    </row>
    <row r="703" spans="16:18" ht="14.25" customHeight="1" x14ac:dyDescent="0.25">
      <c r="P703" s="19"/>
      <c r="Q703" s="19"/>
      <c r="R703" s="19"/>
    </row>
    <row r="704" spans="16:18" ht="14.25" customHeight="1" x14ac:dyDescent="0.25">
      <c r="P704" s="19"/>
      <c r="Q704" s="19"/>
      <c r="R704" s="19"/>
    </row>
    <row r="705" spans="16:18" ht="14.25" customHeight="1" x14ac:dyDescent="0.25">
      <c r="P705" s="19"/>
      <c r="Q705" s="19"/>
      <c r="R705" s="19"/>
    </row>
    <row r="706" spans="16:18" ht="14.25" customHeight="1" x14ac:dyDescent="0.25">
      <c r="P706" s="19"/>
      <c r="Q706" s="19"/>
      <c r="R706" s="19"/>
    </row>
    <row r="707" spans="16:18" ht="14.25" customHeight="1" x14ac:dyDescent="0.25">
      <c r="P707" s="19"/>
      <c r="Q707" s="19"/>
      <c r="R707" s="19"/>
    </row>
    <row r="708" spans="16:18" ht="14.25" customHeight="1" x14ac:dyDescent="0.25">
      <c r="P708" s="19"/>
      <c r="Q708" s="19"/>
      <c r="R708" s="19"/>
    </row>
    <row r="709" spans="16:18" ht="14.25" customHeight="1" x14ac:dyDescent="0.25">
      <c r="P709" s="19"/>
      <c r="Q709" s="19"/>
      <c r="R709" s="19"/>
    </row>
    <row r="710" spans="16:18" ht="14.25" customHeight="1" x14ac:dyDescent="0.25">
      <c r="P710" s="19"/>
      <c r="Q710" s="19"/>
      <c r="R710" s="19"/>
    </row>
    <row r="711" spans="16:18" ht="14.25" customHeight="1" x14ac:dyDescent="0.25">
      <c r="P711" s="19"/>
      <c r="Q711" s="19"/>
      <c r="R711" s="19"/>
    </row>
    <row r="712" spans="16:18" ht="14.25" customHeight="1" x14ac:dyDescent="0.25">
      <c r="P712" s="19"/>
      <c r="Q712" s="19"/>
      <c r="R712" s="19"/>
    </row>
    <row r="713" spans="16:18" ht="14.25" customHeight="1" x14ac:dyDescent="0.25">
      <c r="P713" s="19"/>
      <c r="Q713" s="19"/>
      <c r="R713" s="19"/>
    </row>
    <row r="714" spans="16:18" ht="14.25" customHeight="1" x14ac:dyDescent="0.25">
      <c r="P714" s="19"/>
      <c r="Q714" s="19"/>
      <c r="R714" s="19"/>
    </row>
    <row r="715" spans="16:18" ht="14.25" customHeight="1" x14ac:dyDescent="0.25">
      <c r="P715" s="19"/>
      <c r="Q715" s="19"/>
      <c r="R715" s="19"/>
    </row>
    <row r="716" spans="16:18" ht="14.25" customHeight="1" x14ac:dyDescent="0.25">
      <c r="P716" s="19"/>
      <c r="Q716" s="19"/>
      <c r="R716" s="19"/>
    </row>
    <row r="717" spans="16:18" ht="14.25" customHeight="1" x14ac:dyDescent="0.25">
      <c r="P717" s="19"/>
      <c r="Q717" s="19"/>
      <c r="R717" s="19"/>
    </row>
    <row r="718" spans="16:18" ht="14.25" customHeight="1" x14ac:dyDescent="0.25">
      <c r="P718" s="19"/>
      <c r="Q718" s="19"/>
      <c r="R718" s="19"/>
    </row>
    <row r="719" spans="16:18" ht="14.25" customHeight="1" x14ac:dyDescent="0.25">
      <c r="P719" s="19"/>
      <c r="Q719" s="19"/>
      <c r="R719" s="19"/>
    </row>
    <row r="720" spans="16:18" ht="14.25" customHeight="1" x14ac:dyDescent="0.25">
      <c r="P720" s="19"/>
      <c r="Q720" s="19"/>
      <c r="R720" s="19"/>
    </row>
    <row r="721" spans="16:18" ht="14.25" customHeight="1" x14ac:dyDescent="0.25">
      <c r="P721" s="19"/>
      <c r="Q721" s="19"/>
      <c r="R721" s="19"/>
    </row>
    <row r="722" spans="16:18" ht="14.25" customHeight="1" x14ac:dyDescent="0.25">
      <c r="P722" s="19"/>
      <c r="Q722" s="19"/>
      <c r="R722" s="19"/>
    </row>
    <row r="723" spans="16:18" ht="14.25" customHeight="1" x14ac:dyDescent="0.25">
      <c r="P723" s="19"/>
      <c r="Q723" s="19"/>
      <c r="R723" s="19"/>
    </row>
    <row r="724" spans="16:18" ht="14.25" customHeight="1" x14ac:dyDescent="0.25">
      <c r="P724" s="19"/>
      <c r="Q724" s="19"/>
      <c r="R724" s="19"/>
    </row>
    <row r="725" spans="16:18" ht="14.25" customHeight="1" x14ac:dyDescent="0.25">
      <c r="P725" s="19"/>
      <c r="Q725" s="19"/>
      <c r="R725" s="19"/>
    </row>
    <row r="726" spans="16:18" ht="14.25" customHeight="1" x14ac:dyDescent="0.25">
      <c r="P726" s="19"/>
      <c r="Q726" s="19"/>
      <c r="R726" s="19"/>
    </row>
    <row r="727" spans="16:18" ht="14.25" customHeight="1" x14ac:dyDescent="0.25">
      <c r="P727" s="19"/>
      <c r="Q727" s="19"/>
      <c r="R727" s="19"/>
    </row>
    <row r="728" spans="16:18" ht="14.25" customHeight="1" x14ac:dyDescent="0.25">
      <c r="P728" s="19"/>
      <c r="Q728" s="19"/>
      <c r="R728" s="19"/>
    </row>
    <row r="729" spans="16:18" ht="14.25" customHeight="1" x14ac:dyDescent="0.25">
      <c r="P729" s="19"/>
      <c r="Q729" s="19"/>
      <c r="R729" s="19"/>
    </row>
    <row r="730" spans="16:18" ht="14.25" customHeight="1" x14ac:dyDescent="0.25">
      <c r="P730" s="19"/>
      <c r="Q730" s="19"/>
      <c r="R730" s="19"/>
    </row>
    <row r="731" spans="16:18" ht="14.25" customHeight="1" x14ac:dyDescent="0.25">
      <c r="P731" s="19"/>
      <c r="Q731" s="19"/>
      <c r="R731" s="19"/>
    </row>
    <row r="732" spans="16:18" ht="14.25" customHeight="1" x14ac:dyDescent="0.25">
      <c r="P732" s="19"/>
      <c r="Q732" s="19"/>
      <c r="R732" s="19"/>
    </row>
    <row r="733" spans="16:18" ht="14.25" customHeight="1" x14ac:dyDescent="0.25">
      <c r="P733" s="19"/>
      <c r="Q733" s="19"/>
      <c r="R733" s="19"/>
    </row>
    <row r="734" spans="16:18" ht="14.25" customHeight="1" x14ac:dyDescent="0.25">
      <c r="P734" s="19"/>
      <c r="Q734" s="19"/>
      <c r="R734" s="19"/>
    </row>
    <row r="735" spans="16:18" ht="14.25" customHeight="1" x14ac:dyDescent="0.25">
      <c r="P735" s="19"/>
      <c r="Q735" s="19"/>
      <c r="R735" s="19"/>
    </row>
    <row r="736" spans="16:18" ht="14.25" customHeight="1" x14ac:dyDescent="0.25">
      <c r="P736" s="19"/>
      <c r="Q736" s="19"/>
      <c r="R736" s="19"/>
    </row>
    <row r="737" spans="16:18" ht="14.25" customHeight="1" x14ac:dyDescent="0.25">
      <c r="P737" s="19"/>
      <c r="Q737" s="19"/>
      <c r="R737" s="19"/>
    </row>
    <row r="738" spans="16:18" ht="14.25" customHeight="1" x14ac:dyDescent="0.25">
      <c r="P738" s="19"/>
      <c r="Q738" s="19"/>
      <c r="R738" s="19"/>
    </row>
    <row r="739" spans="16:18" ht="14.25" customHeight="1" x14ac:dyDescent="0.25">
      <c r="P739" s="19"/>
      <c r="Q739" s="19"/>
      <c r="R739" s="19"/>
    </row>
    <row r="740" spans="16:18" ht="14.25" customHeight="1" x14ac:dyDescent="0.25">
      <c r="P740" s="19"/>
      <c r="Q740" s="19"/>
      <c r="R740" s="19"/>
    </row>
    <row r="741" spans="16:18" ht="14.25" customHeight="1" x14ac:dyDescent="0.25">
      <c r="P741" s="19"/>
      <c r="Q741" s="19"/>
      <c r="R741" s="19"/>
    </row>
    <row r="742" spans="16:18" ht="14.25" customHeight="1" x14ac:dyDescent="0.25">
      <c r="P742" s="19"/>
      <c r="Q742" s="19"/>
      <c r="R742" s="19"/>
    </row>
    <row r="743" spans="16:18" ht="14.25" customHeight="1" x14ac:dyDescent="0.25">
      <c r="P743" s="19"/>
      <c r="Q743" s="19"/>
      <c r="R743" s="19"/>
    </row>
    <row r="744" spans="16:18" ht="14.25" customHeight="1" x14ac:dyDescent="0.25">
      <c r="P744" s="19"/>
      <c r="Q744" s="19"/>
      <c r="R744" s="19"/>
    </row>
    <row r="745" spans="16:18" ht="14.25" customHeight="1" x14ac:dyDescent="0.25">
      <c r="P745" s="19"/>
      <c r="Q745" s="19"/>
      <c r="R745" s="19"/>
    </row>
    <row r="746" spans="16:18" ht="14.25" customHeight="1" x14ac:dyDescent="0.25">
      <c r="P746" s="19"/>
      <c r="Q746" s="19"/>
      <c r="R746" s="19"/>
    </row>
    <row r="747" spans="16:18" ht="14.25" customHeight="1" x14ac:dyDescent="0.25">
      <c r="P747" s="19"/>
      <c r="Q747" s="19"/>
      <c r="R747" s="19"/>
    </row>
    <row r="748" spans="16:18" ht="14.25" customHeight="1" x14ac:dyDescent="0.25">
      <c r="P748" s="19"/>
      <c r="Q748" s="19"/>
      <c r="R748" s="19"/>
    </row>
    <row r="749" spans="16:18" ht="14.25" customHeight="1" x14ac:dyDescent="0.25">
      <c r="P749" s="19"/>
      <c r="Q749" s="19"/>
      <c r="R749" s="19"/>
    </row>
    <row r="750" spans="16:18" ht="14.25" customHeight="1" x14ac:dyDescent="0.25">
      <c r="P750" s="19"/>
      <c r="Q750" s="19"/>
      <c r="R750" s="19"/>
    </row>
    <row r="751" spans="16:18" ht="14.25" customHeight="1" x14ac:dyDescent="0.25">
      <c r="P751" s="19"/>
      <c r="Q751" s="19"/>
      <c r="R751" s="19"/>
    </row>
    <row r="752" spans="16:18" ht="14.25" customHeight="1" x14ac:dyDescent="0.25">
      <c r="P752" s="19"/>
      <c r="Q752" s="19"/>
      <c r="R752" s="19"/>
    </row>
    <row r="753" spans="16:18" ht="14.25" customHeight="1" x14ac:dyDescent="0.25">
      <c r="P753" s="19"/>
      <c r="Q753" s="19"/>
      <c r="R753" s="19"/>
    </row>
    <row r="754" spans="16:18" ht="14.25" customHeight="1" x14ac:dyDescent="0.25">
      <c r="P754" s="19"/>
      <c r="Q754" s="19"/>
      <c r="R754" s="19"/>
    </row>
    <row r="755" spans="16:18" ht="14.25" customHeight="1" x14ac:dyDescent="0.25">
      <c r="P755" s="19"/>
      <c r="Q755" s="19"/>
      <c r="R755" s="19"/>
    </row>
    <row r="756" spans="16:18" ht="14.25" customHeight="1" x14ac:dyDescent="0.25">
      <c r="P756" s="19"/>
      <c r="Q756" s="19"/>
      <c r="R756" s="19"/>
    </row>
    <row r="757" spans="16:18" ht="14.25" customHeight="1" x14ac:dyDescent="0.25">
      <c r="P757" s="19"/>
      <c r="Q757" s="19"/>
      <c r="R757" s="19"/>
    </row>
    <row r="758" spans="16:18" ht="14.25" customHeight="1" x14ac:dyDescent="0.25">
      <c r="P758" s="19"/>
      <c r="Q758" s="19"/>
      <c r="R758" s="19"/>
    </row>
    <row r="759" spans="16:18" ht="14.25" customHeight="1" x14ac:dyDescent="0.25">
      <c r="P759" s="19"/>
      <c r="Q759" s="19"/>
      <c r="R759" s="19"/>
    </row>
    <row r="760" spans="16:18" ht="14.25" customHeight="1" x14ac:dyDescent="0.25">
      <c r="P760" s="19"/>
      <c r="Q760" s="19"/>
      <c r="R760" s="19"/>
    </row>
    <row r="761" spans="16:18" ht="14.25" customHeight="1" x14ac:dyDescent="0.25">
      <c r="P761" s="19"/>
      <c r="Q761" s="19"/>
      <c r="R761" s="19"/>
    </row>
    <row r="762" spans="16:18" ht="14.25" customHeight="1" x14ac:dyDescent="0.25">
      <c r="P762" s="19"/>
      <c r="Q762" s="19"/>
      <c r="R762" s="19"/>
    </row>
    <row r="763" spans="16:18" ht="14.25" customHeight="1" x14ac:dyDescent="0.25">
      <c r="P763" s="19"/>
      <c r="Q763" s="19"/>
      <c r="R763" s="19"/>
    </row>
    <row r="764" spans="16:18" ht="14.25" customHeight="1" x14ac:dyDescent="0.25">
      <c r="P764" s="19"/>
      <c r="Q764" s="19"/>
      <c r="R764" s="19"/>
    </row>
    <row r="765" spans="16:18" ht="14.25" customHeight="1" x14ac:dyDescent="0.25">
      <c r="P765" s="19"/>
      <c r="Q765" s="19"/>
      <c r="R765" s="19"/>
    </row>
    <row r="766" spans="16:18" ht="14.25" customHeight="1" x14ac:dyDescent="0.25">
      <c r="P766" s="19"/>
      <c r="Q766" s="19"/>
      <c r="R766" s="19"/>
    </row>
    <row r="767" spans="16:18" ht="14.25" customHeight="1" x14ac:dyDescent="0.25">
      <c r="P767" s="19"/>
      <c r="Q767" s="19"/>
      <c r="R767" s="19"/>
    </row>
    <row r="768" spans="16:18" ht="14.25" customHeight="1" x14ac:dyDescent="0.25">
      <c r="P768" s="19"/>
      <c r="Q768" s="19"/>
      <c r="R768" s="19"/>
    </row>
    <row r="769" spans="16:18" ht="14.25" customHeight="1" x14ac:dyDescent="0.25">
      <c r="P769" s="19"/>
      <c r="Q769" s="19"/>
      <c r="R769" s="19"/>
    </row>
    <row r="770" spans="16:18" ht="14.25" customHeight="1" x14ac:dyDescent="0.25">
      <c r="P770" s="19"/>
      <c r="Q770" s="19"/>
      <c r="R770" s="19"/>
    </row>
    <row r="771" spans="16:18" ht="14.25" customHeight="1" x14ac:dyDescent="0.25">
      <c r="P771" s="19"/>
      <c r="Q771" s="19"/>
      <c r="R771" s="19"/>
    </row>
    <row r="772" spans="16:18" ht="14.25" customHeight="1" x14ac:dyDescent="0.25">
      <c r="P772" s="19"/>
      <c r="Q772" s="19"/>
      <c r="R772" s="19"/>
    </row>
    <row r="773" spans="16:18" ht="14.25" customHeight="1" x14ac:dyDescent="0.25">
      <c r="P773" s="19"/>
      <c r="Q773" s="19"/>
      <c r="R773" s="19"/>
    </row>
    <row r="774" spans="16:18" ht="14.25" customHeight="1" x14ac:dyDescent="0.25">
      <c r="P774" s="19"/>
      <c r="Q774" s="19"/>
      <c r="R774" s="19"/>
    </row>
    <row r="775" spans="16:18" ht="14.25" customHeight="1" x14ac:dyDescent="0.25">
      <c r="P775" s="19"/>
      <c r="Q775" s="19"/>
      <c r="R775" s="19"/>
    </row>
    <row r="776" spans="16:18" ht="14.25" customHeight="1" x14ac:dyDescent="0.25">
      <c r="P776" s="19"/>
      <c r="Q776" s="19"/>
      <c r="R776" s="19"/>
    </row>
    <row r="777" spans="16:18" ht="14.25" customHeight="1" x14ac:dyDescent="0.25">
      <c r="P777" s="19"/>
      <c r="Q777" s="19"/>
      <c r="R777" s="19"/>
    </row>
    <row r="778" spans="16:18" ht="14.25" customHeight="1" x14ac:dyDescent="0.25">
      <c r="P778" s="19"/>
      <c r="Q778" s="19"/>
      <c r="R778" s="19"/>
    </row>
    <row r="779" spans="16:18" ht="14.25" customHeight="1" x14ac:dyDescent="0.25">
      <c r="P779" s="19"/>
      <c r="Q779" s="19"/>
      <c r="R779" s="19"/>
    </row>
    <row r="780" spans="16:18" ht="14.25" customHeight="1" x14ac:dyDescent="0.25">
      <c r="P780" s="19"/>
      <c r="Q780" s="19"/>
      <c r="R780" s="19"/>
    </row>
    <row r="781" spans="16:18" ht="14.25" customHeight="1" x14ac:dyDescent="0.25">
      <c r="P781" s="19"/>
      <c r="Q781" s="19"/>
      <c r="R781" s="19"/>
    </row>
    <row r="782" spans="16:18" ht="14.25" customHeight="1" x14ac:dyDescent="0.25">
      <c r="P782" s="19"/>
      <c r="Q782" s="19"/>
      <c r="R782" s="19"/>
    </row>
    <row r="783" spans="16:18" ht="14.25" customHeight="1" x14ac:dyDescent="0.25">
      <c r="P783" s="19"/>
      <c r="Q783" s="19"/>
      <c r="R783" s="19"/>
    </row>
    <row r="784" spans="16:18" ht="14.25" customHeight="1" x14ac:dyDescent="0.25">
      <c r="P784" s="19"/>
      <c r="Q784" s="19"/>
      <c r="R784" s="19"/>
    </row>
    <row r="785" spans="16:18" ht="14.25" customHeight="1" x14ac:dyDescent="0.25">
      <c r="P785" s="19"/>
      <c r="Q785" s="19"/>
      <c r="R785" s="19"/>
    </row>
    <row r="786" spans="16:18" ht="14.25" customHeight="1" x14ac:dyDescent="0.25">
      <c r="P786" s="19"/>
      <c r="Q786" s="19"/>
      <c r="R786" s="19"/>
    </row>
    <row r="787" spans="16:18" ht="14.25" customHeight="1" x14ac:dyDescent="0.25">
      <c r="P787" s="19"/>
      <c r="Q787" s="19"/>
      <c r="R787" s="19"/>
    </row>
    <row r="788" spans="16:18" ht="14.25" customHeight="1" x14ac:dyDescent="0.25">
      <c r="P788" s="19"/>
      <c r="Q788" s="19"/>
      <c r="R788" s="19"/>
    </row>
    <row r="789" spans="16:18" ht="14.25" customHeight="1" x14ac:dyDescent="0.25">
      <c r="P789" s="19"/>
      <c r="Q789" s="19"/>
      <c r="R789" s="19"/>
    </row>
    <row r="790" spans="16:18" ht="14.25" customHeight="1" x14ac:dyDescent="0.25">
      <c r="P790" s="19"/>
      <c r="Q790" s="19"/>
      <c r="R790" s="19"/>
    </row>
    <row r="791" spans="16:18" ht="14.25" customHeight="1" x14ac:dyDescent="0.25">
      <c r="P791" s="19"/>
      <c r="Q791" s="19"/>
      <c r="R791" s="19"/>
    </row>
    <row r="792" spans="16:18" ht="14.25" customHeight="1" x14ac:dyDescent="0.25">
      <c r="P792" s="19"/>
      <c r="Q792" s="19"/>
      <c r="R792" s="19"/>
    </row>
    <row r="793" spans="16:18" ht="14.25" customHeight="1" x14ac:dyDescent="0.25">
      <c r="P793" s="19"/>
      <c r="Q793" s="19"/>
      <c r="R793" s="19"/>
    </row>
    <row r="794" spans="16:18" ht="14.25" customHeight="1" x14ac:dyDescent="0.25">
      <c r="P794" s="19"/>
      <c r="Q794" s="19"/>
      <c r="R794" s="19"/>
    </row>
    <row r="795" spans="16:18" ht="14.25" customHeight="1" x14ac:dyDescent="0.25">
      <c r="P795" s="19"/>
      <c r="Q795" s="19"/>
      <c r="R795" s="19"/>
    </row>
    <row r="796" spans="16:18" ht="14.25" customHeight="1" x14ac:dyDescent="0.25">
      <c r="P796" s="19"/>
      <c r="Q796" s="19"/>
      <c r="R796" s="19"/>
    </row>
    <row r="797" spans="16:18" ht="14.25" customHeight="1" x14ac:dyDescent="0.25">
      <c r="P797" s="19"/>
      <c r="Q797" s="19"/>
      <c r="R797" s="19"/>
    </row>
    <row r="798" spans="16:18" ht="14.25" customHeight="1" x14ac:dyDescent="0.25">
      <c r="P798" s="19"/>
      <c r="Q798" s="19"/>
      <c r="R798" s="19"/>
    </row>
    <row r="799" spans="16:18" ht="14.25" customHeight="1" x14ac:dyDescent="0.25">
      <c r="P799" s="19"/>
      <c r="Q799" s="19"/>
      <c r="R799" s="19"/>
    </row>
    <row r="800" spans="16:18" ht="14.25" customHeight="1" x14ac:dyDescent="0.25">
      <c r="P800" s="19"/>
      <c r="Q800" s="19"/>
      <c r="R800" s="19"/>
    </row>
    <row r="801" spans="16:18" ht="14.25" customHeight="1" x14ac:dyDescent="0.25">
      <c r="P801" s="19"/>
      <c r="Q801" s="19"/>
      <c r="R801" s="19"/>
    </row>
    <row r="802" spans="16:18" ht="14.25" customHeight="1" x14ac:dyDescent="0.25">
      <c r="P802" s="19"/>
      <c r="Q802" s="19"/>
      <c r="R802" s="19"/>
    </row>
    <row r="803" spans="16:18" ht="14.25" customHeight="1" x14ac:dyDescent="0.25">
      <c r="P803" s="19"/>
      <c r="Q803" s="19"/>
      <c r="R803" s="19"/>
    </row>
    <row r="804" spans="16:18" ht="14.25" customHeight="1" x14ac:dyDescent="0.25">
      <c r="P804" s="19"/>
      <c r="Q804" s="19"/>
      <c r="R804" s="19"/>
    </row>
    <row r="805" spans="16:18" ht="14.25" customHeight="1" x14ac:dyDescent="0.25">
      <c r="P805" s="19"/>
      <c r="Q805" s="19"/>
      <c r="R805" s="19"/>
    </row>
    <row r="806" spans="16:18" ht="14.25" customHeight="1" x14ac:dyDescent="0.25">
      <c r="P806" s="19"/>
      <c r="Q806" s="19"/>
      <c r="R806" s="19"/>
    </row>
    <row r="807" spans="16:18" ht="14.25" customHeight="1" x14ac:dyDescent="0.25">
      <c r="P807" s="19"/>
      <c r="Q807" s="19"/>
      <c r="R807" s="19"/>
    </row>
    <row r="808" spans="16:18" ht="14.25" customHeight="1" x14ac:dyDescent="0.25">
      <c r="P808" s="19"/>
      <c r="Q808" s="19"/>
      <c r="R808" s="19"/>
    </row>
    <row r="809" spans="16:18" ht="14.25" customHeight="1" x14ac:dyDescent="0.25">
      <c r="P809" s="19"/>
      <c r="Q809" s="19"/>
      <c r="R809" s="19"/>
    </row>
    <row r="810" spans="16:18" ht="14.25" customHeight="1" x14ac:dyDescent="0.25">
      <c r="P810" s="19"/>
      <c r="Q810" s="19"/>
      <c r="R810" s="19"/>
    </row>
    <row r="811" spans="16:18" ht="14.25" customHeight="1" x14ac:dyDescent="0.25">
      <c r="P811" s="19"/>
      <c r="Q811" s="19"/>
      <c r="R811" s="19"/>
    </row>
    <row r="812" spans="16:18" ht="14.25" customHeight="1" x14ac:dyDescent="0.25">
      <c r="P812" s="19"/>
      <c r="Q812" s="19"/>
      <c r="R812" s="19"/>
    </row>
    <row r="813" spans="16:18" ht="14.25" customHeight="1" x14ac:dyDescent="0.25">
      <c r="P813" s="19"/>
      <c r="Q813" s="19"/>
      <c r="R813" s="19"/>
    </row>
    <row r="814" spans="16:18" ht="14.25" customHeight="1" x14ac:dyDescent="0.25">
      <c r="P814" s="19"/>
      <c r="Q814" s="19"/>
      <c r="R814" s="19"/>
    </row>
    <row r="815" spans="16:18" ht="14.25" customHeight="1" x14ac:dyDescent="0.25">
      <c r="P815" s="19"/>
      <c r="Q815" s="19"/>
      <c r="R815" s="19"/>
    </row>
    <row r="816" spans="16:18" ht="14.25" customHeight="1" x14ac:dyDescent="0.25">
      <c r="P816" s="19"/>
      <c r="Q816" s="19"/>
      <c r="R816" s="19"/>
    </row>
    <row r="817" spans="16:18" ht="14.25" customHeight="1" x14ac:dyDescent="0.25">
      <c r="P817" s="19"/>
      <c r="Q817" s="19"/>
      <c r="R817" s="19"/>
    </row>
    <row r="818" spans="16:18" ht="14.25" customHeight="1" x14ac:dyDescent="0.25">
      <c r="P818" s="19"/>
      <c r="Q818" s="19"/>
      <c r="R818" s="19"/>
    </row>
    <row r="819" spans="16:18" ht="14.25" customHeight="1" x14ac:dyDescent="0.25">
      <c r="P819" s="19"/>
      <c r="Q819" s="19"/>
      <c r="R819" s="19"/>
    </row>
    <row r="820" spans="16:18" ht="14.25" customHeight="1" x14ac:dyDescent="0.25">
      <c r="P820" s="19"/>
      <c r="Q820" s="19"/>
      <c r="R820" s="19"/>
    </row>
    <row r="821" spans="16:18" ht="14.25" customHeight="1" x14ac:dyDescent="0.25">
      <c r="P821" s="19"/>
      <c r="Q821" s="19"/>
      <c r="R821" s="19"/>
    </row>
    <row r="822" spans="16:18" ht="14.25" customHeight="1" x14ac:dyDescent="0.25">
      <c r="P822" s="19"/>
      <c r="Q822" s="19"/>
      <c r="R822" s="19"/>
    </row>
    <row r="823" spans="16:18" ht="14.25" customHeight="1" x14ac:dyDescent="0.25">
      <c r="P823" s="19"/>
      <c r="Q823" s="19"/>
      <c r="R823" s="19"/>
    </row>
    <row r="824" spans="16:18" ht="14.25" customHeight="1" x14ac:dyDescent="0.25">
      <c r="P824" s="19"/>
      <c r="Q824" s="19"/>
      <c r="R824" s="19"/>
    </row>
    <row r="825" spans="16:18" ht="14.25" customHeight="1" x14ac:dyDescent="0.25">
      <c r="P825" s="19"/>
      <c r="Q825" s="19"/>
      <c r="R825" s="19"/>
    </row>
    <row r="826" spans="16:18" ht="14.25" customHeight="1" x14ac:dyDescent="0.25">
      <c r="P826" s="19"/>
      <c r="Q826" s="19"/>
      <c r="R826" s="19"/>
    </row>
    <row r="827" spans="16:18" ht="14.25" customHeight="1" x14ac:dyDescent="0.25">
      <c r="P827" s="19"/>
      <c r="Q827" s="19"/>
      <c r="R827" s="19"/>
    </row>
    <row r="828" spans="16:18" ht="14.25" customHeight="1" x14ac:dyDescent="0.25">
      <c r="P828" s="19"/>
      <c r="Q828" s="19"/>
      <c r="R828" s="19"/>
    </row>
    <row r="829" spans="16:18" ht="14.25" customHeight="1" x14ac:dyDescent="0.25">
      <c r="P829" s="19"/>
      <c r="Q829" s="19"/>
      <c r="R829" s="19"/>
    </row>
    <row r="830" spans="16:18" ht="14.25" customHeight="1" x14ac:dyDescent="0.25">
      <c r="P830" s="19"/>
      <c r="Q830" s="19"/>
      <c r="R830" s="19"/>
    </row>
    <row r="831" spans="16:18" ht="14.25" customHeight="1" x14ac:dyDescent="0.25">
      <c r="P831" s="19"/>
      <c r="Q831" s="19"/>
      <c r="R831" s="19"/>
    </row>
    <row r="832" spans="16:18" ht="14.25" customHeight="1" x14ac:dyDescent="0.25">
      <c r="P832" s="19"/>
      <c r="Q832" s="19"/>
      <c r="R832" s="19"/>
    </row>
    <row r="833" spans="16:18" ht="14.25" customHeight="1" x14ac:dyDescent="0.25">
      <c r="P833" s="19"/>
      <c r="Q833" s="19"/>
      <c r="R833" s="19"/>
    </row>
    <row r="834" spans="16:18" ht="14.25" customHeight="1" x14ac:dyDescent="0.25">
      <c r="P834" s="19"/>
      <c r="Q834" s="19"/>
      <c r="R834" s="19"/>
    </row>
    <row r="835" spans="16:18" ht="14.25" customHeight="1" x14ac:dyDescent="0.25">
      <c r="P835" s="19"/>
      <c r="Q835" s="19"/>
      <c r="R835" s="19"/>
    </row>
    <row r="836" spans="16:18" ht="14.25" customHeight="1" x14ac:dyDescent="0.25">
      <c r="P836" s="19"/>
      <c r="Q836" s="19"/>
      <c r="R836" s="19"/>
    </row>
    <row r="837" spans="16:18" ht="14.25" customHeight="1" x14ac:dyDescent="0.25">
      <c r="P837" s="19"/>
      <c r="Q837" s="19"/>
      <c r="R837" s="19"/>
    </row>
    <row r="838" spans="16:18" ht="14.25" customHeight="1" x14ac:dyDescent="0.25">
      <c r="P838" s="19"/>
      <c r="Q838" s="19"/>
      <c r="R838" s="19"/>
    </row>
    <row r="839" spans="16:18" ht="14.25" customHeight="1" x14ac:dyDescent="0.25">
      <c r="P839" s="19"/>
      <c r="Q839" s="19"/>
      <c r="R839" s="19"/>
    </row>
    <row r="840" spans="16:18" ht="14.25" customHeight="1" x14ac:dyDescent="0.25">
      <c r="P840" s="19"/>
      <c r="Q840" s="19"/>
      <c r="R840" s="19"/>
    </row>
    <row r="841" spans="16:18" ht="14.25" customHeight="1" x14ac:dyDescent="0.25">
      <c r="P841" s="19"/>
      <c r="Q841" s="19"/>
      <c r="R841" s="19"/>
    </row>
    <row r="842" spans="16:18" ht="14.25" customHeight="1" x14ac:dyDescent="0.25">
      <c r="P842" s="19"/>
      <c r="Q842" s="19"/>
      <c r="R842" s="19"/>
    </row>
    <row r="843" spans="16:18" ht="14.25" customHeight="1" x14ac:dyDescent="0.25">
      <c r="P843" s="19"/>
      <c r="Q843" s="19"/>
      <c r="R843" s="19"/>
    </row>
    <row r="844" spans="16:18" ht="14.25" customHeight="1" x14ac:dyDescent="0.25">
      <c r="P844" s="19"/>
      <c r="Q844" s="19"/>
      <c r="R844" s="19"/>
    </row>
    <row r="845" spans="16:18" ht="14.25" customHeight="1" x14ac:dyDescent="0.25">
      <c r="P845" s="19"/>
      <c r="Q845" s="19"/>
      <c r="R845" s="19"/>
    </row>
    <row r="846" spans="16:18" ht="14.25" customHeight="1" x14ac:dyDescent="0.25">
      <c r="P846" s="19"/>
      <c r="Q846" s="19"/>
      <c r="R846" s="19"/>
    </row>
    <row r="847" spans="16:18" ht="14.25" customHeight="1" x14ac:dyDescent="0.25">
      <c r="P847" s="19"/>
      <c r="Q847" s="19"/>
      <c r="R847" s="19"/>
    </row>
    <row r="848" spans="16:18" ht="14.25" customHeight="1" x14ac:dyDescent="0.25">
      <c r="P848" s="19"/>
      <c r="Q848" s="19"/>
      <c r="R848" s="19"/>
    </row>
    <row r="849" spans="16:18" ht="14.25" customHeight="1" x14ac:dyDescent="0.25">
      <c r="P849" s="19"/>
      <c r="Q849" s="19"/>
      <c r="R849" s="19"/>
    </row>
    <row r="850" spans="16:18" ht="14.25" customHeight="1" x14ac:dyDescent="0.25">
      <c r="P850" s="19"/>
      <c r="Q850" s="19"/>
      <c r="R850" s="19"/>
    </row>
    <row r="851" spans="16:18" ht="14.25" customHeight="1" x14ac:dyDescent="0.25">
      <c r="P851" s="19"/>
      <c r="Q851" s="19"/>
      <c r="R851" s="19"/>
    </row>
    <row r="852" spans="16:18" ht="14.25" customHeight="1" x14ac:dyDescent="0.25">
      <c r="P852" s="19"/>
      <c r="Q852" s="19"/>
      <c r="R852" s="19"/>
    </row>
    <row r="853" spans="16:18" ht="14.25" customHeight="1" x14ac:dyDescent="0.25">
      <c r="P853" s="19"/>
      <c r="Q853" s="19"/>
      <c r="R853" s="19"/>
    </row>
    <row r="854" spans="16:18" ht="14.25" customHeight="1" x14ac:dyDescent="0.25">
      <c r="P854" s="19"/>
      <c r="Q854" s="19"/>
      <c r="R854" s="19"/>
    </row>
    <row r="855" spans="16:18" ht="14.25" customHeight="1" x14ac:dyDescent="0.25">
      <c r="P855" s="19"/>
      <c r="Q855" s="19"/>
      <c r="R855" s="19"/>
    </row>
    <row r="856" spans="16:18" ht="14.25" customHeight="1" x14ac:dyDescent="0.25">
      <c r="P856" s="19"/>
      <c r="Q856" s="19"/>
      <c r="R856" s="19"/>
    </row>
    <row r="857" spans="16:18" ht="14.25" customHeight="1" x14ac:dyDescent="0.25">
      <c r="P857" s="19"/>
      <c r="Q857" s="19"/>
      <c r="R857" s="19"/>
    </row>
    <row r="858" spans="16:18" ht="14.25" customHeight="1" x14ac:dyDescent="0.25">
      <c r="P858" s="19"/>
      <c r="Q858" s="19"/>
      <c r="R858" s="19"/>
    </row>
    <row r="859" spans="16:18" ht="14.25" customHeight="1" x14ac:dyDescent="0.25">
      <c r="P859" s="19"/>
      <c r="Q859" s="19"/>
      <c r="R859" s="19"/>
    </row>
    <row r="860" spans="16:18" ht="14.25" customHeight="1" x14ac:dyDescent="0.25">
      <c r="P860" s="19"/>
      <c r="Q860" s="19"/>
      <c r="R860" s="19"/>
    </row>
    <row r="861" spans="16:18" ht="14.25" customHeight="1" x14ac:dyDescent="0.25">
      <c r="P861" s="19"/>
      <c r="Q861" s="19"/>
      <c r="R861" s="19"/>
    </row>
    <row r="862" spans="16:18" ht="14.25" customHeight="1" x14ac:dyDescent="0.25">
      <c r="P862" s="19"/>
      <c r="Q862" s="19"/>
      <c r="R862" s="19"/>
    </row>
    <row r="863" spans="16:18" ht="14.25" customHeight="1" x14ac:dyDescent="0.25">
      <c r="P863" s="19"/>
      <c r="Q863" s="19"/>
      <c r="R863" s="19"/>
    </row>
    <row r="864" spans="16:18" ht="14.25" customHeight="1" x14ac:dyDescent="0.25">
      <c r="P864" s="19"/>
      <c r="Q864" s="19"/>
      <c r="R864" s="19"/>
    </row>
    <row r="865" spans="16:18" ht="14.25" customHeight="1" x14ac:dyDescent="0.25">
      <c r="P865" s="19"/>
      <c r="Q865" s="19"/>
      <c r="R865" s="19"/>
    </row>
    <row r="866" spans="16:18" ht="14.25" customHeight="1" x14ac:dyDescent="0.25">
      <c r="P866" s="19"/>
      <c r="Q866" s="19"/>
      <c r="R866" s="19"/>
    </row>
    <row r="867" spans="16:18" ht="14.25" customHeight="1" x14ac:dyDescent="0.25">
      <c r="P867" s="19"/>
      <c r="Q867" s="19"/>
      <c r="R867" s="19"/>
    </row>
    <row r="868" spans="16:18" ht="14.25" customHeight="1" x14ac:dyDescent="0.25">
      <c r="P868" s="19"/>
      <c r="Q868" s="19"/>
      <c r="R868" s="19"/>
    </row>
    <row r="869" spans="16:18" ht="14.25" customHeight="1" x14ac:dyDescent="0.25">
      <c r="P869" s="19"/>
      <c r="Q869" s="19"/>
      <c r="R869" s="19"/>
    </row>
    <row r="870" spans="16:18" ht="14.25" customHeight="1" x14ac:dyDescent="0.25">
      <c r="P870" s="19"/>
      <c r="Q870" s="19"/>
      <c r="R870" s="19"/>
    </row>
    <row r="871" spans="16:18" ht="14.25" customHeight="1" x14ac:dyDescent="0.25">
      <c r="P871" s="19"/>
      <c r="Q871" s="19"/>
      <c r="R871" s="19"/>
    </row>
    <row r="872" spans="16:18" ht="14.25" customHeight="1" x14ac:dyDescent="0.25">
      <c r="P872" s="19"/>
      <c r="Q872" s="19"/>
      <c r="R872" s="19"/>
    </row>
    <row r="873" spans="16:18" ht="14.25" customHeight="1" x14ac:dyDescent="0.25">
      <c r="P873" s="19"/>
      <c r="Q873" s="19"/>
      <c r="R873" s="19"/>
    </row>
    <row r="874" spans="16:18" ht="14.25" customHeight="1" x14ac:dyDescent="0.25">
      <c r="P874" s="19"/>
      <c r="Q874" s="19"/>
      <c r="R874" s="19"/>
    </row>
    <row r="875" spans="16:18" ht="14.25" customHeight="1" x14ac:dyDescent="0.25">
      <c r="P875" s="19"/>
      <c r="Q875" s="19"/>
      <c r="R875" s="19"/>
    </row>
    <row r="876" spans="16:18" ht="14.25" customHeight="1" x14ac:dyDescent="0.25">
      <c r="P876" s="19"/>
      <c r="Q876" s="19"/>
      <c r="R876" s="19"/>
    </row>
    <row r="877" spans="16:18" ht="14.25" customHeight="1" x14ac:dyDescent="0.25">
      <c r="P877" s="19"/>
      <c r="Q877" s="19"/>
      <c r="R877" s="19"/>
    </row>
    <row r="878" spans="16:18" ht="14.25" customHeight="1" x14ac:dyDescent="0.25">
      <c r="P878" s="19"/>
      <c r="Q878" s="19"/>
      <c r="R878" s="19"/>
    </row>
    <row r="879" spans="16:18" ht="14.25" customHeight="1" x14ac:dyDescent="0.25">
      <c r="P879" s="19"/>
      <c r="Q879" s="19"/>
      <c r="R879" s="19"/>
    </row>
    <row r="880" spans="16:18" ht="14.25" customHeight="1" x14ac:dyDescent="0.25">
      <c r="P880" s="19"/>
      <c r="Q880" s="19"/>
      <c r="R880" s="19"/>
    </row>
    <row r="881" spans="16:18" ht="14.25" customHeight="1" x14ac:dyDescent="0.25">
      <c r="P881" s="19"/>
      <c r="Q881" s="19"/>
      <c r="R881" s="19"/>
    </row>
    <row r="882" spans="16:18" ht="14.25" customHeight="1" x14ac:dyDescent="0.25">
      <c r="P882" s="19"/>
      <c r="Q882" s="19"/>
      <c r="R882" s="19"/>
    </row>
    <row r="883" spans="16:18" ht="14.25" customHeight="1" x14ac:dyDescent="0.25">
      <c r="P883" s="19"/>
      <c r="Q883" s="19"/>
      <c r="R883" s="19"/>
    </row>
    <row r="884" spans="16:18" ht="14.25" customHeight="1" x14ac:dyDescent="0.25">
      <c r="P884" s="19"/>
      <c r="Q884" s="19"/>
      <c r="R884" s="19"/>
    </row>
    <row r="885" spans="16:18" ht="14.25" customHeight="1" x14ac:dyDescent="0.25">
      <c r="P885" s="19"/>
      <c r="Q885" s="19"/>
      <c r="R885" s="19"/>
    </row>
    <row r="886" spans="16:18" ht="14.25" customHeight="1" x14ac:dyDescent="0.25">
      <c r="P886" s="19"/>
      <c r="Q886" s="19"/>
      <c r="R886" s="19"/>
    </row>
    <row r="887" spans="16:18" ht="14.25" customHeight="1" x14ac:dyDescent="0.25">
      <c r="P887" s="19"/>
      <c r="Q887" s="19"/>
      <c r="R887" s="19"/>
    </row>
    <row r="888" spans="16:18" ht="14.25" customHeight="1" x14ac:dyDescent="0.25">
      <c r="P888" s="19"/>
      <c r="Q888" s="19"/>
      <c r="R888" s="19"/>
    </row>
    <row r="889" spans="16:18" ht="14.25" customHeight="1" x14ac:dyDescent="0.25">
      <c r="P889" s="19"/>
      <c r="Q889" s="19"/>
      <c r="R889" s="19"/>
    </row>
    <row r="890" spans="16:18" ht="14.25" customHeight="1" x14ac:dyDescent="0.25">
      <c r="P890" s="19"/>
      <c r="Q890" s="19"/>
      <c r="R890" s="19"/>
    </row>
    <row r="891" spans="16:18" ht="14.25" customHeight="1" x14ac:dyDescent="0.25">
      <c r="P891" s="19"/>
      <c r="Q891" s="19"/>
      <c r="R891" s="19"/>
    </row>
    <row r="892" spans="16:18" ht="14.25" customHeight="1" x14ac:dyDescent="0.25">
      <c r="P892" s="19"/>
      <c r="Q892" s="19"/>
      <c r="R892" s="19"/>
    </row>
    <row r="893" spans="16:18" ht="14.25" customHeight="1" x14ac:dyDescent="0.25">
      <c r="P893" s="19"/>
      <c r="Q893" s="19"/>
      <c r="R893" s="19"/>
    </row>
    <row r="894" spans="16:18" ht="14.25" customHeight="1" x14ac:dyDescent="0.25">
      <c r="P894" s="19"/>
      <c r="Q894" s="19"/>
      <c r="R894" s="19"/>
    </row>
    <row r="895" spans="16:18" ht="14.25" customHeight="1" x14ac:dyDescent="0.25">
      <c r="P895" s="19"/>
      <c r="Q895" s="19"/>
      <c r="R895" s="19"/>
    </row>
    <row r="896" spans="16:18" ht="14.25" customHeight="1" x14ac:dyDescent="0.25">
      <c r="P896" s="19"/>
      <c r="Q896" s="19"/>
      <c r="R896" s="19"/>
    </row>
    <row r="897" spans="16:18" ht="14.25" customHeight="1" x14ac:dyDescent="0.25">
      <c r="P897" s="19"/>
      <c r="Q897" s="19"/>
      <c r="R897" s="19"/>
    </row>
    <row r="898" spans="16:18" ht="14.25" customHeight="1" x14ac:dyDescent="0.25">
      <c r="P898" s="19"/>
      <c r="Q898" s="19"/>
      <c r="R898" s="19"/>
    </row>
    <row r="899" spans="16:18" ht="14.25" customHeight="1" x14ac:dyDescent="0.25">
      <c r="P899" s="19"/>
      <c r="Q899" s="19"/>
      <c r="R899" s="19"/>
    </row>
    <row r="900" spans="16:18" ht="14.25" customHeight="1" x14ac:dyDescent="0.25">
      <c r="P900" s="19"/>
      <c r="Q900" s="19"/>
      <c r="R900" s="19"/>
    </row>
    <row r="901" spans="16:18" ht="14.25" customHeight="1" x14ac:dyDescent="0.25">
      <c r="P901" s="19"/>
      <c r="Q901" s="19"/>
      <c r="R901" s="19"/>
    </row>
    <row r="902" spans="16:18" ht="14.25" customHeight="1" x14ac:dyDescent="0.25">
      <c r="P902" s="19"/>
      <c r="Q902" s="19"/>
      <c r="R902" s="19"/>
    </row>
    <row r="903" spans="16:18" ht="14.25" customHeight="1" x14ac:dyDescent="0.25">
      <c r="P903" s="19"/>
      <c r="Q903" s="19"/>
      <c r="R903" s="19"/>
    </row>
    <row r="904" spans="16:18" ht="14.25" customHeight="1" x14ac:dyDescent="0.25">
      <c r="P904" s="19"/>
      <c r="Q904" s="19"/>
      <c r="R904" s="19"/>
    </row>
    <row r="905" spans="16:18" ht="14.25" customHeight="1" x14ac:dyDescent="0.25">
      <c r="P905" s="19"/>
      <c r="Q905" s="19"/>
      <c r="R905" s="19"/>
    </row>
    <row r="906" spans="16:18" ht="14.25" customHeight="1" x14ac:dyDescent="0.25">
      <c r="P906" s="19"/>
      <c r="Q906" s="19"/>
      <c r="R906" s="19"/>
    </row>
    <row r="907" spans="16:18" ht="14.25" customHeight="1" x14ac:dyDescent="0.25">
      <c r="P907" s="19"/>
      <c r="Q907" s="19"/>
      <c r="R907" s="19"/>
    </row>
    <row r="908" spans="16:18" ht="14.25" customHeight="1" x14ac:dyDescent="0.25">
      <c r="P908" s="19"/>
      <c r="Q908" s="19"/>
      <c r="R908" s="19"/>
    </row>
    <row r="909" spans="16:18" ht="14.25" customHeight="1" x14ac:dyDescent="0.25">
      <c r="P909" s="19"/>
      <c r="Q909" s="19"/>
      <c r="R909" s="19"/>
    </row>
    <row r="910" spans="16:18" ht="14.25" customHeight="1" x14ac:dyDescent="0.25">
      <c r="P910" s="19"/>
      <c r="Q910" s="19"/>
      <c r="R910" s="19"/>
    </row>
    <row r="911" spans="16:18" ht="14.25" customHeight="1" x14ac:dyDescent="0.25">
      <c r="P911" s="19"/>
      <c r="Q911" s="19"/>
      <c r="R911" s="19"/>
    </row>
    <row r="912" spans="16:18" ht="14.25" customHeight="1" x14ac:dyDescent="0.25">
      <c r="P912" s="19"/>
      <c r="Q912" s="19"/>
      <c r="R912" s="19"/>
    </row>
    <row r="913" spans="16:18" ht="14.25" customHeight="1" x14ac:dyDescent="0.25">
      <c r="P913" s="19"/>
      <c r="Q913" s="19"/>
      <c r="R913" s="19"/>
    </row>
    <row r="914" spans="16:18" ht="14.25" customHeight="1" x14ac:dyDescent="0.25">
      <c r="P914" s="19"/>
      <c r="Q914" s="19"/>
      <c r="R914" s="19"/>
    </row>
    <row r="915" spans="16:18" ht="14.25" customHeight="1" x14ac:dyDescent="0.25">
      <c r="P915" s="19"/>
      <c r="Q915" s="19"/>
      <c r="R915" s="19"/>
    </row>
    <row r="916" spans="16:18" ht="14.25" customHeight="1" x14ac:dyDescent="0.25">
      <c r="P916" s="19"/>
      <c r="Q916" s="19"/>
      <c r="R916" s="19"/>
    </row>
    <row r="917" spans="16:18" ht="14.25" customHeight="1" x14ac:dyDescent="0.25">
      <c r="P917" s="19"/>
      <c r="Q917" s="19"/>
      <c r="R917" s="19"/>
    </row>
    <row r="918" spans="16:18" ht="14.25" customHeight="1" x14ac:dyDescent="0.25">
      <c r="P918" s="19"/>
      <c r="Q918" s="19"/>
      <c r="R918" s="19"/>
    </row>
    <row r="919" spans="16:18" ht="14.25" customHeight="1" x14ac:dyDescent="0.25">
      <c r="P919" s="19"/>
      <c r="Q919" s="19"/>
      <c r="R919" s="19"/>
    </row>
    <row r="920" spans="16:18" ht="14.25" customHeight="1" x14ac:dyDescent="0.25">
      <c r="P920" s="19"/>
      <c r="Q920" s="19"/>
      <c r="R920" s="19"/>
    </row>
    <row r="921" spans="16:18" ht="14.25" customHeight="1" x14ac:dyDescent="0.25">
      <c r="P921" s="19"/>
      <c r="Q921" s="19"/>
      <c r="R921" s="19"/>
    </row>
    <row r="922" spans="16:18" ht="14.25" customHeight="1" x14ac:dyDescent="0.25">
      <c r="P922" s="19"/>
      <c r="Q922" s="19"/>
      <c r="R922" s="19"/>
    </row>
    <row r="923" spans="16:18" ht="14.25" customHeight="1" x14ac:dyDescent="0.25">
      <c r="P923" s="19"/>
      <c r="Q923" s="19"/>
      <c r="R923" s="19"/>
    </row>
    <row r="924" spans="16:18" ht="14.25" customHeight="1" x14ac:dyDescent="0.25">
      <c r="P924" s="19"/>
      <c r="Q924" s="19"/>
      <c r="R924" s="19"/>
    </row>
    <row r="925" spans="16:18" ht="14.25" customHeight="1" x14ac:dyDescent="0.25">
      <c r="P925" s="19"/>
      <c r="Q925" s="19"/>
      <c r="R925" s="19"/>
    </row>
    <row r="926" spans="16:18" ht="14.25" customHeight="1" x14ac:dyDescent="0.25">
      <c r="P926" s="19"/>
      <c r="Q926" s="19"/>
      <c r="R926" s="19"/>
    </row>
    <row r="927" spans="16:18" ht="14.25" customHeight="1" x14ac:dyDescent="0.25">
      <c r="P927" s="19"/>
      <c r="Q927" s="19"/>
      <c r="R927" s="19"/>
    </row>
    <row r="928" spans="16:18" ht="14.25" customHeight="1" x14ac:dyDescent="0.25">
      <c r="P928" s="19"/>
      <c r="Q928" s="19"/>
      <c r="R928" s="19"/>
    </row>
    <row r="929" spans="16:18" ht="14.25" customHeight="1" x14ac:dyDescent="0.25">
      <c r="P929" s="19"/>
      <c r="Q929" s="19"/>
      <c r="R929" s="19"/>
    </row>
    <row r="930" spans="16:18" ht="14.25" customHeight="1" x14ac:dyDescent="0.25">
      <c r="P930" s="19"/>
      <c r="Q930" s="19"/>
      <c r="R930" s="19"/>
    </row>
    <row r="931" spans="16:18" ht="14.25" customHeight="1" x14ac:dyDescent="0.25">
      <c r="P931" s="19"/>
      <c r="Q931" s="19"/>
      <c r="R931" s="19"/>
    </row>
    <row r="932" spans="16:18" ht="14.25" customHeight="1" x14ac:dyDescent="0.25">
      <c r="P932" s="19"/>
      <c r="Q932" s="19"/>
      <c r="R932" s="19"/>
    </row>
    <row r="933" spans="16:18" ht="14.25" customHeight="1" x14ac:dyDescent="0.25">
      <c r="P933" s="19"/>
      <c r="Q933" s="19"/>
      <c r="R933" s="19"/>
    </row>
    <row r="934" spans="16:18" ht="14.25" customHeight="1" x14ac:dyDescent="0.25">
      <c r="P934" s="19"/>
      <c r="Q934" s="19"/>
      <c r="R934" s="19"/>
    </row>
    <row r="935" spans="16:18" ht="14.25" customHeight="1" x14ac:dyDescent="0.25">
      <c r="P935" s="19"/>
      <c r="Q935" s="19"/>
      <c r="R935" s="19"/>
    </row>
    <row r="936" spans="16:18" ht="14.25" customHeight="1" x14ac:dyDescent="0.25">
      <c r="P936" s="19"/>
      <c r="Q936" s="19"/>
      <c r="R936" s="19"/>
    </row>
    <row r="937" spans="16:18" ht="14.25" customHeight="1" x14ac:dyDescent="0.25">
      <c r="P937" s="19"/>
      <c r="Q937" s="19"/>
      <c r="R937" s="19"/>
    </row>
    <row r="938" spans="16:18" ht="14.25" customHeight="1" x14ac:dyDescent="0.25">
      <c r="P938" s="19"/>
      <c r="Q938" s="19"/>
      <c r="R938" s="19"/>
    </row>
    <row r="939" spans="16:18" ht="14.25" customHeight="1" x14ac:dyDescent="0.25">
      <c r="P939" s="19"/>
      <c r="Q939" s="19"/>
      <c r="R939" s="19"/>
    </row>
    <row r="940" spans="16:18" ht="14.25" customHeight="1" x14ac:dyDescent="0.25">
      <c r="P940" s="19"/>
      <c r="Q940" s="19"/>
      <c r="R940" s="19"/>
    </row>
    <row r="941" spans="16:18" ht="14.25" customHeight="1" x14ac:dyDescent="0.25">
      <c r="P941" s="19"/>
      <c r="Q941" s="19"/>
      <c r="R941" s="19"/>
    </row>
    <row r="942" spans="16:18" ht="14.25" customHeight="1" x14ac:dyDescent="0.25">
      <c r="P942" s="19"/>
      <c r="Q942" s="19"/>
      <c r="R942" s="19"/>
    </row>
    <row r="943" spans="16:18" ht="14.25" customHeight="1" x14ac:dyDescent="0.25">
      <c r="P943" s="19"/>
      <c r="Q943" s="19"/>
      <c r="R943" s="19"/>
    </row>
    <row r="944" spans="16:18" ht="14.25" customHeight="1" x14ac:dyDescent="0.25">
      <c r="P944" s="19"/>
      <c r="Q944" s="19"/>
      <c r="R944" s="19"/>
    </row>
    <row r="945" spans="16:18" ht="14.25" customHeight="1" x14ac:dyDescent="0.25">
      <c r="P945" s="19"/>
      <c r="Q945" s="19"/>
      <c r="R945" s="19"/>
    </row>
    <row r="946" spans="16:18" ht="14.25" customHeight="1" x14ac:dyDescent="0.25">
      <c r="P946" s="19"/>
      <c r="Q946" s="19"/>
      <c r="R946" s="19"/>
    </row>
    <row r="947" spans="16:18" ht="14.25" customHeight="1" x14ac:dyDescent="0.25">
      <c r="P947" s="19"/>
      <c r="Q947" s="19"/>
      <c r="R947" s="19"/>
    </row>
    <row r="948" spans="16:18" ht="14.25" customHeight="1" x14ac:dyDescent="0.25">
      <c r="P948" s="19"/>
      <c r="Q948" s="19"/>
      <c r="R948" s="19"/>
    </row>
    <row r="949" spans="16:18" ht="14.25" customHeight="1" x14ac:dyDescent="0.25">
      <c r="P949" s="19"/>
      <c r="Q949" s="19"/>
      <c r="R949" s="19"/>
    </row>
    <row r="950" spans="16:18" ht="14.25" customHeight="1" x14ac:dyDescent="0.25">
      <c r="P950" s="19"/>
      <c r="Q950" s="19"/>
      <c r="R950" s="19"/>
    </row>
    <row r="951" spans="16:18" ht="14.25" customHeight="1" x14ac:dyDescent="0.25">
      <c r="P951" s="19"/>
      <c r="Q951" s="19"/>
      <c r="R951" s="19"/>
    </row>
    <row r="952" spans="16:18" ht="14.25" customHeight="1" x14ac:dyDescent="0.25">
      <c r="P952" s="19"/>
      <c r="Q952" s="19"/>
      <c r="R952" s="19"/>
    </row>
    <row r="953" spans="16:18" ht="14.25" customHeight="1" x14ac:dyDescent="0.25">
      <c r="P953" s="19"/>
      <c r="Q953" s="19"/>
      <c r="R953" s="19"/>
    </row>
    <row r="954" spans="16:18" ht="14.25" customHeight="1" x14ac:dyDescent="0.25">
      <c r="P954" s="19"/>
      <c r="Q954" s="19"/>
      <c r="R954" s="19"/>
    </row>
    <row r="955" spans="16:18" ht="14.25" customHeight="1" x14ac:dyDescent="0.25">
      <c r="P955" s="19"/>
      <c r="Q955" s="19"/>
      <c r="R955" s="19"/>
    </row>
    <row r="956" spans="16:18" ht="14.25" customHeight="1" x14ac:dyDescent="0.25">
      <c r="P956" s="19"/>
      <c r="Q956" s="19"/>
      <c r="R956" s="19"/>
    </row>
    <row r="957" spans="16:18" ht="14.25" customHeight="1" x14ac:dyDescent="0.25">
      <c r="P957" s="19"/>
      <c r="Q957" s="19"/>
      <c r="R957" s="19"/>
    </row>
    <row r="958" spans="16:18" ht="14.25" customHeight="1" x14ac:dyDescent="0.25">
      <c r="P958" s="19"/>
      <c r="Q958" s="19"/>
      <c r="R958" s="19"/>
    </row>
    <row r="959" spans="16:18" ht="14.25" customHeight="1" x14ac:dyDescent="0.25">
      <c r="P959" s="19"/>
      <c r="Q959" s="19"/>
      <c r="R959" s="19"/>
    </row>
    <row r="960" spans="16:18" ht="14.25" customHeight="1" x14ac:dyDescent="0.25">
      <c r="P960" s="19"/>
      <c r="Q960" s="19"/>
      <c r="R960" s="19"/>
    </row>
    <row r="961" spans="16:18" ht="14.25" customHeight="1" x14ac:dyDescent="0.25">
      <c r="P961" s="19"/>
      <c r="Q961" s="19"/>
      <c r="R961" s="19"/>
    </row>
    <row r="962" spans="16:18" ht="14.25" customHeight="1" x14ac:dyDescent="0.25">
      <c r="P962" s="19"/>
      <c r="Q962" s="19"/>
      <c r="R962" s="19"/>
    </row>
    <row r="963" spans="16:18" ht="14.25" customHeight="1" x14ac:dyDescent="0.25">
      <c r="P963" s="19"/>
      <c r="Q963" s="19"/>
      <c r="R963" s="19"/>
    </row>
    <row r="964" spans="16:18" ht="14.25" customHeight="1" x14ac:dyDescent="0.25">
      <c r="P964" s="19"/>
      <c r="Q964" s="19"/>
      <c r="R964" s="19"/>
    </row>
    <row r="965" spans="16:18" ht="14.25" customHeight="1" x14ac:dyDescent="0.25">
      <c r="P965" s="19"/>
      <c r="Q965" s="19"/>
      <c r="R965" s="19"/>
    </row>
    <row r="966" spans="16:18" ht="14.25" customHeight="1" x14ac:dyDescent="0.25">
      <c r="P966" s="19"/>
      <c r="Q966" s="19"/>
      <c r="R966" s="19"/>
    </row>
    <row r="967" spans="16:18" ht="14.25" customHeight="1" x14ac:dyDescent="0.25">
      <c r="P967" s="19"/>
      <c r="Q967" s="19"/>
      <c r="R967" s="19"/>
    </row>
    <row r="968" spans="16:18" ht="14.25" customHeight="1" x14ac:dyDescent="0.25">
      <c r="P968" s="19"/>
      <c r="Q968" s="19"/>
      <c r="R968" s="19"/>
    </row>
    <row r="969" spans="16:18" ht="14.25" customHeight="1" x14ac:dyDescent="0.25">
      <c r="P969" s="19"/>
      <c r="Q969" s="19"/>
      <c r="R969" s="19"/>
    </row>
    <row r="970" spans="16:18" ht="14.25" customHeight="1" x14ac:dyDescent="0.25">
      <c r="P970" s="19"/>
      <c r="Q970" s="19"/>
      <c r="R970" s="19"/>
    </row>
    <row r="971" spans="16:18" ht="14.25" customHeight="1" x14ac:dyDescent="0.25">
      <c r="P971" s="19"/>
      <c r="Q971" s="19"/>
      <c r="R971" s="19"/>
    </row>
    <row r="972" spans="16:18" ht="14.25" customHeight="1" x14ac:dyDescent="0.25">
      <c r="P972" s="19"/>
      <c r="Q972" s="19"/>
      <c r="R972" s="19"/>
    </row>
    <row r="973" spans="16:18" ht="14.25" customHeight="1" x14ac:dyDescent="0.25">
      <c r="P973" s="19"/>
      <c r="Q973" s="19"/>
      <c r="R973" s="19"/>
    </row>
    <row r="974" spans="16:18" ht="14.25" customHeight="1" x14ac:dyDescent="0.25">
      <c r="P974" s="19"/>
      <c r="Q974" s="19"/>
      <c r="R974" s="19"/>
    </row>
    <row r="975" spans="16:18" ht="14.25" customHeight="1" x14ac:dyDescent="0.25">
      <c r="P975" s="19"/>
      <c r="Q975" s="19"/>
      <c r="R975" s="19"/>
    </row>
    <row r="976" spans="16:18" ht="14.25" customHeight="1" x14ac:dyDescent="0.25">
      <c r="P976" s="19"/>
      <c r="Q976" s="19"/>
      <c r="R976" s="19"/>
    </row>
    <row r="977" spans="16:18" ht="14.25" customHeight="1" x14ac:dyDescent="0.25">
      <c r="P977" s="19"/>
      <c r="Q977" s="19"/>
      <c r="R977" s="19"/>
    </row>
    <row r="978" spans="16:18" ht="14.25" customHeight="1" x14ac:dyDescent="0.25">
      <c r="P978" s="19"/>
      <c r="Q978" s="19"/>
      <c r="R978" s="19"/>
    </row>
    <row r="979" spans="16:18" ht="14.25" customHeight="1" x14ac:dyDescent="0.25">
      <c r="P979" s="19"/>
      <c r="Q979" s="19"/>
      <c r="R979" s="19"/>
    </row>
    <row r="980" spans="16:18" ht="14.25" customHeight="1" x14ac:dyDescent="0.25">
      <c r="P980" s="19"/>
      <c r="Q980" s="19"/>
      <c r="R980" s="19"/>
    </row>
  </sheetData>
  <mergeCells count="7">
    <mergeCell ref="R3:R4"/>
    <mergeCell ref="A5:A84"/>
    <mergeCell ref="I2:J2"/>
    <mergeCell ref="K2:L2"/>
    <mergeCell ref="I3:M3"/>
    <mergeCell ref="P3:P4"/>
    <mergeCell ref="Q3:Q4"/>
  </mergeCells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42"/>
  <sheetViews>
    <sheetView tabSelected="1" topLeftCell="A34" zoomScaleNormal="100" workbookViewId="0">
      <selection activeCell="D103" sqref="D103"/>
    </sheetView>
  </sheetViews>
  <sheetFormatPr defaultColWidth="14.42578125" defaultRowHeight="15" x14ac:dyDescent="0.25"/>
  <cols>
    <col min="1" max="1" width="19.28515625" customWidth="1"/>
    <col min="2" max="2" width="22.28515625" customWidth="1"/>
    <col min="3" max="3" width="12.7109375" customWidth="1"/>
    <col min="4" max="4" width="8.7109375" customWidth="1"/>
    <col min="5" max="5" width="14.7109375" customWidth="1"/>
    <col min="6" max="6" width="17.42578125" customWidth="1"/>
    <col min="7" max="7" width="16" customWidth="1"/>
    <col min="8" max="8" width="47" customWidth="1"/>
    <col min="9" max="9" width="15.140625" customWidth="1"/>
    <col min="10" max="10" width="13.42578125" customWidth="1"/>
    <col min="11" max="11" width="14" customWidth="1"/>
    <col min="12" max="12" width="14.28515625" customWidth="1"/>
    <col min="13" max="13" width="16.5703125" customWidth="1"/>
    <col min="14" max="14" width="14.28515625" customWidth="1"/>
    <col min="16" max="16" width="14.140625" customWidth="1"/>
    <col min="17" max="17" width="14.85546875" customWidth="1"/>
    <col min="18" max="18" width="18.5703125" customWidth="1"/>
    <col min="19" max="19" width="25.85546875" customWidth="1"/>
    <col min="20" max="20" width="15.28515625" customWidth="1"/>
    <col min="21" max="21" width="13.28515625" customWidth="1"/>
    <col min="22" max="22" width="14" customWidth="1"/>
    <col min="23" max="23" width="16.28515625" customWidth="1"/>
    <col min="24" max="24" width="14.28515625" customWidth="1"/>
  </cols>
  <sheetData>
    <row r="1" spans="1:24" ht="14.25" customHeight="1" x14ac:dyDescent="0.25">
      <c r="A1" s="17"/>
      <c r="B1" s="17"/>
      <c r="C1" s="17"/>
      <c r="D1" s="18"/>
      <c r="I1" s="17"/>
      <c r="P1" s="19"/>
      <c r="Q1" s="19"/>
      <c r="R1" s="19"/>
    </row>
    <row r="2" spans="1:24" ht="14.25" customHeight="1" x14ac:dyDescent="0.25">
      <c r="A2" s="17"/>
      <c r="B2" s="17"/>
      <c r="C2" s="17"/>
      <c r="D2" s="18"/>
      <c r="I2" s="4" t="s">
        <v>47</v>
      </c>
      <c r="J2" s="4"/>
      <c r="K2" s="4"/>
      <c r="L2" s="4"/>
      <c r="M2" s="4"/>
      <c r="N2" s="4"/>
      <c r="O2" s="4"/>
      <c r="P2" s="4"/>
      <c r="Q2" s="4"/>
      <c r="R2" s="4"/>
    </row>
    <row r="3" spans="1:24" ht="14.25" customHeight="1" x14ac:dyDescent="0.25">
      <c r="A3" s="17"/>
      <c r="B3" s="17"/>
      <c r="C3" s="17"/>
      <c r="D3" s="18"/>
      <c r="I3" s="17"/>
      <c r="P3" s="19"/>
      <c r="Q3" s="19"/>
      <c r="R3" s="19"/>
    </row>
    <row r="4" spans="1:24" ht="14.25" customHeight="1" x14ac:dyDescent="0.25">
      <c r="A4" s="17"/>
      <c r="B4" s="17"/>
      <c r="C4" s="17"/>
      <c r="D4" s="18"/>
      <c r="G4" s="20" t="s">
        <v>2</v>
      </c>
      <c r="I4" s="10" t="s">
        <v>3</v>
      </c>
      <c r="J4" s="10"/>
      <c r="K4" s="9">
        <v>0.1</v>
      </c>
      <c r="L4" s="9"/>
      <c r="P4" s="19"/>
      <c r="Q4" s="19"/>
      <c r="R4" s="19"/>
    </row>
    <row r="5" spans="1:24" ht="14.25" customHeight="1" x14ac:dyDescent="0.25">
      <c r="C5" s="17"/>
      <c r="G5" s="49" t="s">
        <v>4</v>
      </c>
      <c r="H5" s="3" t="s">
        <v>18</v>
      </c>
      <c r="I5" s="2" t="s">
        <v>5</v>
      </c>
      <c r="J5" s="2"/>
      <c r="K5" s="2"/>
      <c r="L5" s="2"/>
      <c r="M5" s="2"/>
      <c r="N5" s="50" t="s">
        <v>6</v>
      </c>
      <c r="O5" s="23" t="s">
        <v>7</v>
      </c>
      <c r="P5" s="7" t="s">
        <v>8</v>
      </c>
      <c r="Q5" s="7" t="s">
        <v>9</v>
      </c>
      <c r="R5" s="6" t="s">
        <v>10</v>
      </c>
      <c r="S5" s="6" t="s">
        <v>26</v>
      </c>
      <c r="T5" s="6" t="s">
        <v>27</v>
      </c>
      <c r="U5" s="6" t="s">
        <v>28</v>
      </c>
      <c r="V5" s="6" t="s">
        <v>29</v>
      </c>
      <c r="W5" s="6" t="s">
        <v>30</v>
      </c>
      <c r="X5" s="6" t="s">
        <v>31</v>
      </c>
    </row>
    <row r="6" spans="1:24" ht="14.25" customHeight="1" x14ac:dyDescent="0.25">
      <c r="A6" s="25" t="s">
        <v>11</v>
      </c>
      <c r="B6" s="26" t="s">
        <v>12</v>
      </c>
      <c r="C6" s="24" t="s">
        <v>13</v>
      </c>
      <c r="D6" s="24" t="s">
        <v>14</v>
      </c>
      <c r="E6" s="24" t="s">
        <v>15</v>
      </c>
      <c r="F6" s="24" t="s">
        <v>16</v>
      </c>
      <c r="G6" s="51" t="s">
        <v>17</v>
      </c>
      <c r="H6" s="3"/>
      <c r="I6" s="28" t="s">
        <v>19</v>
      </c>
      <c r="J6" s="29" t="s">
        <v>20</v>
      </c>
      <c r="K6" s="30" t="s">
        <v>21</v>
      </c>
      <c r="L6" s="30" t="s">
        <v>22</v>
      </c>
      <c r="M6" s="52" t="s">
        <v>23</v>
      </c>
      <c r="N6" s="53" t="s">
        <v>24</v>
      </c>
      <c r="O6" s="54" t="s">
        <v>25</v>
      </c>
      <c r="P6" s="7"/>
      <c r="Q6" s="7"/>
      <c r="R6" s="6"/>
      <c r="S6" s="6"/>
      <c r="T6" s="6"/>
      <c r="U6" s="6"/>
      <c r="V6" s="6"/>
      <c r="W6" s="6"/>
      <c r="X6" s="6"/>
    </row>
    <row r="7" spans="1:24" ht="14.25" customHeight="1" x14ac:dyDescent="0.25">
      <c r="A7" s="5" t="s">
        <v>32</v>
      </c>
      <c r="B7" s="32">
        <v>1</v>
      </c>
      <c r="C7" s="11">
        <f t="array" ref="C7">IF($B7&lt;=10, INDEX(Data!$A:$A,40+$B7), INDEX(Data!$A:$A,80+$B7))</f>
        <v>5</v>
      </c>
      <c r="D7" s="55">
        <f t="array" ref="D7">IF($B7&lt;=10, INDEX(Data!$B:$B,40+$B7), INDEX(Data!$B:$B,80+$B7))</f>
        <v>3.5</v>
      </c>
      <c r="E7" s="55">
        <f t="array" ref="E7">IF($B7&lt;=10, INDEX(Data!$C:$C,40+$B7), INDEX(Data!$C:$C,80+$B7))</f>
        <v>1.3</v>
      </c>
      <c r="F7" s="55">
        <f t="array" ref="F7">IF($B7&lt;=10, INDEX(Data!$D:$D,40+$B7), INDEX(Data!$D:$D,80+$B7))</f>
        <v>0.3</v>
      </c>
      <c r="G7" s="55">
        <f t="array" ref="G7">IF(INDEX(Data!$E:$E,IF($B7&lt;=10,40+$B7,80+$B7))="Iris-setosa",0,1)</f>
        <v>0</v>
      </c>
      <c r="H7">
        <f t="shared" ref="H7:H38" si="0">IF(G7=P7, 1, 0)</f>
        <v>0</v>
      </c>
      <c r="I7" s="34">
        <f>'SLP-Training'!I84</f>
        <v>0.38006952281614992</v>
      </c>
      <c r="J7" s="34">
        <f>'SLP-Training'!J84</f>
        <v>-2.0599416024548407E-2</v>
      </c>
      <c r="K7" s="34">
        <f>'SLP-Training'!K84</f>
        <v>7.0780062233013349E-2</v>
      </c>
      <c r="L7" s="34">
        <f>'SLP-Training'!L84</f>
        <v>0.52338293564705451</v>
      </c>
      <c r="M7" s="34">
        <f>'SLP-Training'!M84</f>
        <v>0.55079359067612532</v>
      </c>
      <c r="N7" s="56">
        <f t="shared" ref="N7:N38" si="1">I7+J7*C7+K7*D7+L7*E7+F7*M7</f>
        <v>1.3704385540529633</v>
      </c>
      <c r="O7" s="35">
        <f t="shared" ref="O7:O38" si="2">1/(1+EXP(-N7))</f>
        <v>0.79745099933320174</v>
      </c>
      <c r="P7" s="36">
        <f t="shared" ref="P7:P38" si="3">IF(O7&gt;0.5,1,0)</f>
        <v>1</v>
      </c>
      <c r="Q7" s="36">
        <f t="shared" ref="Q7:Q38" si="4">O7-G7</f>
        <v>0.79745099933320174</v>
      </c>
      <c r="R7" s="37">
        <f t="shared" ref="R7:R38" si="5">Q7^2</f>
        <v>0.63592809633752212</v>
      </c>
      <c r="T7" s="37">
        <f t="shared" ref="T7:T38" si="6">2*(O7-G7)*(1-O7)*O7</f>
        <v>0.25761320081820904</v>
      </c>
      <c r="U7" s="37">
        <f t="shared" ref="U7:U38" si="7">2*(O7-G7)*(1-O7)*O7*C7</f>
        <v>1.2880660040910452</v>
      </c>
      <c r="V7" s="37">
        <f t="shared" ref="V7:V38" si="8">2*(O7-G7)*(1-O7)*O7*D7</f>
        <v>0.90164620286373165</v>
      </c>
      <c r="W7" s="37">
        <f t="shared" ref="W7:W38" si="9">2*(O7-G7)*(1-O7)*O7*E7</f>
        <v>0.33489716106367179</v>
      </c>
      <c r="X7" s="37">
        <f t="shared" ref="X7:X38" si="10">2*(O7-G7)*(1-O7)*O7*F7</f>
        <v>7.7283960245462704E-2</v>
      </c>
    </row>
    <row r="8" spans="1:24" ht="14.25" customHeight="1" x14ac:dyDescent="0.25">
      <c r="A8" s="5"/>
      <c r="B8" s="38">
        <v>2</v>
      </c>
      <c r="C8" s="11">
        <f t="array" ref="C8">IF($B8&lt;=10, INDEX(Data!$A:$A,40+$B8), INDEX(Data!$A:$A,80+$B8))</f>
        <v>4.5</v>
      </c>
      <c r="D8" s="55">
        <f t="array" ref="D8">IF($B8&lt;=10, INDEX(Data!$B:$B,40+$B8), INDEX(Data!$B:$B,80+$B8))</f>
        <v>2.2999999999999998</v>
      </c>
      <c r="E8" s="55">
        <f t="array" ref="E8">IF($B8&lt;=10, INDEX(Data!$C:$C,40+$B8), INDEX(Data!$C:$C,80+$B8))</f>
        <v>1.3</v>
      </c>
      <c r="F8" s="55">
        <f t="array" ref="F8">IF($B8&lt;=10, INDEX(Data!$D:$D,40+$B8), INDEX(Data!$D:$D,80+$B8))</f>
        <v>0.3</v>
      </c>
      <c r="G8" s="55">
        <f t="array" ref="G8">IF(INDEX(Data!$E:$E,IF($B8&lt;=10,40+$B8,80+$B8))="Iris-setosa",0,1)</f>
        <v>0</v>
      </c>
      <c r="H8">
        <f t="shared" si="0"/>
        <v>0</v>
      </c>
      <c r="I8" s="38">
        <f t="shared" ref="I8:I26" si="11">I7-$K$4*T7</f>
        <v>0.354308202734329</v>
      </c>
      <c r="J8" s="38">
        <f t="shared" ref="J8:J26" si="12">J7-$K$4*U7</f>
        <v>-0.14940601643365292</v>
      </c>
      <c r="K8" s="38">
        <f t="shared" ref="K8:K26" si="13">K7-$K$4*V7</f>
        <v>-1.9384558053359827E-2</v>
      </c>
      <c r="L8" s="38">
        <f t="shared" ref="L8:L26" si="14">L7-$K$4*W7</f>
        <v>0.48989321954068732</v>
      </c>
      <c r="M8" s="38">
        <f t="shared" ref="M8:M26" si="15">M7-$K$4*X7</f>
        <v>0.5430651946515791</v>
      </c>
      <c r="N8" s="35">
        <f t="shared" si="1"/>
        <v>0.43717738905853043</v>
      </c>
      <c r="O8" s="35">
        <f t="shared" si="2"/>
        <v>0.60758625392560872</v>
      </c>
      <c r="P8" s="36">
        <f t="shared" si="3"/>
        <v>1</v>
      </c>
      <c r="Q8" s="36">
        <f t="shared" si="4"/>
        <v>0.60758625392560872</v>
      </c>
      <c r="R8" s="37">
        <f t="shared" si="5"/>
        <v>0.36916105595935428</v>
      </c>
      <c r="T8" s="37">
        <f t="shared" si="6"/>
        <v>0.28972774574757643</v>
      </c>
      <c r="U8" s="37">
        <f t="shared" si="7"/>
        <v>1.303774855864094</v>
      </c>
      <c r="V8" s="37">
        <f t="shared" si="8"/>
        <v>0.66637381521942574</v>
      </c>
      <c r="W8" s="37">
        <f t="shared" si="9"/>
        <v>0.37664606947184937</v>
      </c>
      <c r="X8" s="37">
        <f t="shared" si="10"/>
        <v>8.6918323724272925E-2</v>
      </c>
    </row>
    <row r="9" spans="1:24" ht="14.25" customHeight="1" x14ac:dyDescent="0.25">
      <c r="A9" s="5"/>
      <c r="B9" s="32">
        <v>3</v>
      </c>
      <c r="C9" s="11">
        <f t="array" ref="C9">IF($B9&lt;=10, INDEX(Data!$A:$A,40+$B9), INDEX(Data!$A:$A,80+$B9))</f>
        <v>4.4000000000000004</v>
      </c>
      <c r="D9" s="55">
        <f t="array" ref="D9">IF($B9&lt;=10, INDEX(Data!$B:$B,40+$B9), INDEX(Data!$B:$B,80+$B9))</f>
        <v>3.2</v>
      </c>
      <c r="E9" s="55">
        <f t="array" ref="E9">IF($B9&lt;=10, INDEX(Data!$C:$C,40+$B9), INDEX(Data!$C:$C,80+$B9))</f>
        <v>1.3</v>
      </c>
      <c r="F9" s="55">
        <f t="array" ref="F9">IF($B9&lt;=10, INDEX(Data!$D:$D,40+$B9), INDEX(Data!$D:$D,80+$B9))</f>
        <v>0.2</v>
      </c>
      <c r="G9" s="55">
        <f t="array" ref="G9">IF(INDEX(Data!$E:$E,IF($B9&lt;=10,40+$B9,80+$B9))="Iris-setosa",0,1)</f>
        <v>0</v>
      </c>
      <c r="H9">
        <f t="shared" si="0"/>
        <v>1</v>
      </c>
      <c r="I9" s="38">
        <f t="shared" si="11"/>
        <v>0.32533542815957134</v>
      </c>
      <c r="J9" s="38">
        <f t="shared" si="12"/>
        <v>-0.2797835020200623</v>
      </c>
      <c r="K9" s="38">
        <f t="shared" si="13"/>
        <v>-8.6021939575302409E-2</v>
      </c>
      <c r="L9" s="38">
        <f t="shared" si="14"/>
        <v>0.45222861259350239</v>
      </c>
      <c r="M9" s="38">
        <f t="shared" si="15"/>
        <v>0.53437336227915178</v>
      </c>
      <c r="N9" s="35">
        <f t="shared" si="1"/>
        <v>-0.48621031854228713</v>
      </c>
      <c r="O9" s="35">
        <f t="shared" si="2"/>
        <v>0.38078672522793117</v>
      </c>
      <c r="P9" s="36">
        <f t="shared" si="3"/>
        <v>0</v>
      </c>
      <c r="Q9" s="36">
        <f t="shared" si="4"/>
        <v>0.38078672522793117</v>
      </c>
      <c r="R9" s="37">
        <f t="shared" si="5"/>
        <v>0.14499853010981195</v>
      </c>
      <c r="T9" s="37">
        <f t="shared" si="6"/>
        <v>0.1795700293328662</v>
      </c>
      <c r="U9" s="37">
        <f t="shared" si="7"/>
        <v>0.79010812906461136</v>
      </c>
      <c r="V9" s="37">
        <f t="shared" si="8"/>
        <v>0.57462409386517188</v>
      </c>
      <c r="W9" s="37">
        <f t="shared" si="9"/>
        <v>0.23344103813272607</v>
      </c>
      <c r="X9" s="37">
        <f t="shared" si="10"/>
        <v>3.5914005866573243E-2</v>
      </c>
    </row>
    <row r="10" spans="1:24" ht="14.25" customHeight="1" x14ac:dyDescent="0.25">
      <c r="A10" s="5"/>
      <c r="B10" s="38">
        <v>4</v>
      </c>
      <c r="C10" s="11">
        <f t="array" ref="C10">IF($B10&lt;=10, INDEX(Data!$A:$A,40+$B10), INDEX(Data!$A:$A,80+$B10))</f>
        <v>5</v>
      </c>
      <c r="D10" s="55">
        <f t="array" ref="D10">IF($B10&lt;=10, INDEX(Data!$B:$B,40+$B10), INDEX(Data!$B:$B,80+$B10))</f>
        <v>3.5</v>
      </c>
      <c r="E10" s="55">
        <f t="array" ref="E10">IF($B10&lt;=10, INDEX(Data!$C:$C,40+$B10), INDEX(Data!$C:$C,80+$B10))</f>
        <v>1.6</v>
      </c>
      <c r="F10" s="55">
        <f t="array" ref="F10">IF($B10&lt;=10, INDEX(Data!$D:$D,40+$B10), INDEX(Data!$D:$D,80+$B10))</f>
        <v>0.6</v>
      </c>
      <c r="G10" s="55">
        <f t="array" ref="G10">IF(INDEX(Data!$E:$E,IF($B10&lt;=10,40+$B10,80+$B10))="Iris-setosa",0,1)</f>
        <v>0</v>
      </c>
      <c r="H10">
        <f t="shared" si="0"/>
        <v>1</v>
      </c>
      <c r="I10" s="38">
        <f t="shared" si="11"/>
        <v>0.30737842522628472</v>
      </c>
      <c r="J10" s="38">
        <f t="shared" si="12"/>
        <v>-0.35879431492652347</v>
      </c>
      <c r="K10" s="38">
        <f t="shared" si="13"/>
        <v>-0.14348434896181961</v>
      </c>
      <c r="L10" s="38">
        <f t="shared" si="14"/>
        <v>0.42888450878022977</v>
      </c>
      <c r="M10" s="38">
        <f t="shared" si="15"/>
        <v>0.53078196169249448</v>
      </c>
      <c r="N10" s="35">
        <f t="shared" si="1"/>
        <v>-0.98410397970883712</v>
      </c>
      <c r="O10" s="35">
        <f t="shared" si="2"/>
        <v>0.27207822379787888</v>
      </c>
      <c r="P10" s="36">
        <f t="shared" si="3"/>
        <v>0</v>
      </c>
      <c r="Q10" s="36">
        <f t="shared" si="4"/>
        <v>0.27207822379787888</v>
      </c>
      <c r="R10" s="37">
        <f t="shared" si="5"/>
        <v>7.4026559865008668E-2</v>
      </c>
      <c r="T10" s="37">
        <f t="shared" si="6"/>
        <v>0.10777108988613951</v>
      </c>
      <c r="U10" s="37">
        <f t="shared" si="7"/>
        <v>0.53885544943069752</v>
      </c>
      <c r="V10" s="37">
        <f t="shared" si="8"/>
        <v>0.3771988146014883</v>
      </c>
      <c r="W10" s="37">
        <f t="shared" si="9"/>
        <v>0.17243374381782323</v>
      </c>
      <c r="X10" s="37">
        <f t="shared" si="10"/>
        <v>6.4662653931683703E-2</v>
      </c>
    </row>
    <row r="11" spans="1:24" ht="14.25" customHeight="1" x14ac:dyDescent="0.25">
      <c r="A11" s="5"/>
      <c r="B11" s="32">
        <v>5</v>
      </c>
      <c r="C11" s="11">
        <f t="array" ref="C11">IF($B11&lt;=10, INDEX(Data!$A:$A,40+$B11), INDEX(Data!$A:$A,80+$B11))</f>
        <v>5.0999999999999996</v>
      </c>
      <c r="D11" s="55">
        <f t="array" ref="D11">IF($B11&lt;=10, INDEX(Data!$B:$B,40+$B11), INDEX(Data!$B:$B,80+$B11))</f>
        <v>3.8</v>
      </c>
      <c r="E11" s="55">
        <f t="array" ref="E11">IF($B11&lt;=10, INDEX(Data!$C:$C,40+$B11), INDEX(Data!$C:$C,80+$B11))</f>
        <v>1.9</v>
      </c>
      <c r="F11" s="55">
        <f t="array" ref="F11">IF($B11&lt;=10, INDEX(Data!$D:$D,40+$B11), INDEX(Data!$D:$D,80+$B11))</f>
        <v>0.4</v>
      </c>
      <c r="G11" s="55">
        <f t="array" ref="G11">IF(INDEX(Data!$E:$E,IF($B11&lt;=10,40+$B11,80+$B11))="Iris-setosa",0,1)</f>
        <v>0</v>
      </c>
      <c r="H11">
        <f t="shared" si="0"/>
        <v>1</v>
      </c>
      <c r="I11" s="38">
        <f t="shared" si="11"/>
        <v>0.29660131623767078</v>
      </c>
      <c r="J11" s="38">
        <f t="shared" si="12"/>
        <v>-0.41267985986959321</v>
      </c>
      <c r="K11" s="38">
        <f t="shared" si="13"/>
        <v>-0.18120423042196843</v>
      </c>
      <c r="L11" s="38">
        <f t="shared" si="14"/>
        <v>0.41164113439844746</v>
      </c>
      <c r="M11" s="38">
        <f t="shared" si="15"/>
        <v>0.52431569629932606</v>
      </c>
      <c r="N11" s="35">
        <f t="shared" si="1"/>
        <v>-1.5047976108239538</v>
      </c>
      <c r="O11" s="35">
        <f t="shared" si="2"/>
        <v>0.1817110670892976</v>
      </c>
      <c r="P11" s="36">
        <f t="shared" si="3"/>
        <v>0</v>
      </c>
      <c r="Q11" s="36">
        <f t="shared" si="4"/>
        <v>0.1817110670892976</v>
      </c>
      <c r="R11" s="37">
        <f t="shared" si="5"/>
        <v>3.3018911902731214E-2</v>
      </c>
      <c r="T11" s="37">
        <f t="shared" si="6"/>
        <v>5.4038020373516835E-2</v>
      </c>
      <c r="U11" s="37">
        <f t="shared" si="7"/>
        <v>0.27559390390493582</v>
      </c>
      <c r="V11" s="37">
        <f t="shared" si="8"/>
        <v>0.20534447741936396</v>
      </c>
      <c r="W11" s="37">
        <f t="shared" si="9"/>
        <v>0.10267223870968198</v>
      </c>
      <c r="X11" s="37">
        <f t="shared" si="10"/>
        <v>2.1615208149406734E-2</v>
      </c>
    </row>
    <row r="12" spans="1:24" ht="14.25" customHeight="1" x14ac:dyDescent="0.25">
      <c r="A12" s="5"/>
      <c r="B12" s="38">
        <v>6</v>
      </c>
      <c r="C12" s="11">
        <f t="array" ref="C12">IF($B12&lt;=10, INDEX(Data!$A:$A,40+$B12), INDEX(Data!$A:$A,80+$B12))</f>
        <v>4.8</v>
      </c>
      <c r="D12" s="55">
        <f t="array" ref="D12">IF($B12&lt;=10, INDEX(Data!$B:$B,40+$B12), INDEX(Data!$B:$B,80+$B12))</f>
        <v>3</v>
      </c>
      <c r="E12" s="55">
        <f t="array" ref="E12">IF($B12&lt;=10, INDEX(Data!$C:$C,40+$B12), INDEX(Data!$C:$C,80+$B12))</f>
        <v>1.4</v>
      </c>
      <c r="F12" s="55">
        <f t="array" ref="F12">IF($B12&lt;=10, INDEX(Data!$D:$D,40+$B12), INDEX(Data!$D:$D,80+$B12))</f>
        <v>0.3</v>
      </c>
      <c r="G12" s="55">
        <f t="array" ref="G12">IF(INDEX(Data!$E:$E,IF($B12&lt;=10,40+$B12,80+$B12))="Iris-setosa",0,1)</f>
        <v>0</v>
      </c>
      <c r="H12">
        <f t="shared" si="0"/>
        <v>1</v>
      </c>
      <c r="I12" s="38">
        <f t="shared" si="11"/>
        <v>0.29119751420031909</v>
      </c>
      <c r="J12" s="38">
        <f t="shared" si="12"/>
        <v>-0.44023925026008681</v>
      </c>
      <c r="K12" s="38">
        <f t="shared" si="13"/>
        <v>-0.20173867816390484</v>
      </c>
      <c r="L12" s="38">
        <f t="shared" si="14"/>
        <v>0.40137391052747928</v>
      </c>
      <c r="M12" s="38">
        <f t="shared" si="15"/>
        <v>0.52215417548438536</v>
      </c>
      <c r="N12" s="35">
        <f t="shared" si="1"/>
        <v>-1.7085971941560256</v>
      </c>
      <c r="O12" s="35">
        <f t="shared" si="2"/>
        <v>0.15334575466472325</v>
      </c>
      <c r="P12" s="36">
        <f t="shared" si="3"/>
        <v>0</v>
      </c>
      <c r="Q12" s="36">
        <f t="shared" si="4"/>
        <v>0.15334575466472325</v>
      </c>
      <c r="R12" s="37">
        <f t="shared" si="5"/>
        <v>2.3514920473693492E-2</v>
      </c>
      <c r="T12" s="37">
        <f t="shared" si="6"/>
        <v>3.9818014495548025E-2</v>
      </c>
      <c r="U12" s="37">
        <f t="shared" si="7"/>
        <v>0.19112646957863053</v>
      </c>
      <c r="V12" s="37">
        <f t="shared" si="8"/>
        <v>0.11945404348664407</v>
      </c>
      <c r="W12" s="37">
        <f t="shared" si="9"/>
        <v>5.5745220293767231E-2</v>
      </c>
      <c r="X12" s="37">
        <f t="shared" si="10"/>
        <v>1.1945404348664408E-2</v>
      </c>
    </row>
    <row r="13" spans="1:24" ht="14.25" customHeight="1" x14ac:dyDescent="0.25">
      <c r="A13" s="5"/>
      <c r="B13" s="32">
        <v>7</v>
      </c>
      <c r="C13" s="11">
        <f t="array" ref="C13">IF($B13&lt;=10, INDEX(Data!$A:$A,40+$B13), INDEX(Data!$A:$A,80+$B13))</f>
        <v>5.0999999999999996</v>
      </c>
      <c r="D13" s="55">
        <f t="array" ref="D13">IF($B13&lt;=10, INDEX(Data!$B:$B,40+$B13), INDEX(Data!$B:$B,80+$B13))</f>
        <v>3.8</v>
      </c>
      <c r="E13" s="55">
        <f t="array" ref="E13">IF($B13&lt;=10, INDEX(Data!$C:$C,40+$B13), INDEX(Data!$C:$C,80+$B13))</f>
        <v>1.6</v>
      </c>
      <c r="F13" s="55">
        <f t="array" ref="F13">IF($B13&lt;=10, INDEX(Data!$D:$D,40+$B13), INDEX(Data!$D:$D,80+$B13))</f>
        <v>0.2</v>
      </c>
      <c r="G13" s="55">
        <f t="array" ref="G13">IF(INDEX(Data!$E:$E,IF($B13&lt;=10,40+$B13,80+$B13))="Iris-setosa",0,1)</f>
        <v>0</v>
      </c>
      <c r="H13">
        <f t="shared" si="0"/>
        <v>1</v>
      </c>
      <c r="I13" s="38">
        <f t="shared" si="11"/>
        <v>0.2872157127507643</v>
      </c>
      <c r="J13" s="38">
        <f t="shared" si="12"/>
        <v>-0.45935189721794989</v>
      </c>
      <c r="K13" s="38">
        <f t="shared" si="13"/>
        <v>-0.21368408251256923</v>
      </c>
      <c r="L13" s="38">
        <f t="shared" si="14"/>
        <v>0.39579938849810253</v>
      </c>
      <c r="M13" s="38">
        <f t="shared" si="15"/>
        <v>0.52095963504951892</v>
      </c>
      <c r="N13" s="35">
        <f t="shared" si="1"/>
        <v>-2.1300075280016753</v>
      </c>
      <c r="O13" s="35">
        <f t="shared" si="2"/>
        <v>0.10621427701874664</v>
      </c>
      <c r="P13" s="36">
        <f t="shared" si="3"/>
        <v>0</v>
      </c>
      <c r="Q13" s="36">
        <f t="shared" si="4"/>
        <v>0.10621427701874664</v>
      </c>
      <c r="R13" s="37">
        <f t="shared" si="5"/>
        <v>1.128147264261505E-2</v>
      </c>
      <c r="T13" s="37">
        <f t="shared" si="6"/>
        <v>2.0166438364345847E-2</v>
      </c>
      <c r="U13" s="37">
        <f t="shared" si="7"/>
        <v>0.10284883565816381</v>
      </c>
      <c r="V13" s="37">
        <f t="shared" si="8"/>
        <v>7.6632465784514214E-2</v>
      </c>
      <c r="W13" s="37">
        <f t="shared" si="9"/>
        <v>3.2266301382953354E-2</v>
      </c>
      <c r="X13" s="37">
        <f t="shared" si="10"/>
        <v>4.0332876728691692E-3</v>
      </c>
    </row>
    <row r="14" spans="1:24" ht="14.25" customHeight="1" x14ac:dyDescent="0.25">
      <c r="A14" s="5"/>
      <c r="B14" s="38">
        <v>8</v>
      </c>
      <c r="C14" s="11">
        <f t="array" ref="C14">IF($B14&lt;=10, INDEX(Data!$A:$A,40+$B14), INDEX(Data!$A:$A,80+$B14))</f>
        <v>4.5999999999999996</v>
      </c>
      <c r="D14" s="55">
        <f t="array" ref="D14">IF($B14&lt;=10, INDEX(Data!$B:$B,40+$B14), INDEX(Data!$B:$B,80+$B14))</f>
        <v>3.2</v>
      </c>
      <c r="E14" s="55">
        <f t="array" ref="E14">IF($B14&lt;=10, INDEX(Data!$C:$C,40+$B14), INDEX(Data!$C:$C,80+$B14))</f>
        <v>1.4</v>
      </c>
      <c r="F14" s="55">
        <f t="array" ref="F14">IF($B14&lt;=10, INDEX(Data!$D:$D,40+$B14), INDEX(Data!$D:$D,80+$B14))</f>
        <v>0.2</v>
      </c>
      <c r="G14" s="55">
        <f t="array" ref="G14">IF(INDEX(Data!$E:$E,IF($B14&lt;=10,40+$B14,80+$B14))="Iris-setosa",0,1)</f>
        <v>0</v>
      </c>
      <c r="H14">
        <f t="shared" si="0"/>
        <v>1</v>
      </c>
      <c r="I14" s="38">
        <f t="shared" si="11"/>
        <v>0.28519906891432972</v>
      </c>
      <c r="J14" s="38">
        <f t="shared" si="12"/>
        <v>-0.46963678078376625</v>
      </c>
      <c r="K14" s="38">
        <f t="shared" si="13"/>
        <v>-0.22134732909102064</v>
      </c>
      <c r="L14" s="38">
        <f t="shared" si="14"/>
        <v>0.39257275835980721</v>
      </c>
      <c r="M14" s="38">
        <f t="shared" si="15"/>
        <v>0.52055630628223204</v>
      </c>
      <c r="N14" s="35">
        <f t="shared" si="1"/>
        <v>-1.9297284528220842</v>
      </c>
      <c r="O14" s="35">
        <f t="shared" si="2"/>
        <v>0.12678063933284095</v>
      </c>
      <c r="P14" s="36">
        <f t="shared" si="3"/>
        <v>0</v>
      </c>
      <c r="Q14" s="36">
        <f t="shared" si="4"/>
        <v>0.12678063933284095</v>
      </c>
      <c r="R14" s="37">
        <f t="shared" si="5"/>
        <v>1.6073330509643897E-2</v>
      </c>
      <c r="T14" s="37">
        <f t="shared" si="6"/>
        <v>2.807108678284637E-2</v>
      </c>
      <c r="U14" s="37">
        <f t="shared" si="7"/>
        <v>0.1291269992010933</v>
      </c>
      <c r="V14" s="37">
        <f t="shared" si="8"/>
        <v>8.9827477705108391E-2</v>
      </c>
      <c r="W14" s="37">
        <f t="shared" si="9"/>
        <v>3.9299521495984917E-2</v>
      </c>
      <c r="X14" s="37">
        <f t="shared" si="10"/>
        <v>5.6142173565692744E-3</v>
      </c>
    </row>
    <row r="15" spans="1:24" ht="14.25" customHeight="1" x14ac:dyDescent="0.25">
      <c r="A15" s="5"/>
      <c r="B15" s="32">
        <v>9</v>
      </c>
      <c r="C15" s="11">
        <f t="array" ref="C15">IF($B15&lt;=10, INDEX(Data!$A:$A,40+$B15), INDEX(Data!$A:$A,80+$B15))</f>
        <v>5.3</v>
      </c>
      <c r="D15" s="55">
        <f t="array" ref="D15">IF($B15&lt;=10, INDEX(Data!$B:$B,40+$B15), INDEX(Data!$B:$B,80+$B15))</f>
        <v>3.7</v>
      </c>
      <c r="E15" s="55">
        <f t="array" ref="E15">IF($B15&lt;=10, INDEX(Data!$C:$C,40+$B15), INDEX(Data!$C:$C,80+$B15))</f>
        <v>1.5</v>
      </c>
      <c r="F15" s="55">
        <f t="array" ref="F15">IF($B15&lt;=10, INDEX(Data!$D:$D,40+$B15), INDEX(Data!$D:$D,80+$B15))</f>
        <v>0.2</v>
      </c>
      <c r="G15" s="55">
        <f t="array" ref="G15">IF(INDEX(Data!$E:$E,IF($B15&lt;=10,40+$B15,80+$B15))="Iris-setosa",0,1)</f>
        <v>0</v>
      </c>
      <c r="H15">
        <f t="shared" si="0"/>
        <v>1</v>
      </c>
      <c r="I15" s="38">
        <f t="shared" si="11"/>
        <v>0.28239196023604507</v>
      </c>
      <c r="J15" s="38">
        <f t="shared" si="12"/>
        <v>-0.4825494807038756</v>
      </c>
      <c r="K15" s="38">
        <f t="shared" si="13"/>
        <v>-0.23033007686153148</v>
      </c>
      <c r="L15" s="38">
        <f t="shared" si="14"/>
        <v>0.38864280621020869</v>
      </c>
      <c r="M15" s="38">
        <f t="shared" si="15"/>
        <v>0.51999488454657516</v>
      </c>
      <c r="N15" s="35">
        <f t="shared" si="1"/>
        <v>-2.4403783856575338</v>
      </c>
      <c r="O15" s="35">
        <f t="shared" si="2"/>
        <v>8.0145012473025523E-2</v>
      </c>
      <c r="P15" s="36">
        <f t="shared" si="3"/>
        <v>0</v>
      </c>
      <c r="Q15" s="36">
        <f t="shared" si="4"/>
        <v>8.0145012473025523E-2</v>
      </c>
      <c r="R15" s="37">
        <f t="shared" si="5"/>
        <v>6.4232230243014164E-3</v>
      </c>
      <c r="T15" s="37">
        <f t="shared" si="6"/>
        <v>1.181686746980351E-2</v>
      </c>
      <c r="U15" s="37">
        <f t="shared" si="7"/>
        <v>6.2629397589958599E-2</v>
      </c>
      <c r="V15" s="37">
        <f t="shared" si="8"/>
        <v>4.3722409638272994E-2</v>
      </c>
      <c r="W15" s="37">
        <f t="shared" si="9"/>
        <v>1.7725301204705265E-2</v>
      </c>
      <c r="X15" s="37">
        <f t="shared" si="10"/>
        <v>2.3633734939607024E-3</v>
      </c>
    </row>
    <row r="16" spans="1:24" ht="14.25" customHeight="1" x14ac:dyDescent="0.25">
      <c r="A16" s="5"/>
      <c r="B16" s="38">
        <v>10</v>
      </c>
      <c r="C16" s="11">
        <f t="array" ref="C16">IF($B16&lt;=10, INDEX(Data!$A:$A,40+$B16), INDEX(Data!$A:$A,80+$B16))</f>
        <v>5</v>
      </c>
      <c r="D16" s="55">
        <f t="array" ref="D16">IF($B16&lt;=10, INDEX(Data!$B:$B,40+$B16), INDEX(Data!$B:$B,80+$B16))</f>
        <v>3.3</v>
      </c>
      <c r="E16" s="55">
        <f t="array" ref="E16">IF($B16&lt;=10, INDEX(Data!$C:$C,40+$B16), INDEX(Data!$C:$C,80+$B16))</f>
        <v>1.4</v>
      </c>
      <c r="F16" s="55">
        <f t="array" ref="F16">IF($B16&lt;=10, INDEX(Data!$D:$D,40+$B16), INDEX(Data!$D:$D,80+$B16))</f>
        <v>0.2</v>
      </c>
      <c r="G16" s="55">
        <f t="array" ref="G16">IF(INDEX(Data!$E:$E,IF($B16&lt;=10,40+$B16,80+$B16))="Iris-setosa",0,1)</f>
        <v>0</v>
      </c>
      <c r="H16">
        <f t="shared" si="0"/>
        <v>1</v>
      </c>
      <c r="I16" s="38">
        <f t="shared" si="11"/>
        <v>0.28121027348906474</v>
      </c>
      <c r="J16" s="38">
        <f t="shared" si="12"/>
        <v>-0.48881242046287143</v>
      </c>
      <c r="K16" s="38">
        <f t="shared" si="13"/>
        <v>-0.23470231782535877</v>
      </c>
      <c r="L16" s="38">
        <f t="shared" si="14"/>
        <v>0.38687027608973817</v>
      </c>
      <c r="M16" s="38">
        <f t="shared" si="15"/>
        <v>0.51975854719717907</v>
      </c>
      <c r="N16" s="35">
        <f t="shared" si="1"/>
        <v>-2.2917993816839068</v>
      </c>
      <c r="O16" s="35">
        <f t="shared" si="2"/>
        <v>9.1804413795394238E-2</v>
      </c>
      <c r="P16" s="36">
        <f t="shared" si="3"/>
        <v>0</v>
      </c>
      <c r="Q16" s="36">
        <f t="shared" si="4"/>
        <v>9.1804413795394238E-2</v>
      </c>
      <c r="R16" s="37">
        <f t="shared" si="5"/>
        <v>8.4280503923159725E-3</v>
      </c>
      <c r="T16" s="37">
        <f t="shared" si="6"/>
        <v>1.5308636333222722E-2</v>
      </c>
      <c r="U16" s="37">
        <f t="shared" si="7"/>
        <v>7.6543181666113611E-2</v>
      </c>
      <c r="V16" s="37">
        <f t="shared" si="8"/>
        <v>5.0518499899634979E-2</v>
      </c>
      <c r="W16" s="37">
        <f t="shared" si="9"/>
        <v>2.1432090866511811E-2</v>
      </c>
      <c r="X16" s="37">
        <f t="shared" si="10"/>
        <v>3.0617272666445448E-3</v>
      </c>
    </row>
    <row r="17" spans="1:24" ht="14.25" customHeight="1" x14ac:dyDescent="0.25">
      <c r="A17" s="5"/>
      <c r="B17" s="32">
        <v>11</v>
      </c>
      <c r="C17" s="11">
        <f t="array" ref="C17">IF($B17&lt;=10, INDEX(Data!$A:$A,40+$B17), INDEX(Data!$A:$A,80+$B17))</f>
        <v>5.5</v>
      </c>
      <c r="D17" s="55">
        <f t="array" ref="D17">IF($B17&lt;=10, INDEX(Data!$B:$B,40+$B17), INDEX(Data!$B:$B,80+$B17))</f>
        <v>2.6</v>
      </c>
      <c r="E17" s="55">
        <f t="array" ref="E17">IF($B17&lt;=10, INDEX(Data!$C:$C,40+$B17), INDEX(Data!$C:$C,80+$B17))</f>
        <v>4.4000000000000004</v>
      </c>
      <c r="F17" s="55">
        <f t="array" ref="F17">IF($B17&lt;=10, INDEX(Data!$D:$D,40+$B17), INDEX(Data!$D:$D,80+$B17))</f>
        <v>1.2</v>
      </c>
      <c r="G17" s="55">
        <f t="array" ref="G17">IF(INDEX(Data!$E:$E,IF($B17&lt;=10,40+$B17,80+$B17))="Iris-setosa",0,1)</f>
        <v>1</v>
      </c>
      <c r="H17">
        <f t="shared" si="0"/>
        <v>0</v>
      </c>
      <c r="I17" s="38">
        <f t="shared" si="11"/>
        <v>0.27967940985574247</v>
      </c>
      <c r="J17" s="38">
        <f t="shared" si="12"/>
        <v>-0.49646673862948282</v>
      </c>
      <c r="K17" s="38">
        <f t="shared" si="13"/>
        <v>-0.23975416781532227</v>
      </c>
      <c r="L17" s="38">
        <f t="shared" si="14"/>
        <v>0.38472706700308701</v>
      </c>
      <c r="M17" s="38">
        <f t="shared" si="15"/>
        <v>0.51945237447051462</v>
      </c>
      <c r="N17" s="35">
        <f t="shared" si="1"/>
        <v>-0.75810654474805095</v>
      </c>
      <c r="O17" s="35">
        <f t="shared" si="2"/>
        <v>0.31905749692716695</v>
      </c>
      <c r="P17" s="36">
        <f t="shared" si="3"/>
        <v>0</v>
      </c>
      <c r="Q17" s="36">
        <f t="shared" si="4"/>
        <v>-0.68094250307283311</v>
      </c>
      <c r="R17" s="37">
        <f t="shared" si="5"/>
        <v>0.46368269249109534</v>
      </c>
      <c r="T17" s="37">
        <f t="shared" si="6"/>
        <v>-0.29588287846931632</v>
      </c>
      <c r="U17" s="37">
        <f t="shared" si="7"/>
        <v>-1.6273558315812398</v>
      </c>
      <c r="V17" s="37">
        <f t="shared" si="8"/>
        <v>-0.76929548402022252</v>
      </c>
      <c r="W17" s="37">
        <f t="shared" si="9"/>
        <v>-1.301884665264992</v>
      </c>
      <c r="X17" s="37">
        <f t="shared" si="10"/>
        <v>-0.35505945416317958</v>
      </c>
    </row>
    <row r="18" spans="1:24" ht="14.25" customHeight="1" x14ac:dyDescent="0.25">
      <c r="A18" s="5"/>
      <c r="B18" s="38">
        <v>12</v>
      </c>
      <c r="C18" s="11">
        <f t="array" ref="C18">IF($B18&lt;=10, INDEX(Data!$A:$A,40+$B18), INDEX(Data!$A:$A,80+$B18))</f>
        <v>6.1</v>
      </c>
      <c r="D18" s="55">
        <f t="array" ref="D18">IF($B18&lt;=10, INDEX(Data!$B:$B,40+$B18), INDEX(Data!$B:$B,80+$B18))</f>
        <v>3</v>
      </c>
      <c r="E18" s="55">
        <f t="array" ref="E18">IF($B18&lt;=10, INDEX(Data!$C:$C,40+$B18), INDEX(Data!$C:$C,80+$B18))</f>
        <v>4.5999999999999996</v>
      </c>
      <c r="F18" s="55">
        <f t="array" ref="F18">IF($B18&lt;=10, INDEX(Data!$D:$D,40+$B18), INDEX(Data!$D:$D,80+$B18))</f>
        <v>1.4</v>
      </c>
      <c r="G18" s="55">
        <f t="array" ref="G18">IF(INDEX(Data!$E:$E,IF($B18&lt;=10,40+$B18,80+$B18))="Iris-setosa",0,1)</f>
        <v>1</v>
      </c>
      <c r="H18">
        <f t="shared" si="0"/>
        <v>1</v>
      </c>
      <c r="I18" s="38">
        <f t="shared" si="11"/>
        <v>0.30926769770267409</v>
      </c>
      <c r="J18" s="38">
        <f t="shared" si="12"/>
        <v>-0.33373115547135884</v>
      </c>
      <c r="K18" s="38">
        <f t="shared" si="13"/>
        <v>-0.16282461941330001</v>
      </c>
      <c r="L18" s="38">
        <f t="shared" si="14"/>
        <v>0.51491553352958619</v>
      </c>
      <c r="M18" s="38">
        <f t="shared" si="15"/>
        <v>0.55495831988683253</v>
      </c>
      <c r="N18" s="35">
        <f t="shared" si="1"/>
        <v>0.93058689316514698</v>
      </c>
      <c r="O18" s="35">
        <f t="shared" si="2"/>
        <v>0.71719433822185319</v>
      </c>
      <c r="P18" s="36">
        <f t="shared" si="3"/>
        <v>1</v>
      </c>
      <c r="Q18" s="36">
        <f t="shared" si="4"/>
        <v>-0.28280566177814681</v>
      </c>
      <c r="R18" s="37">
        <f t="shared" si="5"/>
        <v>7.9979042333775563E-2</v>
      </c>
      <c r="T18" s="37">
        <f t="shared" si="6"/>
        <v>-0.11472103267637949</v>
      </c>
      <c r="U18" s="37">
        <f t="shared" si="7"/>
        <v>-0.69979829932591486</v>
      </c>
      <c r="V18" s="37">
        <f t="shared" si="8"/>
        <v>-0.34416309802913847</v>
      </c>
      <c r="W18" s="37">
        <f t="shared" si="9"/>
        <v>-0.52771675031134568</v>
      </c>
      <c r="X18" s="37">
        <f t="shared" si="10"/>
        <v>-0.16060944574693128</v>
      </c>
    </row>
    <row r="19" spans="1:24" ht="14.25" customHeight="1" x14ac:dyDescent="0.25">
      <c r="A19" s="5"/>
      <c r="B19" s="32">
        <v>13</v>
      </c>
      <c r="C19" s="11">
        <f t="array" ref="C19">IF($B19&lt;=10, INDEX(Data!$A:$A,40+$B19), INDEX(Data!$A:$A,80+$B19))</f>
        <v>5.8</v>
      </c>
      <c r="D19" s="55">
        <f t="array" ref="D19">IF($B19&lt;=10, INDEX(Data!$B:$B,40+$B19), INDEX(Data!$B:$B,80+$B19))</f>
        <v>2.6</v>
      </c>
      <c r="E19" s="55">
        <f t="array" ref="E19">IF($B19&lt;=10, INDEX(Data!$C:$C,40+$B19), INDEX(Data!$C:$C,80+$B19))</f>
        <v>4</v>
      </c>
      <c r="F19" s="55">
        <f t="array" ref="F19">IF($B19&lt;=10, INDEX(Data!$D:$D,40+$B19), INDEX(Data!$D:$D,80+$B19))</f>
        <v>1.2</v>
      </c>
      <c r="G19" s="55">
        <f t="array" ref="G19">IF(INDEX(Data!$E:$E,IF($B19&lt;=10,40+$B19,80+$B19))="Iris-setosa",0,1)</f>
        <v>1</v>
      </c>
      <c r="H19">
        <f t="shared" si="0"/>
        <v>1</v>
      </c>
      <c r="I19" s="38">
        <f t="shared" si="11"/>
        <v>0.32073980097031207</v>
      </c>
      <c r="J19" s="38">
        <f t="shared" si="12"/>
        <v>-0.26375132553876734</v>
      </c>
      <c r="K19" s="38">
        <f t="shared" si="13"/>
        <v>-0.12840830961038616</v>
      </c>
      <c r="L19" s="38">
        <f t="shared" si="14"/>
        <v>0.56768720856072075</v>
      </c>
      <c r="M19" s="38">
        <f t="shared" si="15"/>
        <v>0.57101926446152562</v>
      </c>
      <c r="N19" s="35">
        <f t="shared" si="1"/>
        <v>1.413092459455171</v>
      </c>
      <c r="O19" s="35">
        <f t="shared" si="2"/>
        <v>0.80425324751820493</v>
      </c>
      <c r="P19" s="36">
        <f t="shared" si="3"/>
        <v>1</v>
      </c>
      <c r="Q19" s="36">
        <f t="shared" si="4"/>
        <v>-0.19574675248179507</v>
      </c>
      <c r="R19" s="37">
        <f t="shared" si="5"/>
        <v>3.8316791107169144E-2</v>
      </c>
      <c r="T19" s="37">
        <f t="shared" si="6"/>
        <v>-6.1632807364834917E-2</v>
      </c>
      <c r="U19" s="37">
        <f t="shared" si="7"/>
        <v>-0.35747028271604253</v>
      </c>
      <c r="V19" s="37">
        <f t="shared" si="8"/>
        <v>-0.1602452991485708</v>
      </c>
      <c r="W19" s="37">
        <f t="shared" si="9"/>
        <v>-0.24653122945933967</v>
      </c>
      <c r="X19" s="37">
        <f t="shared" si="10"/>
        <v>-7.3959368837801895E-2</v>
      </c>
    </row>
    <row r="20" spans="1:24" ht="14.25" customHeight="1" x14ac:dyDescent="0.25">
      <c r="A20" s="5"/>
      <c r="B20" s="38">
        <v>14</v>
      </c>
      <c r="C20" s="11">
        <f t="array" ref="C20">IF($B20&lt;=10, INDEX(Data!$A:$A,40+$B20), INDEX(Data!$A:$A,80+$B20))</f>
        <v>5</v>
      </c>
      <c r="D20" s="55">
        <f t="array" ref="D20">IF($B20&lt;=10, INDEX(Data!$B:$B,40+$B20), INDEX(Data!$B:$B,80+$B20))</f>
        <v>2.2999999999999998</v>
      </c>
      <c r="E20" s="55">
        <f t="array" ref="E20">IF($B20&lt;=10, INDEX(Data!$C:$C,40+$B20), INDEX(Data!$C:$C,80+$B20))</f>
        <v>3.3</v>
      </c>
      <c r="F20" s="55">
        <f t="array" ref="F20">IF($B20&lt;=10, INDEX(Data!$D:$D,40+$B20), INDEX(Data!$D:$D,80+$B20))</f>
        <v>1</v>
      </c>
      <c r="G20" s="55">
        <f t="array" ref="G20">IF(INDEX(Data!$E:$E,IF($B20&lt;=10,40+$B20,80+$B20))="Iris-setosa",0,1)</f>
        <v>1</v>
      </c>
      <c r="H20">
        <f t="shared" si="0"/>
        <v>1</v>
      </c>
      <c r="I20" s="38">
        <f t="shared" si="11"/>
        <v>0.32690308170679555</v>
      </c>
      <c r="J20" s="38">
        <f t="shared" si="12"/>
        <v>-0.22800429726716309</v>
      </c>
      <c r="K20" s="38">
        <f t="shared" si="13"/>
        <v>-0.11238377969552907</v>
      </c>
      <c r="L20" s="38">
        <f t="shared" si="14"/>
        <v>0.59234033150665466</v>
      </c>
      <c r="M20" s="38">
        <f t="shared" si="15"/>
        <v>0.57841520134530577</v>
      </c>
      <c r="N20" s="35">
        <f t="shared" si="1"/>
        <v>1.4615371973885289</v>
      </c>
      <c r="O20" s="35">
        <f t="shared" si="2"/>
        <v>0.81176767253488458</v>
      </c>
      <c r="P20" s="36">
        <f t="shared" si="3"/>
        <v>1</v>
      </c>
      <c r="Q20" s="36">
        <f t="shared" si="4"/>
        <v>-0.18823232746511542</v>
      </c>
      <c r="R20" s="37">
        <f t="shared" si="5"/>
        <v>3.5431409102934443E-2</v>
      </c>
      <c r="T20" s="37">
        <f t="shared" si="6"/>
        <v>-5.7524145004240829E-2</v>
      </c>
      <c r="U20" s="37">
        <f t="shared" si="7"/>
        <v>-0.28762072502120417</v>
      </c>
      <c r="V20" s="37">
        <f t="shared" si="8"/>
        <v>-0.13230553350975391</v>
      </c>
      <c r="W20" s="37">
        <f t="shared" si="9"/>
        <v>-0.18982967851399474</v>
      </c>
      <c r="X20" s="37">
        <f t="shared" si="10"/>
        <v>-5.7524145004240829E-2</v>
      </c>
    </row>
    <row r="21" spans="1:24" ht="14.25" customHeight="1" x14ac:dyDescent="0.25">
      <c r="A21" s="5"/>
      <c r="B21" s="32">
        <v>15</v>
      </c>
      <c r="C21" s="11">
        <f t="array" ref="C21">IF($B21&lt;=10, INDEX(Data!$A:$A,40+$B21), INDEX(Data!$A:$A,80+$B21))</f>
        <v>5.6</v>
      </c>
      <c r="D21" s="55">
        <f t="array" ref="D21">IF($B21&lt;=10, INDEX(Data!$B:$B,40+$B21), INDEX(Data!$B:$B,80+$B21))</f>
        <v>2.7</v>
      </c>
      <c r="E21" s="55">
        <f t="array" ref="E21">IF($B21&lt;=10, INDEX(Data!$C:$C,40+$B21), INDEX(Data!$C:$C,80+$B21))</f>
        <v>4.2</v>
      </c>
      <c r="F21" s="55">
        <f t="array" ref="F21">IF($B21&lt;=10, INDEX(Data!$D:$D,40+$B21), INDEX(Data!$D:$D,80+$B21))</f>
        <v>1.3</v>
      </c>
      <c r="G21" s="55">
        <f t="array" ref="G21">IF(INDEX(Data!$E:$E,IF($B21&lt;=10,40+$B21,80+$B21))="Iris-setosa",0,1)</f>
        <v>1</v>
      </c>
      <c r="H21">
        <f t="shared" si="0"/>
        <v>1</v>
      </c>
      <c r="I21" s="38">
        <f t="shared" si="11"/>
        <v>0.33265549620721963</v>
      </c>
      <c r="J21" s="38">
        <f t="shared" si="12"/>
        <v>-0.19924222476504266</v>
      </c>
      <c r="K21" s="38">
        <f t="shared" si="13"/>
        <v>-9.9153226344553674E-2</v>
      </c>
      <c r="L21" s="38">
        <f t="shared" si="14"/>
        <v>0.61132329935805418</v>
      </c>
      <c r="M21" s="38">
        <f t="shared" si="15"/>
        <v>0.58416761584572985</v>
      </c>
      <c r="N21" s="35">
        <f t="shared" si="1"/>
        <v>2.2761610842959623</v>
      </c>
      <c r="O21" s="35">
        <f t="shared" si="2"/>
        <v>0.9068833720831897</v>
      </c>
      <c r="P21" s="36">
        <f t="shared" si="3"/>
        <v>1</v>
      </c>
      <c r="Q21" s="36">
        <f t="shared" si="4"/>
        <v>-9.3116627916810302E-2</v>
      </c>
      <c r="R21" s="37">
        <f t="shared" si="5"/>
        <v>8.670706394597695E-3</v>
      </c>
      <c r="T21" s="37">
        <f t="shared" si="6"/>
        <v>-1.5726638906952067E-2</v>
      </c>
      <c r="U21" s="37">
        <f t="shared" si="7"/>
        <v>-8.8069177878931565E-2</v>
      </c>
      <c r="V21" s="37">
        <f t="shared" si="8"/>
        <v>-4.2461925048770582E-2</v>
      </c>
      <c r="W21" s="37">
        <f t="shared" si="9"/>
        <v>-6.6051883409198681E-2</v>
      </c>
      <c r="X21" s="37">
        <f t="shared" si="10"/>
        <v>-2.0444630579037688E-2</v>
      </c>
    </row>
    <row r="22" spans="1:24" ht="14.25" customHeight="1" x14ac:dyDescent="0.25">
      <c r="A22" s="5"/>
      <c r="B22" s="38">
        <v>16</v>
      </c>
      <c r="C22" s="11">
        <f t="array" ref="C22">IF($B22&lt;=10, INDEX(Data!$A:$A,40+$B22), INDEX(Data!$A:$A,80+$B22))</f>
        <v>5.7</v>
      </c>
      <c r="D22" s="55">
        <f t="array" ref="D22">IF($B22&lt;=10, INDEX(Data!$B:$B,40+$B22), INDEX(Data!$B:$B,80+$B22))</f>
        <v>3</v>
      </c>
      <c r="E22" s="55">
        <f t="array" ref="E22">IF($B22&lt;=10, INDEX(Data!$C:$C,40+$B22), INDEX(Data!$C:$C,80+$B22))</f>
        <v>4.2</v>
      </c>
      <c r="F22" s="55">
        <f t="array" ref="F22">IF($B22&lt;=10, INDEX(Data!$D:$D,40+$B22), INDEX(Data!$D:$D,80+$B22))</f>
        <v>1.2</v>
      </c>
      <c r="G22" s="55">
        <f t="array" ref="G22">IF(INDEX(Data!$E:$E,IF($B22&lt;=10,40+$B22,80+$B22))="Iris-setosa",0,1)</f>
        <v>1</v>
      </c>
      <c r="H22">
        <f t="shared" si="0"/>
        <v>1</v>
      </c>
      <c r="I22" s="38">
        <f t="shared" si="11"/>
        <v>0.33422816009791484</v>
      </c>
      <c r="J22" s="38">
        <f t="shared" si="12"/>
        <v>-0.1904353069771495</v>
      </c>
      <c r="K22" s="38">
        <f t="shared" si="13"/>
        <v>-9.4907033839676622E-2</v>
      </c>
      <c r="L22" s="38">
        <f t="shared" si="14"/>
        <v>0.61792848769897402</v>
      </c>
      <c r="M22" s="38">
        <f t="shared" si="15"/>
        <v>0.58621207890363358</v>
      </c>
      <c r="N22" s="35">
        <f t="shared" si="1"/>
        <v>2.2627799518291845</v>
      </c>
      <c r="O22" s="35">
        <f t="shared" si="2"/>
        <v>0.90574722113136819</v>
      </c>
      <c r="P22" s="36">
        <f t="shared" si="3"/>
        <v>1</v>
      </c>
      <c r="Q22" s="36">
        <f t="shared" si="4"/>
        <v>-9.4252778868631815E-2</v>
      </c>
      <c r="R22" s="37">
        <f t="shared" si="5"/>
        <v>8.8835863244592084E-3</v>
      </c>
      <c r="T22" s="37">
        <f t="shared" si="6"/>
        <v>-1.6092567254119106E-2</v>
      </c>
      <c r="U22" s="37">
        <f t="shared" si="7"/>
        <v>-9.1727633348478915E-2</v>
      </c>
      <c r="V22" s="37">
        <f t="shared" si="8"/>
        <v>-4.8277701762357322E-2</v>
      </c>
      <c r="W22" s="37">
        <f t="shared" si="9"/>
        <v>-6.7588782467300254E-2</v>
      </c>
      <c r="X22" s="37">
        <f t="shared" si="10"/>
        <v>-1.9311080704942928E-2</v>
      </c>
    </row>
    <row r="23" spans="1:24" ht="14.25" customHeight="1" x14ac:dyDescent="0.25">
      <c r="A23" s="5"/>
      <c r="B23" s="32">
        <v>17</v>
      </c>
      <c r="C23" s="11">
        <f t="array" ref="C23">IF($B23&lt;=10, INDEX(Data!$A:$A,40+$B23), INDEX(Data!$A:$A,80+$B23))</f>
        <v>5.7</v>
      </c>
      <c r="D23" s="55">
        <f t="array" ref="D23">IF($B23&lt;=10, INDEX(Data!$B:$B,40+$B23), INDEX(Data!$B:$B,80+$B23))</f>
        <v>2.9</v>
      </c>
      <c r="E23" s="55">
        <f t="array" ref="E23">IF($B23&lt;=10, INDEX(Data!$C:$C,40+$B23), INDEX(Data!$C:$C,80+$B23))</f>
        <v>4.2</v>
      </c>
      <c r="F23" s="55">
        <f t="array" ref="F23">IF($B23&lt;=10, INDEX(Data!$D:$D,40+$B23), INDEX(Data!$D:$D,80+$B23))</f>
        <v>1.3</v>
      </c>
      <c r="G23" s="55">
        <f t="array" ref="G23">IF(INDEX(Data!$E:$E,IF($B23&lt;=10,40+$B23,80+$B23))="Iris-setosa",0,1)</f>
        <v>1</v>
      </c>
      <c r="H23">
        <f t="shared" si="0"/>
        <v>1</v>
      </c>
      <c r="I23" s="38">
        <f t="shared" si="11"/>
        <v>0.33583741682332674</v>
      </c>
      <c r="J23" s="38">
        <f t="shared" si="12"/>
        <v>-0.1812625436423016</v>
      </c>
      <c r="K23" s="38">
        <f t="shared" si="13"/>
        <v>-9.0079263663440892E-2</v>
      </c>
      <c r="L23" s="38">
        <f t="shared" si="14"/>
        <v>0.62468736594570407</v>
      </c>
      <c r="M23" s="38">
        <f t="shared" si="15"/>
        <v>0.58814318697412793</v>
      </c>
      <c r="N23" s="35">
        <f t="shared" si="1"/>
        <v>2.4296841334765524</v>
      </c>
      <c r="O23" s="35">
        <f t="shared" si="2"/>
        <v>0.91906303979395676</v>
      </c>
      <c r="P23" s="36">
        <f t="shared" si="3"/>
        <v>1</v>
      </c>
      <c r="Q23" s="36">
        <f t="shared" si="4"/>
        <v>-8.093696020604324E-2</v>
      </c>
      <c r="R23" s="37">
        <f t="shared" si="5"/>
        <v>6.5507915273946274E-3</v>
      </c>
      <c r="T23" s="37">
        <f t="shared" si="6"/>
        <v>-1.2041180748447606E-2</v>
      </c>
      <c r="U23" s="37">
        <f t="shared" si="7"/>
        <v>-6.8634730266151356E-2</v>
      </c>
      <c r="V23" s="37">
        <f t="shared" si="8"/>
        <v>-3.4919424170498058E-2</v>
      </c>
      <c r="W23" s="37">
        <f t="shared" si="9"/>
        <v>-5.0572959143479951E-2</v>
      </c>
      <c r="X23" s="37">
        <f t="shared" si="10"/>
        <v>-1.565353497298189E-2</v>
      </c>
    </row>
    <row r="24" spans="1:24" ht="14.25" customHeight="1" x14ac:dyDescent="0.25">
      <c r="A24" s="5"/>
      <c r="B24" s="38">
        <v>18</v>
      </c>
      <c r="C24" s="11">
        <f t="array" ref="C24">IF($B24&lt;=10, INDEX(Data!$A:$A,40+$B24), INDEX(Data!$A:$A,80+$B24))</f>
        <v>6.2</v>
      </c>
      <c r="D24" s="55">
        <f t="array" ref="D24">IF($B24&lt;=10, INDEX(Data!$B:$B,40+$B24), INDEX(Data!$B:$B,80+$B24))</f>
        <v>2.9</v>
      </c>
      <c r="E24" s="55">
        <f t="array" ref="E24">IF($B24&lt;=10, INDEX(Data!$C:$C,40+$B24), INDEX(Data!$C:$C,80+$B24))</f>
        <v>4.3</v>
      </c>
      <c r="F24" s="55">
        <f t="array" ref="F24">IF($B24&lt;=10, INDEX(Data!$D:$D,40+$B24), INDEX(Data!$D:$D,80+$B24))</f>
        <v>1.3</v>
      </c>
      <c r="G24" s="55">
        <f t="array" ref="G24">IF(INDEX(Data!$E:$E,IF($B24&lt;=10,40+$B24,80+$B24))="Iris-setosa",0,1)</f>
        <v>1</v>
      </c>
      <c r="H24">
        <f t="shared" si="0"/>
        <v>1</v>
      </c>
      <c r="I24" s="38">
        <f t="shared" si="11"/>
        <v>0.33704153489817151</v>
      </c>
      <c r="J24" s="38">
        <f t="shared" si="12"/>
        <v>-0.17439907061568646</v>
      </c>
      <c r="K24" s="38">
        <f t="shared" si="13"/>
        <v>-8.6587321246391083E-2</v>
      </c>
      <c r="L24" s="38">
        <f t="shared" si="14"/>
        <v>0.62974466186005207</v>
      </c>
      <c r="M24" s="38">
        <f t="shared" si="15"/>
        <v>0.58970854047142607</v>
      </c>
      <c r="N24" s="35">
        <f t="shared" si="1"/>
        <v>2.4791872140774589</v>
      </c>
      <c r="O24" s="35">
        <f t="shared" si="2"/>
        <v>0.92266982532904562</v>
      </c>
      <c r="P24" s="36">
        <f t="shared" si="3"/>
        <v>1</v>
      </c>
      <c r="Q24" s="36">
        <f t="shared" si="4"/>
        <v>-7.7330174670954377E-2</v>
      </c>
      <c r="R24" s="37">
        <f t="shared" si="5"/>
        <v>5.9799559146403135E-3</v>
      </c>
      <c r="T24" s="37">
        <f t="shared" si="6"/>
        <v>-1.1035049758473142E-2</v>
      </c>
      <c r="U24" s="37">
        <f t="shared" si="7"/>
        <v>-6.8417308502533483E-2</v>
      </c>
      <c r="V24" s="37">
        <f t="shared" si="8"/>
        <v>-3.2001644299572113E-2</v>
      </c>
      <c r="W24" s="37">
        <f t="shared" si="9"/>
        <v>-4.7450713961434507E-2</v>
      </c>
      <c r="X24" s="37">
        <f t="shared" si="10"/>
        <v>-1.4345564686015085E-2</v>
      </c>
    </row>
    <row r="25" spans="1:24" ht="14.25" customHeight="1" x14ac:dyDescent="0.25">
      <c r="A25" s="5"/>
      <c r="B25" s="32">
        <v>19</v>
      </c>
      <c r="C25" s="11">
        <f t="array" ref="C25">IF($B25&lt;=10, INDEX(Data!$A:$A,40+$B25), INDEX(Data!$A:$A,80+$B25))</f>
        <v>5.0999999999999996</v>
      </c>
      <c r="D25" s="55">
        <f t="array" ref="D25">IF($B25&lt;=10, INDEX(Data!$B:$B,40+$B25), INDEX(Data!$B:$B,80+$B25))</f>
        <v>2.5</v>
      </c>
      <c r="E25" s="55">
        <f t="array" ref="E25">IF($B25&lt;=10, INDEX(Data!$C:$C,40+$B25), INDEX(Data!$C:$C,80+$B25))</f>
        <v>3</v>
      </c>
      <c r="F25" s="55">
        <f t="array" ref="F25">IF($B25&lt;=10, INDEX(Data!$D:$D,40+$B25), INDEX(Data!$D:$D,80+$B25))</f>
        <v>1.1000000000000001</v>
      </c>
      <c r="G25" s="55">
        <f t="array" ref="G25">IF(INDEX(Data!$E:$E,IF($B25&lt;=10,40+$B25,80+$B25))="Iris-setosa",0,1)</f>
        <v>1</v>
      </c>
      <c r="H25">
        <f t="shared" si="0"/>
        <v>1</v>
      </c>
      <c r="I25" s="38">
        <f t="shared" si="11"/>
        <v>0.33814503987401884</v>
      </c>
      <c r="J25" s="38">
        <f t="shared" si="12"/>
        <v>-0.16755733976543311</v>
      </c>
      <c r="K25" s="38">
        <f t="shared" si="13"/>
        <v>-8.3387156816433869E-2</v>
      </c>
      <c r="L25" s="38">
        <f t="shared" si="14"/>
        <v>0.63448973325619551</v>
      </c>
      <c r="M25" s="38">
        <f t="shared" si="15"/>
        <v>0.59114309694002753</v>
      </c>
      <c r="N25" s="35">
        <f t="shared" si="1"/>
        <v>1.8288613214318421</v>
      </c>
      <c r="O25" s="35">
        <f t="shared" si="2"/>
        <v>0.861626021924912</v>
      </c>
      <c r="P25" s="36">
        <f t="shared" si="3"/>
        <v>1</v>
      </c>
      <c r="Q25" s="36">
        <f t="shared" si="4"/>
        <v>-0.138373978075088</v>
      </c>
      <c r="R25" s="37">
        <f t="shared" si="5"/>
        <v>1.9147357808324935E-2</v>
      </c>
      <c r="T25" s="37">
        <f t="shared" si="6"/>
        <v>-3.2995723477519834E-2</v>
      </c>
      <c r="U25" s="37">
        <f t="shared" si="7"/>
        <v>-0.16827818973535114</v>
      </c>
      <c r="V25" s="37">
        <f t="shared" si="8"/>
        <v>-8.2489308693799585E-2</v>
      </c>
      <c r="W25" s="37">
        <f t="shared" si="9"/>
        <v>-9.8987170432559501E-2</v>
      </c>
      <c r="X25" s="37">
        <f t="shared" si="10"/>
        <v>-3.6295295825271821E-2</v>
      </c>
    </row>
    <row r="26" spans="1:24" ht="14.25" customHeight="1" x14ac:dyDescent="0.25">
      <c r="A26" s="5"/>
      <c r="B26" s="38">
        <v>20</v>
      </c>
      <c r="C26" s="11">
        <f t="array" ref="C26">IF($B26&lt;=10, INDEX(Data!$A:$A,40+$B26), INDEX(Data!$A:$A,80+$B26))</f>
        <v>5.7</v>
      </c>
      <c r="D26" s="55">
        <f t="array" ref="D26">IF($B26&lt;=10, INDEX(Data!$B:$B,40+$B26), INDEX(Data!$B:$B,80+$B26))</f>
        <v>2.8</v>
      </c>
      <c r="E26" s="55">
        <f t="array" ref="E26">IF($B26&lt;=10, INDEX(Data!$C:$C,40+$B26), INDEX(Data!$C:$C,80+$B26))</f>
        <v>4.0999999999999996</v>
      </c>
      <c r="F26" s="55">
        <f t="array" ref="F26">IF($B26&lt;=10, INDEX(Data!$D:$D,40+$B26), INDEX(Data!$D:$D,80+$B26))</f>
        <v>1.3</v>
      </c>
      <c r="G26" s="55">
        <f t="array" ref="G26">IF(INDEX(Data!$E:$E,IF($B26&lt;=10,40+$B26,80+$B26))="Iris-setosa",0,1)</f>
        <v>1</v>
      </c>
      <c r="H26">
        <f t="shared" si="0"/>
        <v>1</v>
      </c>
      <c r="I26" s="38">
        <f t="shared" si="11"/>
        <v>0.3414446122217708</v>
      </c>
      <c r="J26" s="38">
        <f t="shared" si="12"/>
        <v>-0.150729520791898</v>
      </c>
      <c r="K26" s="38">
        <f t="shared" si="13"/>
        <v>-7.513822594705391E-2</v>
      </c>
      <c r="L26" s="38">
        <f t="shared" si="14"/>
        <v>0.64438845029945147</v>
      </c>
      <c r="M26" s="38">
        <f t="shared" si="15"/>
        <v>0.59477262652255469</v>
      </c>
      <c r="N26" s="35">
        <f t="shared" si="1"/>
        <v>2.687096371763273</v>
      </c>
      <c r="O26" s="35">
        <f t="shared" si="2"/>
        <v>0.93626092290605223</v>
      </c>
      <c r="P26" s="36">
        <f t="shared" si="3"/>
        <v>1</v>
      </c>
      <c r="Q26" s="36">
        <f t="shared" si="4"/>
        <v>-6.3739077093947771E-2</v>
      </c>
      <c r="R26" s="37">
        <f t="shared" si="5"/>
        <v>4.0626699487882178E-3</v>
      </c>
      <c r="S26">
        <f>AVERAGE(R7:R26)</f>
        <v>9.9677957708508874E-2</v>
      </c>
      <c r="T26" s="37">
        <f t="shared" si="6"/>
        <v>-7.6074382314302814E-3</v>
      </c>
      <c r="U26" s="37">
        <f t="shared" si="7"/>
        <v>-4.3362397919152605E-2</v>
      </c>
      <c r="V26" s="37">
        <f t="shared" si="8"/>
        <v>-2.1300827048004786E-2</v>
      </c>
      <c r="W26" s="37">
        <f t="shared" si="9"/>
        <v>-3.1190496748864149E-2</v>
      </c>
      <c r="X26" s="37">
        <f t="shared" si="10"/>
        <v>-9.8896697008593656E-3</v>
      </c>
    </row>
    <row r="27" spans="1:24" ht="14.25" customHeight="1" x14ac:dyDescent="0.25">
      <c r="A27" s="1" t="s">
        <v>48</v>
      </c>
      <c r="B27" s="58">
        <v>1</v>
      </c>
      <c r="C27" s="59">
        <f t="array" ref="C27">IF($B27&lt;=10, INDEX(Data!$A:$A,40+$B27), INDEX(Data!$A:$A,80+$B27))</f>
        <v>5</v>
      </c>
      <c r="D27" s="60">
        <f t="array" ref="D27">IF($B27&lt;=10, INDEX(Data!$B:$B,40+$B27), INDEX(Data!$B:$B,80+$B27))</f>
        <v>3.5</v>
      </c>
      <c r="E27" s="60">
        <f t="array" ref="E27">IF($B27&lt;=10, INDEX(Data!$C:$C,40+$B27), INDEX(Data!$C:$C,80+$B27))</f>
        <v>1.3</v>
      </c>
      <c r="F27" s="60">
        <f t="array" ref="F27">IF($B27&lt;=10, INDEX(Data!$D:$D,40+$B27), INDEX(Data!$D:$D,80+$B27))</f>
        <v>0.3</v>
      </c>
      <c r="G27" s="60">
        <f t="array" ref="G27">IF(INDEX(Data!$E:$E,IF($B27&lt;=10,40+$B27,80+$B27))="Iris-setosa",0,1)</f>
        <v>0</v>
      </c>
      <c r="H27" s="61">
        <f t="shared" si="0"/>
        <v>0</v>
      </c>
      <c r="I27" s="62">
        <f>'SLP-Training'!I164</f>
        <v>0.34221983209473494</v>
      </c>
      <c r="J27" s="62">
        <f>'SLP-Training'!J164</f>
        <v>-9.4583856069438227E-2</v>
      </c>
      <c r="K27" s="62">
        <f>'SLP-Training'!K164</f>
        <v>-7.6789756290130642E-2</v>
      </c>
      <c r="L27" s="62">
        <f>'SLP-Training'!L164</f>
        <v>0.70621109102908786</v>
      </c>
      <c r="M27" s="62">
        <f>'SLP-Training'!M164</f>
        <v>0.63611016193815995</v>
      </c>
      <c r="N27" s="63">
        <f t="shared" si="1"/>
        <v>0.70944387165134881</v>
      </c>
      <c r="O27" s="63">
        <f t="shared" si="2"/>
        <v>0.67027826413020419</v>
      </c>
      <c r="P27" s="64">
        <f t="shared" si="3"/>
        <v>1</v>
      </c>
      <c r="Q27" s="64">
        <f t="shared" si="4"/>
        <v>0.67027826413020419</v>
      </c>
      <c r="R27" s="65">
        <f t="shared" si="5"/>
        <v>0.4492729513653998</v>
      </c>
      <c r="T27" s="37">
        <f t="shared" si="6"/>
        <v>0.29627011480709192</v>
      </c>
      <c r="U27" s="37">
        <f t="shared" si="7"/>
        <v>1.4813505740354596</v>
      </c>
      <c r="V27" s="37">
        <f t="shared" si="8"/>
        <v>1.0369454018248216</v>
      </c>
      <c r="W27" s="37">
        <f t="shared" si="9"/>
        <v>0.3851511492492195</v>
      </c>
      <c r="X27" s="37">
        <f t="shared" si="10"/>
        <v>8.8881034442127568E-2</v>
      </c>
    </row>
    <row r="28" spans="1:24" ht="14.25" customHeight="1" x14ac:dyDescent="0.25">
      <c r="A28" s="1"/>
      <c r="B28" s="66">
        <v>2</v>
      </c>
      <c r="C28" s="59">
        <f t="array" ref="C28">IF($B28&lt;=10, INDEX(Data!$A:$A,40+$B28), INDEX(Data!$A:$A,80+$B28))</f>
        <v>4.5</v>
      </c>
      <c r="D28" s="60">
        <f t="array" ref="D28">IF($B28&lt;=10, INDEX(Data!$B:$B,40+$B28), INDEX(Data!$B:$B,80+$B28))</f>
        <v>2.2999999999999998</v>
      </c>
      <c r="E28" s="60">
        <f t="array" ref="E28">IF($B28&lt;=10, INDEX(Data!$C:$C,40+$B28), INDEX(Data!$C:$C,80+$B28))</f>
        <v>1.3</v>
      </c>
      <c r="F28" s="60">
        <f t="array" ref="F28">IF($B28&lt;=10, INDEX(Data!$D:$D,40+$B28), INDEX(Data!$D:$D,80+$B28))</f>
        <v>0.3</v>
      </c>
      <c r="G28" s="60">
        <f t="array" ref="G28">IF(INDEX(Data!$E:$E,IF($B28&lt;=10,40+$B28,80+$B28))="Iris-setosa",0,1)</f>
        <v>0</v>
      </c>
      <c r="H28" s="61">
        <f t="shared" si="0"/>
        <v>1</v>
      </c>
      <c r="I28" s="67">
        <f t="shared" ref="I28:I46" si="16">I27-$K$4*T27</f>
        <v>0.31259282061402577</v>
      </c>
      <c r="J28" s="67">
        <f t="shared" ref="J28:J46" si="17">J27-$K$4*U27</f>
        <v>-0.24271891347298419</v>
      </c>
      <c r="K28" s="67">
        <f t="shared" ref="K28:K46" si="18">K27-$K$4*V27</f>
        <v>-0.18048429647261283</v>
      </c>
      <c r="L28" s="67">
        <f t="shared" ref="L28:L46" si="19">L27-$K$4*W27</f>
        <v>0.66769597610416587</v>
      </c>
      <c r="M28" s="67">
        <f t="shared" ref="M28:M46" si="20">M27-$K$4*X27</f>
        <v>0.62722205849394719</v>
      </c>
      <c r="N28" s="63">
        <f t="shared" si="1"/>
        <v>-0.13858478541781277</v>
      </c>
      <c r="O28" s="63">
        <f t="shared" si="2"/>
        <v>0.46540914784985693</v>
      </c>
      <c r="P28" s="64">
        <f t="shared" si="3"/>
        <v>0</v>
      </c>
      <c r="Q28" s="64">
        <f t="shared" si="4"/>
        <v>0.46540914784985693</v>
      </c>
      <c r="R28" s="65">
        <f t="shared" si="5"/>
        <v>0.21660567490232999</v>
      </c>
      <c r="T28" s="37">
        <f t="shared" si="6"/>
        <v>0.23159082465318687</v>
      </c>
      <c r="U28" s="37">
        <f t="shared" si="7"/>
        <v>1.0421587109393409</v>
      </c>
      <c r="V28" s="37">
        <f t="shared" si="8"/>
        <v>0.5326588967023298</v>
      </c>
      <c r="W28" s="37">
        <f t="shared" si="9"/>
        <v>0.30106807204914293</v>
      </c>
      <c r="X28" s="37">
        <f t="shared" si="10"/>
        <v>6.9477247395956052E-2</v>
      </c>
    </row>
    <row r="29" spans="1:24" ht="14.25" customHeight="1" x14ac:dyDescent="0.25">
      <c r="A29" s="1"/>
      <c r="B29" s="58">
        <v>3</v>
      </c>
      <c r="C29" s="59">
        <f t="array" ref="C29">IF($B29&lt;=10, INDEX(Data!$A:$A,40+$B29), INDEX(Data!$A:$A,80+$B29))</f>
        <v>4.4000000000000004</v>
      </c>
      <c r="D29" s="60">
        <f t="array" ref="D29">IF($B29&lt;=10, INDEX(Data!$B:$B,40+$B29), INDEX(Data!$B:$B,80+$B29))</f>
        <v>3.2</v>
      </c>
      <c r="E29" s="60">
        <f t="array" ref="E29">IF($B29&lt;=10, INDEX(Data!$C:$C,40+$B29), INDEX(Data!$C:$C,80+$B29))</f>
        <v>1.3</v>
      </c>
      <c r="F29" s="60">
        <f t="array" ref="F29">IF($B29&lt;=10, INDEX(Data!$D:$D,40+$B29), INDEX(Data!$D:$D,80+$B29))</f>
        <v>0.2</v>
      </c>
      <c r="G29" s="60">
        <f t="array" ref="G29">IF(INDEX(Data!$E:$E,IF($B29&lt;=10,40+$B29,80+$B29))="Iris-setosa",0,1)</f>
        <v>0</v>
      </c>
      <c r="H29" s="61">
        <f t="shared" si="0"/>
        <v>1</v>
      </c>
      <c r="I29" s="67">
        <f t="shared" si="16"/>
        <v>0.2894337381487071</v>
      </c>
      <c r="J29" s="67">
        <f t="shared" si="17"/>
        <v>-0.34693478456691829</v>
      </c>
      <c r="K29" s="67">
        <f t="shared" si="18"/>
        <v>-0.23375018614284582</v>
      </c>
      <c r="L29" s="67">
        <f t="shared" si="19"/>
        <v>0.63758916889925155</v>
      </c>
      <c r="M29" s="67">
        <f t="shared" si="20"/>
        <v>0.62027433375435159</v>
      </c>
      <c r="N29" s="63">
        <f t="shared" si="1"/>
        <v>-1.0321591232829426</v>
      </c>
      <c r="O29" s="63">
        <f t="shared" si="2"/>
        <v>0.2626657272576724</v>
      </c>
      <c r="P29" s="64">
        <f t="shared" si="3"/>
        <v>0</v>
      </c>
      <c r="Q29" s="64">
        <f t="shared" si="4"/>
        <v>0.2626657272576724</v>
      </c>
      <c r="R29" s="65">
        <f t="shared" si="5"/>
        <v>6.8993284275801939E-2</v>
      </c>
      <c r="T29" s="37">
        <f t="shared" si="6"/>
        <v>0.10174222617120618</v>
      </c>
      <c r="U29" s="37">
        <f t="shared" si="7"/>
        <v>0.44766579515330723</v>
      </c>
      <c r="V29" s="37">
        <f t="shared" si="8"/>
        <v>0.3255751237478598</v>
      </c>
      <c r="W29" s="37">
        <f t="shared" si="9"/>
        <v>0.13226489402256802</v>
      </c>
      <c r="X29" s="37">
        <f t="shared" si="10"/>
        <v>2.0348445234241237E-2</v>
      </c>
    </row>
    <row r="30" spans="1:24" ht="14.25" customHeight="1" x14ac:dyDescent="0.25">
      <c r="A30" s="1"/>
      <c r="B30" s="66">
        <v>4</v>
      </c>
      <c r="C30" s="59">
        <f t="array" ref="C30">IF($B30&lt;=10, INDEX(Data!$A:$A,40+$B30), INDEX(Data!$A:$A,80+$B30))</f>
        <v>5</v>
      </c>
      <c r="D30" s="60">
        <f t="array" ref="D30">IF($B30&lt;=10, INDEX(Data!$B:$B,40+$B30), INDEX(Data!$B:$B,80+$B30))</f>
        <v>3.5</v>
      </c>
      <c r="E30" s="60">
        <f t="array" ref="E30">IF($B30&lt;=10, INDEX(Data!$C:$C,40+$B30), INDEX(Data!$C:$C,80+$B30))</f>
        <v>1.6</v>
      </c>
      <c r="F30" s="60">
        <f t="array" ref="F30">IF($B30&lt;=10, INDEX(Data!$D:$D,40+$B30), INDEX(Data!$D:$D,80+$B30))</f>
        <v>0.6</v>
      </c>
      <c r="G30" s="60">
        <f t="array" ref="G30">IF(INDEX(Data!$E:$E,IF($B30&lt;=10,40+$B30,80+$B30))="Iris-setosa",0,1)</f>
        <v>0</v>
      </c>
      <c r="H30" s="61">
        <f t="shared" si="0"/>
        <v>1</v>
      </c>
      <c r="I30" s="67">
        <f t="shared" si="16"/>
        <v>0.27925951553158646</v>
      </c>
      <c r="J30" s="67">
        <f t="shared" si="17"/>
        <v>-0.39170136408224898</v>
      </c>
      <c r="K30" s="67">
        <f t="shared" si="18"/>
        <v>-0.26630769851763181</v>
      </c>
      <c r="L30" s="67">
        <f t="shared" si="19"/>
        <v>0.62436267949699475</v>
      </c>
      <c r="M30" s="67">
        <f t="shared" si="20"/>
        <v>0.61823948923092742</v>
      </c>
      <c r="N30" s="63">
        <f t="shared" si="1"/>
        <v>-1.241400268957622</v>
      </c>
      <c r="O30" s="63">
        <f t="shared" si="2"/>
        <v>0.2241923427041223</v>
      </c>
      <c r="P30" s="64">
        <f t="shared" si="3"/>
        <v>0</v>
      </c>
      <c r="Q30" s="64">
        <f t="shared" si="4"/>
        <v>0.2241923427041223</v>
      </c>
      <c r="R30" s="65">
        <f t="shared" si="5"/>
        <v>5.0262206527162623E-2</v>
      </c>
      <c r="T30" s="37">
        <f t="shared" si="6"/>
        <v>7.7987609392719218E-2</v>
      </c>
      <c r="U30" s="37">
        <f t="shared" si="7"/>
        <v>0.38993804696359607</v>
      </c>
      <c r="V30" s="37">
        <f t="shared" si="8"/>
        <v>0.27295663287451727</v>
      </c>
      <c r="W30" s="37">
        <f t="shared" si="9"/>
        <v>0.12478017502835076</v>
      </c>
      <c r="X30" s="37">
        <f t="shared" si="10"/>
        <v>4.6792565635631528E-2</v>
      </c>
    </row>
    <row r="31" spans="1:24" ht="14.25" customHeight="1" x14ac:dyDescent="0.25">
      <c r="A31" s="1"/>
      <c r="B31" s="58">
        <v>5</v>
      </c>
      <c r="C31" s="59">
        <f t="array" ref="C31">IF($B31&lt;=10, INDEX(Data!$A:$A,40+$B31), INDEX(Data!$A:$A,80+$B31))</f>
        <v>5.0999999999999996</v>
      </c>
      <c r="D31" s="60">
        <f t="array" ref="D31">IF($B31&lt;=10, INDEX(Data!$B:$B,40+$B31), INDEX(Data!$B:$B,80+$B31))</f>
        <v>3.8</v>
      </c>
      <c r="E31" s="60">
        <f t="array" ref="E31">IF($B31&lt;=10, INDEX(Data!$C:$C,40+$B31), INDEX(Data!$C:$C,80+$B31))</f>
        <v>1.9</v>
      </c>
      <c r="F31" s="60">
        <f t="array" ref="F31">IF($B31&lt;=10, INDEX(Data!$D:$D,40+$B31), INDEX(Data!$D:$D,80+$B31))</f>
        <v>0.4</v>
      </c>
      <c r="G31" s="60">
        <f t="array" ref="G31">IF(INDEX(Data!$E:$E,IF($B31&lt;=10,40+$B31,80+$B31))="Iris-setosa",0,1)</f>
        <v>0</v>
      </c>
      <c r="H31" s="61">
        <f t="shared" si="0"/>
        <v>1</v>
      </c>
      <c r="I31" s="67">
        <f t="shared" si="16"/>
        <v>0.27146075459231456</v>
      </c>
      <c r="J31" s="67">
        <f t="shared" si="17"/>
        <v>-0.43069516877860858</v>
      </c>
      <c r="K31" s="67">
        <f t="shared" si="18"/>
        <v>-0.29360336180508351</v>
      </c>
      <c r="L31" s="67">
        <f t="shared" si="19"/>
        <v>0.6118846619941597</v>
      </c>
      <c r="M31" s="67">
        <f t="shared" si="20"/>
        <v>0.61356023266736426</v>
      </c>
      <c r="N31" s="63">
        <f t="shared" si="1"/>
        <v>-1.6327724301820572</v>
      </c>
      <c r="O31" s="63">
        <f t="shared" si="2"/>
        <v>0.16345091996979205</v>
      </c>
      <c r="P31" s="64">
        <f t="shared" si="3"/>
        <v>0</v>
      </c>
      <c r="Q31" s="64">
        <f t="shared" si="4"/>
        <v>0.16345091996979205</v>
      </c>
      <c r="R31" s="65">
        <f t="shared" si="5"/>
        <v>2.6716203238971368E-2</v>
      </c>
      <c r="T31" s="37">
        <f t="shared" si="6"/>
        <v>4.469883048292312E-2</v>
      </c>
      <c r="U31" s="37">
        <f t="shared" si="7"/>
        <v>0.22796403546290789</v>
      </c>
      <c r="V31" s="37">
        <f t="shared" si="8"/>
        <v>0.16985555583510784</v>
      </c>
      <c r="W31" s="37">
        <f t="shared" si="9"/>
        <v>8.4927777917553918E-2</v>
      </c>
      <c r="X31" s="37">
        <f t="shared" si="10"/>
        <v>1.7879532193169248E-2</v>
      </c>
    </row>
    <row r="32" spans="1:24" ht="14.25" customHeight="1" x14ac:dyDescent="0.25">
      <c r="A32" s="1"/>
      <c r="B32" s="66">
        <v>6</v>
      </c>
      <c r="C32" s="59">
        <f t="array" ref="C32">IF($B32&lt;=10, INDEX(Data!$A:$A,40+$B32), INDEX(Data!$A:$A,80+$B32))</f>
        <v>4.8</v>
      </c>
      <c r="D32" s="60">
        <f t="array" ref="D32">IF($B32&lt;=10, INDEX(Data!$B:$B,40+$B32), INDEX(Data!$B:$B,80+$B32))</f>
        <v>3</v>
      </c>
      <c r="E32" s="60">
        <f t="array" ref="E32">IF($B32&lt;=10, INDEX(Data!$C:$C,40+$B32), INDEX(Data!$C:$C,80+$B32))</f>
        <v>1.4</v>
      </c>
      <c r="F32" s="60">
        <f t="array" ref="F32">IF($B32&lt;=10, INDEX(Data!$D:$D,40+$B32), INDEX(Data!$D:$D,80+$B32))</f>
        <v>0.3</v>
      </c>
      <c r="G32" s="60">
        <f t="array" ref="G32">IF(INDEX(Data!$E:$E,IF($B32&lt;=10,40+$B32,80+$B32))="Iris-setosa",0,1)</f>
        <v>0</v>
      </c>
      <c r="H32" s="61">
        <f t="shared" si="0"/>
        <v>1</v>
      </c>
      <c r="I32" s="67">
        <f t="shared" si="16"/>
        <v>0.26699087154402223</v>
      </c>
      <c r="J32" s="67">
        <f t="shared" si="17"/>
        <v>-0.45349157232489939</v>
      </c>
      <c r="K32" s="67">
        <f t="shared" si="18"/>
        <v>-0.31058891738859429</v>
      </c>
      <c r="L32" s="67">
        <f t="shared" si="19"/>
        <v>0.6033918842024043</v>
      </c>
      <c r="M32" s="67">
        <f t="shared" si="20"/>
        <v>0.61177227944804735</v>
      </c>
      <c r="N32" s="63">
        <f t="shared" si="1"/>
        <v>-1.8132551060634974</v>
      </c>
      <c r="O32" s="63">
        <f t="shared" si="2"/>
        <v>0.14024517673276896</v>
      </c>
      <c r="P32" s="64">
        <f t="shared" si="3"/>
        <v>0</v>
      </c>
      <c r="Q32" s="64">
        <f t="shared" si="4"/>
        <v>0.14024517673276896</v>
      </c>
      <c r="R32" s="65">
        <f t="shared" si="5"/>
        <v>1.9668709596805597E-2</v>
      </c>
      <c r="T32" s="37">
        <f t="shared" si="6"/>
        <v>3.382053588659218E-2</v>
      </c>
      <c r="U32" s="37">
        <f t="shared" si="7"/>
        <v>0.16233857225564247</v>
      </c>
      <c r="V32" s="37">
        <f t="shared" si="8"/>
        <v>0.10146160765977655</v>
      </c>
      <c r="W32" s="37">
        <f t="shared" si="9"/>
        <v>4.7348750241229053E-2</v>
      </c>
      <c r="X32" s="37">
        <f t="shared" si="10"/>
        <v>1.0146160765977654E-2</v>
      </c>
    </row>
    <row r="33" spans="1:24" ht="14.25" customHeight="1" x14ac:dyDescent="0.25">
      <c r="A33" s="1"/>
      <c r="B33" s="58">
        <v>7</v>
      </c>
      <c r="C33" s="59">
        <f t="array" ref="C33">IF($B33&lt;=10, INDEX(Data!$A:$A,40+$B33), INDEX(Data!$A:$A,80+$B33))</f>
        <v>5.0999999999999996</v>
      </c>
      <c r="D33" s="60">
        <f t="array" ref="D33">IF($B33&lt;=10, INDEX(Data!$B:$B,40+$B33), INDEX(Data!$B:$B,80+$B33))</f>
        <v>3.8</v>
      </c>
      <c r="E33" s="60">
        <f t="array" ref="E33">IF($B33&lt;=10, INDEX(Data!$C:$C,40+$B33), INDEX(Data!$C:$C,80+$B33))</f>
        <v>1.6</v>
      </c>
      <c r="F33" s="60">
        <f t="array" ref="F33">IF($B33&lt;=10, INDEX(Data!$D:$D,40+$B33), INDEX(Data!$D:$D,80+$B33))</f>
        <v>0.2</v>
      </c>
      <c r="G33" s="60">
        <f t="array" ref="G33">IF(INDEX(Data!$E:$E,IF($B33&lt;=10,40+$B33,80+$B33))="Iris-setosa",0,1)</f>
        <v>0</v>
      </c>
      <c r="H33" s="61">
        <f t="shared" si="0"/>
        <v>1</v>
      </c>
      <c r="I33" s="67">
        <f t="shared" si="16"/>
        <v>0.26360881795536301</v>
      </c>
      <c r="J33" s="67">
        <f t="shared" si="17"/>
        <v>-0.46972542955046365</v>
      </c>
      <c r="K33" s="67">
        <f t="shared" si="18"/>
        <v>-0.32073507815457192</v>
      </c>
      <c r="L33" s="67">
        <f t="shared" si="19"/>
        <v>0.59865700917828135</v>
      </c>
      <c r="M33" s="67">
        <f t="shared" si="20"/>
        <v>0.61075766337144954</v>
      </c>
      <c r="N33" s="63">
        <f t="shared" si="1"/>
        <v>-2.2707814223798346</v>
      </c>
      <c r="O33" s="63">
        <f t="shared" si="2"/>
        <v>9.3571913899972839E-2</v>
      </c>
      <c r="P33" s="64">
        <f t="shared" si="3"/>
        <v>0</v>
      </c>
      <c r="Q33" s="64">
        <f t="shared" si="4"/>
        <v>9.3571913899972839E-2</v>
      </c>
      <c r="R33" s="65">
        <f t="shared" si="5"/>
        <v>8.7557030709039304E-3</v>
      </c>
      <c r="T33" s="37">
        <f t="shared" si="6"/>
        <v>1.5872830354039157E-2</v>
      </c>
      <c r="U33" s="37">
        <f t="shared" si="7"/>
        <v>8.0951434805599687E-2</v>
      </c>
      <c r="V33" s="37">
        <f t="shared" si="8"/>
        <v>6.0316755345348791E-2</v>
      </c>
      <c r="W33" s="37">
        <f t="shared" si="9"/>
        <v>2.5396528566462653E-2</v>
      </c>
      <c r="X33" s="37">
        <f t="shared" si="10"/>
        <v>3.1745660708078316E-3</v>
      </c>
    </row>
    <row r="34" spans="1:24" ht="14.25" customHeight="1" x14ac:dyDescent="0.25">
      <c r="A34" s="1"/>
      <c r="B34" s="66">
        <v>8</v>
      </c>
      <c r="C34" s="59">
        <f t="array" ref="C34">IF($B34&lt;=10, INDEX(Data!$A:$A,40+$B34), INDEX(Data!$A:$A,80+$B34))</f>
        <v>4.5999999999999996</v>
      </c>
      <c r="D34" s="60">
        <f t="array" ref="D34">IF($B34&lt;=10, INDEX(Data!$B:$B,40+$B34), INDEX(Data!$B:$B,80+$B34))</f>
        <v>3.2</v>
      </c>
      <c r="E34" s="60">
        <f t="array" ref="E34">IF($B34&lt;=10, INDEX(Data!$C:$C,40+$B34), INDEX(Data!$C:$C,80+$B34))</f>
        <v>1.4</v>
      </c>
      <c r="F34" s="60">
        <f t="array" ref="F34">IF($B34&lt;=10, INDEX(Data!$D:$D,40+$B34), INDEX(Data!$D:$D,80+$B34))</f>
        <v>0.2</v>
      </c>
      <c r="G34" s="60">
        <f t="array" ref="G34">IF(INDEX(Data!$E:$E,IF($B34&lt;=10,40+$B34,80+$B34))="Iris-setosa",0,1)</f>
        <v>0</v>
      </c>
      <c r="H34" s="61">
        <f t="shared" si="0"/>
        <v>1</v>
      </c>
      <c r="I34" s="67">
        <f t="shared" si="16"/>
        <v>0.26202153491995911</v>
      </c>
      <c r="J34" s="67">
        <f t="shared" si="17"/>
        <v>-0.4778205730310236</v>
      </c>
      <c r="K34" s="67">
        <f t="shared" si="18"/>
        <v>-0.32676675368910679</v>
      </c>
      <c r="L34" s="67">
        <f t="shared" si="19"/>
        <v>0.59611735632163509</v>
      </c>
      <c r="M34" s="67">
        <f t="shared" si="20"/>
        <v>0.61044020676436872</v>
      </c>
      <c r="N34" s="63">
        <f t="shared" si="1"/>
        <v>-2.0249543726247285</v>
      </c>
      <c r="O34" s="63">
        <f t="shared" si="2"/>
        <v>0.11660766916947804</v>
      </c>
      <c r="P34" s="64">
        <f t="shared" si="3"/>
        <v>0</v>
      </c>
      <c r="Q34" s="64">
        <f t="shared" si="4"/>
        <v>0.11660766916947804</v>
      </c>
      <c r="R34" s="65">
        <f t="shared" si="5"/>
        <v>1.359734850913844E-2</v>
      </c>
      <c r="T34" s="37">
        <f t="shared" si="6"/>
        <v>2.4023586785205456E-2</v>
      </c>
      <c r="U34" s="37">
        <f t="shared" si="7"/>
        <v>0.11050849921194508</v>
      </c>
      <c r="V34" s="37">
        <f t="shared" si="8"/>
        <v>7.6875477712657458E-2</v>
      </c>
      <c r="W34" s="37">
        <f t="shared" si="9"/>
        <v>3.3633021499287638E-2</v>
      </c>
      <c r="X34" s="37">
        <f t="shared" si="10"/>
        <v>4.8047173570410912E-3</v>
      </c>
    </row>
    <row r="35" spans="1:24" ht="14.25" customHeight="1" x14ac:dyDescent="0.25">
      <c r="A35" s="1"/>
      <c r="B35" s="58">
        <v>9</v>
      </c>
      <c r="C35" s="59">
        <f t="array" ref="C35">IF($B35&lt;=10, INDEX(Data!$A:$A,40+$B35), INDEX(Data!$A:$A,80+$B35))</f>
        <v>5.3</v>
      </c>
      <c r="D35" s="60">
        <f t="array" ref="D35">IF($B35&lt;=10, INDEX(Data!$B:$B,40+$B35), INDEX(Data!$B:$B,80+$B35))</f>
        <v>3.7</v>
      </c>
      <c r="E35" s="60">
        <f t="array" ref="E35">IF($B35&lt;=10, INDEX(Data!$C:$C,40+$B35), INDEX(Data!$C:$C,80+$B35))</f>
        <v>1.5</v>
      </c>
      <c r="F35" s="60">
        <f t="array" ref="F35">IF($B35&lt;=10, INDEX(Data!$D:$D,40+$B35), INDEX(Data!$D:$D,80+$B35))</f>
        <v>0.2</v>
      </c>
      <c r="G35" s="60">
        <f t="array" ref="G35">IF(INDEX(Data!$E:$E,IF($B35&lt;=10,40+$B35,80+$B35))="Iris-setosa",0,1)</f>
        <v>0</v>
      </c>
      <c r="H35" s="61">
        <f t="shared" si="0"/>
        <v>1</v>
      </c>
      <c r="I35" s="67">
        <f t="shared" si="16"/>
        <v>0.25961917624143854</v>
      </c>
      <c r="J35" s="67">
        <f t="shared" si="17"/>
        <v>-0.48887142295221808</v>
      </c>
      <c r="K35" s="67">
        <f t="shared" si="18"/>
        <v>-0.33445430146037253</v>
      </c>
      <c r="L35" s="67">
        <f t="shared" si="19"/>
        <v>0.59275405417170635</v>
      </c>
      <c r="M35" s="67">
        <f t="shared" si="20"/>
        <v>0.60995973502866463</v>
      </c>
      <c r="N35" s="63">
        <f t="shared" si="1"/>
        <v>-2.5577572525454029</v>
      </c>
      <c r="O35" s="63">
        <f t="shared" si="2"/>
        <v>7.1907071628716138E-2</v>
      </c>
      <c r="P35" s="64">
        <f t="shared" si="3"/>
        <v>0</v>
      </c>
      <c r="Q35" s="64">
        <f t="shared" si="4"/>
        <v>7.1907071628716138E-2</v>
      </c>
      <c r="R35" s="65">
        <f t="shared" si="5"/>
        <v>5.170626950217313E-3</v>
      </c>
      <c r="T35" s="37">
        <f t="shared" si="6"/>
        <v>9.5976446154853335E-3</v>
      </c>
      <c r="U35" s="37">
        <f t="shared" si="7"/>
        <v>5.0867516462072264E-2</v>
      </c>
      <c r="V35" s="37">
        <f t="shared" si="8"/>
        <v>3.5511285077295736E-2</v>
      </c>
      <c r="W35" s="37">
        <f t="shared" si="9"/>
        <v>1.4396466923228001E-2</v>
      </c>
      <c r="X35" s="37">
        <f t="shared" si="10"/>
        <v>1.9195289230970669E-3</v>
      </c>
    </row>
    <row r="36" spans="1:24" ht="14.25" customHeight="1" x14ac:dyDescent="0.25">
      <c r="A36" s="1"/>
      <c r="B36" s="66">
        <v>10</v>
      </c>
      <c r="C36" s="59">
        <f t="array" ref="C36">IF($B36&lt;=10, INDEX(Data!$A:$A,40+$B36), INDEX(Data!$A:$A,80+$B36))</f>
        <v>5</v>
      </c>
      <c r="D36" s="60">
        <f t="array" ref="D36">IF($B36&lt;=10, INDEX(Data!$B:$B,40+$B36), INDEX(Data!$B:$B,80+$B36))</f>
        <v>3.3</v>
      </c>
      <c r="E36" s="60">
        <f t="array" ref="E36">IF($B36&lt;=10, INDEX(Data!$C:$C,40+$B36), INDEX(Data!$C:$C,80+$B36))</f>
        <v>1.4</v>
      </c>
      <c r="F36" s="60">
        <f t="array" ref="F36">IF($B36&lt;=10, INDEX(Data!$D:$D,40+$B36), INDEX(Data!$D:$D,80+$B36))</f>
        <v>0.2</v>
      </c>
      <c r="G36" s="60">
        <f t="array" ref="G36">IF(INDEX(Data!$E:$E,IF($B36&lt;=10,40+$B36,80+$B36))="Iris-setosa",0,1)</f>
        <v>0</v>
      </c>
      <c r="H36" s="61">
        <f t="shared" si="0"/>
        <v>1</v>
      </c>
      <c r="I36" s="67">
        <f t="shared" si="16"/>
        <v>0.25865941177988999</v>
      </c>
      <c r="J36" s="67">
        <f t="shared" si="17"/>
        <v>-0.49395817459842528</v>
      </c>
      <c r="K36" s="67">
        <f t="shared" si="18"/>
        <v>-0.33800542996810212</v>
      </c>
      <c r="L36" s="67">
        <f t="shared" si="19"/>
        <v>0.59131440747938357</v>
      </c>
      <c r="M36" s="67">
        <f t="shared" si="20"/>
        <v>0.60976778213635496</v>
      </c>
      <c r="N36" s="63">
        <f t="shared" si="1"/>
        <v>-2.3767556532085656</v>
      </c>
      <c r="O36" s="63">
        <f t="shared" si="2"/>
        <v>8.4962454299126466E-2</v>
      </c>
      <c r="P36" s="64">
        <f t="shared" si="3"/>
        <v>0</v>
      </c>
      <c r="Q36" s="64">
        <f t="shared" si="4"/>
        <v>8.4962454299126466E-2</v>
      </c>
      <c r="R36" s="65">
        <f t="shared" si="5"/>
        <v>7.2186186405311537E-3</v>
      </c>
      <c r="T36" s="37">
        <f t="shared" si="6"/>
        <v>1.3210614168364406E-2</v>
      </c>
      <c r="U36" s="37">
        <f t="shared" si="7"/>
        <v>6.6053070841822034E-2</v>
      </c>
      <c r="V36" s="37">
        <f t="shared" si="8"/>
        <v>4.3595026755602541E-2</v>
      </c>
      <c r="W36" s="37">
        <f t="shared" si="9"/>
        <v>1.8494859835710167E-2</v>
      </c>
      <c r="X36" s="37">
        <f t="shared" si="10"/>
        <v>2.6421228336728814E-3</v>
      </c>
    </row>
    <row r="37" spans="1:24" ht="14.25" customHeight="1" x14ac:dyDescent="0.25">
      <c r="A37" s="1"/>
      <c r="B37" s="58">
        <v>11</v>
      </c>
      <c r="C37" s="59">
        <f t="array" ref="C37">IF($B37&lt;=10, INDEX(Data!$A:$A,40+$B37), INDEX(Data!$A:$A,80+$B37))</f>
        <v>5.5</v>
      </c>
      <c r="D37" s="60">
        <f t="array" ref="D37">IF($B37&lt;=10, INDEX(Data!$B:$B,40+$B37), INDEX(Data!$B:$B,80+$B37))</f>
        <v>2.6</v>
      </c>
      <c r="E37" s="60">
        <f t="array" ref="E37">IF($B37&lt;=10, INDEX(Data!$C:$C,40+$B37), INDEX(Data!$C:$C,80+$B37))</f>
        <v>4.4000000000000004</v>
      </c>
      <c r="F37" s="60">
        <f t="array" ref="F37">IF($B37&lt;=10, INDEX(Data!$D:$D,40+$B37), INDEX(Data!$D:$D,80+$B37))</f>
        <v>1.2</v>
      </c>
      <c r="G37" s="60">
        <f t="array" ref="G37">IF(INDEX(Data!$E:$E,IF($B37&lt;=10,40+$B37,80+$B37))="Iris-setosa",0,1)</f>
        <v>1</v>
      </c>
      <c r="H37" s="61">
        <f t="shared" si="0"/>
        <v>0</v>
      </c>
      <c r="I37" s="67">
        <f t="shared" si="16"/>
        <v>0.25733835036305353</v>
      </c>
      <c r="J37" s="67">
        <f t="shared" si="17"/>
        <v>-0.50056348168260745</v>
      </c>
      <c r="K37" s="67">
        <f t="shared" si="18"/>
        <v>-0.34236493264366236</v>
      </c>
      <c r="L37" s="67">
        <f t="shared" si="19"/>
        <v>0.58946492149581253</v>
      </c>
      <c r="M37" s="67">
        <f t="shared" si="20"/>
        <v>0.6095035698529877</v>
      </c>
      <c r="N37" s="63">
        <f t="shared" si="1"/>
        <v>-6.0859685359649474E-2</v>
      </c>
      <c r="O37" s="63">
        <f t="shared" si="2"/>
        <v>0.48478977313522159</v>
      </c>
      <c r="P37" s="64">
        <f t="shared" si="3"/>
        <v>0</v>
      </c>
      <c r="Q37" s="64">
        <f t="shared" si="4"/>
        <v>-0.51521022686477846</v>
      </c>
      <c r="R37" s="65">
        <f t="shared" si="5"/>
        <v>0.26544157786605649</v>
      </c>
      <c r="T37" s="37">
        <f t="shared" si="6"/>
        <v>-0.25736672462868154</v>
      </c>
      <c r="U37" s="37">
        <f t="shared" si="7"/>
        <v>-1.4155169854577485</v>
      </c>
      <c r="V37" s="37">
        <f t="shared" si="8"/>
        <v>-0.66915348403457209</v>
      </c>
      <c r="W37" s="37">
        <f t="shared" si="9"/>
        <v>-1.132413588366199</v>
      </c>
      <c r="X37" s="37">
        <f t="shared" si="10"/>
        <v>-0.30884006955441784</v>
      </c>
    </row>
    <row r="38" spans="1:24" ht="14.25" customHeight="1" x14ac:dyDescent="0.25">
      <c r="A38" s="1"/>
      <c r="B38" s="66">
        <v>12</v>
      </c>
      <c r="C38" s="59">
        <f t="array" ref="C38">IF($B38&lt;=10, INDEX(Data!$A:$A,40+$B38), INDEX(Data!$A:$A,80+$B38))</f>
        <v>6.1</v>
      </c>
      <c r="D38" s="60">
        <f t="array" ref="D38">IF($B38&lt;=10, INDEX(Data!$B:$B,40+$B38), INDEX(Data!$B:$B,80+$B38))</f>
        <v>3</v>
      </c>
      <c r="E38" s="60">
        <f t="array" ref="E38">IF($B38&lt;=10, INDEX(Data!$C:$C,40+$B38), INDEX(Data!$C:$C,80+$B38))</f>
        <v>4.5999999999999996</v>
      </c>
      <c r="F38" s="60">
        <f t="array" ref="F38">IF($B38&lt;=10, INDEX(Data!$D:$D,40+$B38), INDEX(Data!$D:$D,80+$B38))</f>
        <v>1.4</v>
      </c>
      <c r="G38" s="60">
        <f t="array" ref="G38">IF(INDEX(Data!$E:$E,IF($B38&lt;=10,40+$B38,80+$B38))="Iris-setosa",0,1)</f>
        <v>1</v>
      </c>
      <c r="H38" s="61">
        <f t="shared" si="0"/>
        <v>1</v>
      </c>
      <c r="I38" s="67">
        <f t="shared" si="16"/>
        <v>0.28307502282592167</v>
      </c>
      <c r="J38" s="67">
        <f t="shared" si="17"/>
        <v>-0.35901178313683257</v>
      </c>
      <c r="K38" s="67">
        <f t="shared" si="18"/>
        <v>-0.27544958424020516</v>
      </c>
      <c r="L38" s="67">
        <f t="shared" si="19"/>
        <v>0.70270628033243243</v>
      </c>
      <c r="M38" s="67">
        <f t="shared" si="20"/>
        <v>0.6403875768084295</v>
      </c>
      <c r="N38" s="63">
        <f t="shared" si="1"/>
        <v>1.3957458900316178</v>
      </c>
      <c r="O38" s="63">
        <f t="shared" si="2"/>
        <v>0.80150795764863514</v>
      </c>
      <c r="P38" s="64">
        <f t="shared" si="3"/>
        <v>1</v>
      </c>
      <c r="Q38" s="64">
        <f t="shared" si="4"/>
        <v>-0.19849204235136486</v>
      </c>
      <c r="R38" s="65">
        <f t="shared" si="5"/>
        <v>3.939909087681602E-2</v>
      </c>
      <c r="T38" s="37">
        <f t="shared" si="6"/>
        <v>-6.3157369723779569E-2</v>
      </c>
      <c r="U38" s="37">
        <f t="shared" si="7"/>
        <v>-0.38525995531505536</v>
      </c>
      <c r="V38" s="37">
        <f t="shared" si="8"/>
        <v>-0.18947210917133872</v>
      </c>
      <c r="W38" s="37">
        <f t="shared" si="9"/>
        <v>-0.290523900729386</v>
      </c>
      <c r="X38" s="37">
        <f t="shared" si="10"/>
        <v>-8.8420317613291388E-2</v>
      </c>
    </row>
    <row r="39" spans="1:24" ht="14.25" customHeight="1" x14ac:dyDescent="0.25">
      <c r="A39" s="1"/>
      <c r="B39" s="58">
        <v>13</v>
      </c>
      <c r="C39" s="59">
        <f t="array" ref="C39">IF($B39&lt;=10, INDEX(Data!$A:$A,40+$B39), INDEX(Data!$A:$A,80+$B39))</f>
        <v>5.8</v>
      </c>
      <c r="D39" s="60">
        <f t="array" ref="D39">IF($B39&lt;=10, INDEX(Data!$B:$B,40+$B39), INDEX(Data!$B:$B,80+$B39))</f>
        <v>2.6</v>
      </c>
      <c r="E39" s="60">
        <f t="array" ref="E39">IF($B39&lt;=10, INDEX(Data!$C:$C,40+$B39), INDEX(Data!$C:$C,80+$B39))</f>
        <v>4</v>
      </c>
      <c r="F39" s="60">
        <f t="array" ref="F39">IF($B39&lt;=10, INDEX(Data!$D:$D,40+$B39), INDEX(Data!$D:$D,80+$B39))</f>
        <v>1.2</v>
      </c>
      <c r="G39" s="60">
        <f t="array" ref="G39">IF(INDEX(Data!$E:$E,IF($B39&lt;=10,40+$B39,80+$B39))="Iris-setosa",0,1)</f>
        <v>1</v>
      </c>
      <c r="H39" s="61">
        <f t="shared" ref="H39:H70" si="21">IF(G39=P39, 1, 0)</f>
        <v>1</v>
      </c>
      <c r="I39" s="67">
        <f t="shared" si="16"/>
        <v>0.28939075979829965</v>
      </c>
      <c r="J39" s="67">
        <f t="shared" si="17"/>
        <v>-0.32048578760532703</v>
      </c>
      <c r="K39" s="67">
        <f t="shared" si="18"/>
        <v>-0.2565023733230713</v>
      </c>
      <c r="L39" s="67">
        <f t="shared" si="19"/>
        <v>0.73175867040537101</v>
      </c>
      <c r="M39" s="67">
        <f t="shared" si="20"/>
        <v>0.64922960856975864</v>
      </c>
      <c r="N39" s="63">
        <f t="shared" ref="N39:N70" si="22">I39+J39*C39+K39*D39+L39*E39+F39*M39</f>
        <v>1.469777232952612</v>
      </c>
      <c r="O39" s="63">
        <f t="shared" ref="O39:O70" si="23">1/(1+EXP(-N39))</f>
        <v>0.81302352417696522</v>
      </c>
      <c r="P39" s="64">
        <f t="shared" ref="P39:P70" si="24">IF(O39&gt;0.5,1,0)</f>
        <v>1</v>
      </c>
      <c r="Q39" s="64">
        <f t="shared" ref="Q39:Q70" si="25">O39-G39</f>
        <v>-0.18697647582303478</v>
      </c>
      <c r="R39" s="65">
        <f t="shared" ref="R39:R70" si="26">Q39^2</f>
        <v>3.496020251120191E-2</v>
      </c>
      <c r="T39" s="37">
        <f t="shared" ref="T39:T70" si="27">2*(O39-G39)*(1-O39)*O39</f>
        <v>-5.684693410319553E-2</v>
      </c>
      <c r="U39" s="37">
        <f t="shared" ref="U39:U70" si="28">2*(O39-G39)*(1-O39)*O39*C39</f>
        <v>-0.32971221779853405</v>
      </c>
      <c r="V39" s="37">
        <f t="shared" ref="V39:V70" si="29">2*(O39-G39)*(1-O39)*O39*D39</f>
        <v>-0.14780202866830838</v>
      </c>
      <c r="W39" s="37">
        <f t="shared" ref="W39:W70" si="30">2*(O39-G39)*(1-O39)*O39*E39</f>
        <v>-0.22738773641278212</v>
      </c>
      <c r="X39" s="37">
        <f t="shared" ref="X39:X70" si="31">2*(O39-G39)*(1-O39)*O39*F39</f>
        <v>-6.8216320923834631E-2</v>
      </c>
    </row>
    <row r="40" spans="1:24" ht="14.25" customHeight="1" x14ac:dyDescent="0.25">
      <c r="A40" s="1"/>
      <c r="B40" s="66">
        <v>14</v>
      </c>
      <c r="C40" s="59">
        <f t="array" ref="C40">IF($B40&lt;=10, INDEX(Data!$A:$A,40+$B40), INDEX(Data!$A:$A,80+$B40))</f>
        <v>5</v>
      </c>
      <c r="D40" s="60">
        <f t="array" ref="D40">IF($B40&lt;=10, INDEX(Data!$B:$B,40+$B40), INDEX(Data!$B:$B,80+$B40))</f>
        <v>2.2999999999999998</v>
      </c>
      <c r="E40" s="60">
        <f t="array" ref="E40">IF($B40&lt;=10, INDEX(Data!$C:$C,40+$B40), INDEX(Data!$C:$C,80+$B40))</f>
        <v>3.3</v>
      </c>
      <c r="F40" s="60">
        <f t="array" ref="F40">IF($B40&lt;=10, INDEX(Data!$D:$D,40+$B40), INDEX(Data!$D:$D,80+$B40))</f>
        <v>1</v>
      </c>
      <c r="G40" s="60">
        <f t="array" ref="G40">IF(INDEX(Data!$E:$E,IF($B40&lt;=10,40+$B40,80+$B40))="Iris-setosa",0,1)</f>
        <v>1</v>
      </c>
      <c r="H40" s="61">
        <f t="shared" si="21"/>
        <v>1</v>
      </c>
      <c r="I40" s="67">
        <f t="shared" si="16"/>
        <v>0.29507545320861922</v>
      </c>
      <c r="J40" s="67">
        <f t="shared" si="17"/>
        <v>-0.28751456582547363</v>
      </c>
      <c r="K40" s="67">
        <f t="shared" si="18"/>
        <v>-0.24172217045624045</v>
      </c>
      <c r="L40" s="67">
        <f t="shared" si="19"/>
        <v>0.7544974440466492</v>
      </c>
      <c r="M40" s="67">
        <f t="shared" si="20"/>
        <v>0.65605124066214215</v>
      </c>
      <c r="N40" s="63">
        <f t="shared" si="22"/>
        <v>1.4474344380479824</v>
      </c>
      <c r="O40" s="63">
        <f t="shared" si="23"/>
        <v>0.80960327745007576</v>
      </c>
      <c r="P40" s="64">
        <f t="shared" si="24"/>
        <v>1</v>
      </c>
      <c r="Q40" s="64">
        <f t="shared" si="25"/>
        <v>-0.19039672254992424</v>
      </c>
      <c r="R40" s="65">
        <f t="shared" si="26"/>
        <v>3.6250911957752825E-2</v>
      </c>
      <c r="T40" s="37">
        <f t="shared" si="27"/>
        <v>-5.8697714263101657E-2</v>
      </c>
      <c r="U40" s="37">
        <f t="shared" si="28"/>
        <v>-0.29348857131550826</v>
      </c>
      <c r="V40" s="37">
        <f t="shared" si="29"/>
        <v>-0.1350047428051338</v>
      </c>
      <c r="W40" s="37">
        <f t="shared" si="30"/>
        <v>-0.19370245706823547</v>
      </c>
      <c r="X40" s="37">
        <f t="shared" si="31"/>
        <v>-5.8697714263101657E-2</v>
      </c>
    </row>
    <row r="41" spans="1:24" ht="14.25" customHeight="1" x14ac:dyDescent="0.25">
      <c r="A41" s="1"/>
      <c r="B41" s="58">
        <v>15</v>
      </c>
      <c r="C41" s="59">
        <f t="array" ref="C41">IF($B41&lt;=10, INDEX(Data!$A:$A,40+$B41), INDEX(Data!$A:$A,80+$B41))</f>
        <v>5.6</v>
      </c>
      <c r="D41" s="60">
        <f t="array" ref="D41">IF($B41&lt;=10, INDEX(Data!$B:$B,40+$B41), INDEX(Data!$B:$B,80+$B41))</f>
        <v>2.7</v>
      </c>
      <c r="E41" s="60">
        <f t="array" ref="E41">IF($B41&lt;=10, INDEX(Data!$C:$C,40+$B41), INDEX(Data!$C:$C,80+$B41))</f>
        <v>4.2</v>
      </c>
      <c r="F41" s="60">
        <f t="array" ref="F41">IF($B41&lt;=10, INDEX(Data!$D:$D,40+$B41), INDEX(Data!$D:$D,80+$B41))</f>
        <v>1.3</v>
      </c>
      <c r="G41" s="60">
        <f t="array" ref="G41">IF(INDEX(Data!$E:$E,IF($B41&lt;=10,40+$B41,80+$B41))="Iris-setosa",0,1)</f>
        <v>1</v>
      </c>
      <c r="H41" s="61">
        <f t="shared" si="21"/>
        <v>1</v>
      </c>
      <c r="I41" s="67">
        <f t="shared" si="16"/>
        <v>0.3009452246349294</v>
      </c>
      <c r="J41" s="67">
        <f t="shared" si="17"/>
        <v>-0.2581657086939228</v>
      </c>
      <c r="K41" s="67">
        <f t="shared" si="18"/>
        <v>-0.22822169617572707</v>
      </c>
      <c r="L41" s="67">
        <f t="shared" si="19"/>
        <v>0.77386768975347275</v>
      </c>
      <c r="M41" s="67">
        <f t="shared" si="20"/>
        <v>0.66192101208845233</v>
      </c>
      <c r="N41" s="63">
        <f t="shared" si="22"/>
        <v>2.3497602889540725</v>
      </c>
      <c r="O41" s="63">
        <f t="shared" si="23"/>
        <v>0.91291517216354123</v>
      </c>
      <c r="P41" s="64">
        <f t="shared" si="24"/>
        <v>1</v>
      </c>
      <c r="Q41" s="64">
        <f t="shared" si="25"/>
        <v>-8.7084827836458767E-2</v>
      </c>
      <c r="R41" s="65">
        <f t="shared" si="26"/>
        <v>7.5837672393056638E-3</v>
      </c>
      <c r="T41" s="37">
        <f t="shared" si="27"/>
        <v>-1.3846672349837908E-2</v>
      </c>
      <c r="U41" s="37">
        <f t="shared" si="28"/>
        <v>-7.7541365159092282E-2</v>
      </c>
      <c r="V41" s="37">
        <f t="shared" si="29"/>
        <v>-3.7386015344562352E-2</v>
      </c>
      <c r="W41" s="37">
        <f t="shared" si="30"/>
        <v>-5.8156023869319215E-2</v>
      </c>
      <c r="X41" s="37">
        <f t="shared" si="31"/>
        <v>-1.8000674054789282E-2</v>
      </c>
    </row>
    <row r="42" spans="1:24" ht="14.25" customHeight="1" x14ac:dyDescent="0.25">
      <c r="A42" s="1"/>
      <c r="B42" s="66">
        <v>16</v>
      </c>
      <c r="C42" s="59">
        <f t="array" ref="C42">IF($B42&lt;=10, INDEX(Data!$A:$A,40+$B42), INDEX(Data!$A:$A,80+$B42))</f>
        <v>5.7</v>
      </c>
      <c r="D42" s="60">
        <f t="array" ref="D42">IF($B42&lt;=10, INDEX(Data!$B:$B,40+$B42), INDEX(Data!$B:$B,80+$B42))</f>
        <v>3</v>
      </c>
      <c r="E42" s="60">
        <f t="array" ref="E42">IF($B42&lt;=10, INDEX(Data!$C:$C,40+$B42), INDEX(Data!$C:$C,80+$B42))</f>
        <v>4.2</v>
      </c>
      <c r="F42" s="60">
        <f t="array" ref="F42">IF($B42&lt;=10, INDEX(Data!$D:$D,40+$B42), INDEX(Data!$D:$D,80+$B42))</f>
        <v>1.2</v>
      </c>
      <c r="G42" s="60">
        <f t="array" ref="G42">IF(INDEX(Data!$E:$E,IF($B42&lt;=10,40+$B42,80+$B42))="Iris-setosa",0,1)</f>
        <v>1</v>
      </c>
      <c r="H42" s="61">
        <f t="shared" si="21"/>
        <v>1</v>
      </c>
      <c r="I42" s="67">
        <f t="shared" si="16"/>
        <v>0.30232989186991321</v>
      </c>
      <c r="J42" s="67">
        <f t="shared" si="17"/>
        <v>-0.25041157217801358</v>
      </c>
      <c r="K42" s="67">
        <f t="shared" si="18"/>
        <v>-0.22448309464127084</v>
      </c>
      <c r="L42" s="67">
        <f t="shared" si="19"/>
        <v>0.77968329214040466</v>
      </c>
      <c r="M42" s="67">
        <f t="shared" si="20"/>
        <v>0.66372107949393122</v>
      </c>
      <c r="N42" s="63">
        <f t="shared" si="22"/>
        <v>2.2726697689138402</v>
      </c>
      <c r="O42" s="63">
        <f t="shared" si="23"/>
        <v>0.90658812562355318</v>
      </c>
      <c r="P42" s="64">
        <f t="shared" si="24"/>
        <v>1</v>
      </c>
      <c r="Q42" s="64">
        <f t="shared" si="25"/>
        <v>-9.3411874376446824E-2</v>
      </c>
      <c r="R42" s="65">
        <f t="shared" si="26"/>
        <v>8.725778274521083E-3</v>
      </c>
      <c r="T42" s="37">
        <f t="shared" si="27"/>
        <v>-1.5821373941009582E-2</v>
      </c>
      <c r="U42" s="37">
        <f t="shared" si="28"/>
        <v>-9.0181831463754622E-2</v>
      </c>
      <c r="V42" s="37">
        <f t="shared" si="29"/>
        <v>-4.7464121823028747E-2</v>
      </c>
      <c r="W42" s="37">
        <f t="shared" si="30"/>
        <v>-6.6449770552240245E-2</v>
      </c>
      <c r="X42" s="37">
        <f t="shared" si="31"/>
        <v>-1.8985648729211498E-2</v>
      </c>
    </row>
    <row r="43" spans="1:24" ht="14.25" customHeight="1" x14ac:dyDescent="0.25">
      <c r="A43" s="1"/>
      <c r="B43" s="58">
        <v>17</v>
      </c>
      <c r="C43" s="59">
        <f t="array" ref="C43">IF($B43&lt;=10, INDEX(Data!$A:$A,40+$B43), INDEX(Data!$A:$A,80+$B43))</f>
        <v>5.7</v>
      </c>
      <c r="D43" s="60">
        <f t="array" ref="D43">IF($B43&lt;=10, INDEX(Data!$B:$B,40+$B43), INDEX(Data!$B:$B,80+$B43))</f>
        <v>2.9</v>
      </c>
      <c r="E43" s="60">
        <f t="array" ref="E43">IF($B43&lt;=10, INDEX(Data!$C:$C,40+$B43), INDEX(Data!$C:$C,80+$B43))</f>
        <v>4.2</v>
      </c>
      <c r="F43" s="60">
        <f t="array" ref="F43">IF($B43&lt;=10, INDEX(Data!$D:$D,40+$B43), INDEX(Data!$D:$D,80+$B43))</f>
        <v>1.3</v>
      </c>
      <c r="G43" s="60">
        <f t="array" ref="G43">IF(INDEX(Data!$E:$E,IF($B43&lt;=10,40+$B43,80+$B43))="Iris-setosa",0,1)</f>
        <v>1</v>
      </c>
      <c r="H43" s="61">
        <f t="shared" si="21"/>
        <v>1</v>
      </c>
      <c r="I43" s="67">
        <f t="shared" si="16"/>
        <v>0.30391202926401417</v>
      </c>
      <c r="J43" s="67">
        <f t="shared" si="17"/>
        <v>-0.24139338903163812</v>
      </c>
      <c r="K43" s="67">
        <f t="shared" si="18"/>
        <v>-0.21973668245896796</v>
      </c>
      <c r="L43" s="67">
        <f t="shared" si="19"/>
        <v>0.7863282691956287</v>
      </c>
      <c r="M43" s="67">
        <f t="shared" si="20"/>
        <v>0.66561964436685239</v>
      </c>
      <c r="N43" s="63">
        <f t="shared" si="22"/>
        <v>2.4586176009512184</v>
      </c>
      <c r="O43" s="63">
        <f t="shared" si="23"/>
        <v>0.92118935973521532</v>
      </c>
      <c r="P43" s="64">
        <f t="shared" si="24"/>
        <v>1</v>
      </c>
      <c r="Q43" s="64">
        <f t="shared" si="25"/>
        <v>-7.8810640264784682E-2</v>
      </c>
      <c r="R43" s="65">
        <f t="shared" si="26"/>
        <v>6.2111170189453006E-3</v>
      </c>
      <c r="T43" s="37">
        <f t="shared" si="27"/>
        <v>-1.1443229819845441E-2</v>
      </c>
      <c r="U43" s="37">
        <f t="shared" si="28"/>
        <v>-6.5226409973119015E-2</v>
      </c>
      <c r="V43" s="37">
        <f t="shared" si="29"/>
        <v>-3.3185366477551777E-2</v>
      </c>
      <c r="W43" s="37">
        <f t="shared" si="30"/>
        <v>-4.8061565243350854E-2</v>
      </c>
      <c r="X43" s="37">
        <f t="shared" si="31"/>
        <v>-1.4876198765799074E-2</v>
      </c>
    </row>
    <row r="44" spans="1:24" ht="14.25" customHeight="1" x14ac:dyDescent="0.25">
      <c r="A44" s="1"/>
      <c r="B44" s="66">
        <v>18</v>
      </c>
      <c r="C44" s="59">
        <f t="array" ref="C44">IF($B44&lt;=10, INDEX(Data!$A:$A,40+$B44), INDEX(Data!$A:$A,80+$B44))</f>
        <v>6.2</v>
      </c>
      <c r="D44" s="60">
        <f t="array" ref="D44">IF($B44&lt;=10, INDEX(Data!$B:$B,40+$B44), INDEX(Data!$B:$B,80+$B44))</f>
        <v>2.9</v>
      </c>
      <c r="E44" s="60">
        <f t="array" ref="E44">IF($B44&lt;=10, INDEX(Data!$C:$C,40+$B44), INDEX(Data!$C:$C,80+$B44))</f>
        <v>4.3</v>
      </c>
      <c r="F44" s="60">
        <f t="array" ref="F44">IF($B44&lt;=10, INDEX(Data!$D:$D,40+$B44), INDEX(Data!$D:$D,80+$B44))</f>
        <v>1.3</v>
      </c>
      <c r="G44" s="60">
        <f t="array" ref="G44">IF(INDEX(Data!$E:$E,IF($B44&lt;=10,40+$B44,80+$B44))="Iris-setosa",0,1)</f>
        <v>1</v>
      </c>
      <c r="H44" s="61">
        <f t="shared" si="21"/>
        <v>1</v>
      </c>
      <c r="I44" s="67">
        <f t="shared" si="16"/>
        <v>0.3050563522459987</v>
      </c>
      <c r="J44" s="67">
        <f t="shared" si="17"/>
        <v>-0.23487074803432623</v>
      </c>
      <c r="K44" s="67">
        <f t="shared" si="18"/>
        <v>-0.2164181458112128</v>
      </c>
      <c r="L44" s="67">
        <f t="shared" si="19"/>
        <v>0.79113442571996384</v>
      </c>
      <c r="M44" s="67">
        <f t="shared" si="20"/>
        <v>0.66710726424343225</v>
      </c>
      <c r="N44" s="63">
        <f t="shared" si="22"/>
        <v>2.4903625656929651</v>
      </c>
      <c r="O44" s="63">
        <f t="shared" si="23"/>
        <v>0.92346343226255834</v>
      </c>
      <c r="P44" s="64">
        <f t="shared" si="24"/>
        <v>1</v>
      </c>
      <c r="Q44" s="64">
        <f t="shared" si="25"/>
        <v>-7.6536567737441663E-2</v>
      </c>
      <c r="R44" s="65">
        <f t="shared" si="26"/>
        <v>5.8578462010279962E-3</v>
      </c>
      <c r="T44" s="37">
        <f t="shared" si="27"/>
        <v>-1.0819013516935004E-2</v>
      </c>
      <c r="U44" s="37">
        <f t="shared" si="28"/>
        <v>-6.7077883804997032E-2</v>
      </c>
      <c r="V44" s="37">
        <f t="shared" si="29"/>
        <v>-3.1375139199111508E-2</v>
      </c>
      <c r="W44" s="37">
        <f t="shared" si="30"/>
        <v>-4.6521758122820514E-2</v>
      </c>
      <c r="X44" s="37">
        <f t="shared" si="31"/>
        <v>-1.4064717572015505E-2</v>
      </c>
    </row>
    <row r="45" spans="1:24" ht="14.25" customHeight="1" x14ac:dyDescent="0.25">
      <c r="A45" s="1"/>
      <c r="B45" s="58">
        <v>19</v>
      </c>
      <c r="C45" s="59">
        <f t="array" ref="C45">IF($B45&lt;=10, INDEX(Data!$A:$A,40+$B45), INDEX(Data!$A:$A,80+$B45))</f>
        <v>5.0999999999999996</v>
      </c>
      <c r="D45" s="60">
        <f t="array" ref="D45">IF($B45&lt;=10, INDEX(Data!$B:$B,40+$B45), INDEX(Data!$B:$B,80+$B45))</f>
        <v>2.5</v>
      </c>
      <c r="E45" s="60">
        <f t="array" ref="E45">IF($B45&lt;=10, INDEX(Data!$C:$C,40+$B45), INDEX(Data!$C:$C,80+$B45))</f>
        <v>3</v>
      </c>
      <c r="F45" s="60">
        <f t="array" ref="F45">IF($B45&lt;=10, INDEX(Data!$D:$D,40+$B45), INDEX(Data!$D:$D,80+$B45))</f>
        <v>1.1000000000000001</v>
      </c>
      <c r="G45" s="60">
        <f t="array" ref="G45">IF(INDEX(Data!$E:$E,IF($B45&lt;=10,40+$B45,80+$B45))="Iris-setosa",0,1)</f>
        <v>1</v>
      </c>
      <c r="H45" s="61">
        <f t="shared" si="21"/>
        <v>1</v>
      </c>
      <c r="I45" s="67">
        <f t="shared" si="16"/>
        <v>0.3061382535976922</v>
      </c>
      <c r="J45" s="67">
        <f t="shared" si="17"/>
        <v>-0.22816295965382652</v>
      </c>
      <c r="K45" s="67">
        <f t="shared" si="18"/>
        <v>-0.21328063189130164</v>
      </c>
      <c r="L45" s="67">
        <f t="shared" si="19"/>
        <v>0.7957866015322459</v>
      </c>
      <c r="M45" s="67">
        <f t="shared" si="20"/>
        <v>0.6685137360006338</v>
      </c>
      <c r="N45" s="63">
        <f t="shared" si="22"/>
        <v>1.7320304938323579</v>
      </c>
      <c r="O45" s="63">
        <f t="shared" si="23"/>
        <v>0.84967195844442367</v>
      </c>
      <c r="P45" s="64">
        <f t="shared" si="24"/>
        <v>1</v>
      </c>
      <c r="Q45" s="64">
        <f t="shared" si="25"/>
        <v>-0.15032804155557633</v>
      </c>
      <c r="R45" s="65">
        <f t="shared" si="26"/>
        <v>2.2598520077935082E-2</v>
      </c>
      <c r="T45" s="37">
        <f t="shared" si="27"/>
        <v>-3.8402657625129462E-2</v>
      </c>
      <c r="U45" s="37">
        <f t="shared" si="28"/>
        <v>-0.19585355388816025</v>
      </c>
      <c r="V45" s="37">
        <f t="shared" si="29"/>
        <v>-9.6006644062823651E-2</v>
      </c>
      <c r="W45" s="37">
        <f t="shared" si="30"/>
        <v>-0.11520797287538839</v>
      </c>
      <c r="X45" s="37">
        <f t="shared" si="31"/>
        <v>-4.2242923387642413E-2</v>
      </c>
    </row>
    <row r="46" spans="1:24" ht="14.25" customHeight="1" thickBot="1" x14ac:dyDescent="0.3">
      <c r="A46" s="1"/>
      <c r="B46" s="66">
        <v>20</v>
      </c>
      <c r="C46" s="59">
        <f t="array" ref="C46">IF($B46&lt;=10, INDEX(Data!$A:$A,40+$B46), INDEX(Data!$A:$A,80+$B46))</f>
        <v>5.7</v>
      </c>
      <c r="D46" s="60">
        <f t="array" ref="D46">IF($B46&lt;=10, INDEX(Data!$B:$B,40+$B46), INDEX(Data!$B:$B,80+$B46))</f>
        <v>2.8</v>
      </c>
      <c r="E46" s="60">
        <f t="array" ref="E46">IF($B46&lt;=10, INDEX(Data!$C:$C,40+$B46), INDEX(Data!$C:$C,80+$B46))</f>
        <v>4.0999999999999996</v>
      </c>
      <c r="F46" s="60">
        <f t="array" ref="F46">IF($B46&lt;=10, INDEX(Data!$D:$D,40+$B46), INDEX(Data!$D:$D,80+$B46))</f>
        <v>1.3</v>
      </c>
      <c r="G46" s="60">
        <f t="array" ref="G46">IF(INDEX(Data!$E:$E,IF($B46&lt;=10,40+$B46,80+$B46))="Iris-setosa",0,1)</f>
        <v>1</v>
      </c>
      <c r="H46" s="61">
        <f t="shared" si="21"/>
        <v>1</v>
      </c>
      <c r="I46" s="67">
        <f t="shared" si="16"/>
        <v>0.30997851936020515</v>
      </c>
      <c r="J46" s="67">
        <f t="shared" si="17"/>
        <v>-0.20857760426501049</v>
      </c>
      <c r="K46" s="67">
        <f t="shared" si="18"/>
        <v>-0.20367996748501926</v>
      </c>
      <c r="L46" s="67">
        <f t="shared" si="19"/>
        <v>0.80730739881978475</v>
      </c>
      <c r="M46" s="67">
        <f t="shared" si="20"/>
        <v>0.672738028339398</v>
      </c>
      <c r="N46" s="63">
        <f t="shared" si="22"/>
        <v>2.7353020380939261</v>
      </c>
      <c r="O46" s="63">
        <f t="shared" si="23"/>
        <v>0.93907787715014668</v>
      </c>
      <c r="P46" s="64">
        <f t="shared" si="24"/>
        <v>1</v>
      </c>
      <c r="Q46" s="64">
        <f t="shared" si="25"/>
        <v>-6.0922122849853322E-2</v>
      </c>
      <c r="R46" s="65">
        <f t="shared" si="26"/>
        <v>3.7115050525326201E-3</v>
      </c>
      <c r="S46">
        <f>AVERAGE(R27:R46)</f>
        <v>6.4850082207667872E-2</v>
      </c>
      <c r="T46" s="37">
        <f t="shared" si="27"/>
        <v>-6.970784571528753E-3</v>
      </c>
      <c r="U46" s="37">
        <f t="shared" si="28"/>
        <v>-3.9733472057713895E-2</v>
      </c>
      <c r="V46" s="37">
        <f t="shared" si="29"/>
        <v>-1.9518196800280507E-2</v>
      </c>
      <c r="W46" s="37">
        <f t="shared" si="30"/>
        <v>-2.8580216743267883E-2</v>
      </c>
      <c r="X46" s="37">
        <f t="shared" si="31"/>
        <v>-9.0620199429873784E-3</v>
      </c>
    </row>
    <row r="47" spans="1:24" ht="14.25" customHeight="1" thickBot="1" x14ac:dyDescent="0.3">
      <c r="A47" s="108" t="s">
        <v>34</v>
      </c>
      <c r="B47" s="38">
        <v>1</v>
      </c>
      <c r="C47" s="115">
        <f>IF($B47&lt;=10, INDEX(Data!$A:$A,40+$B47), INDEX(Data!$A:$A,80+$B47))</f>
        <v>5</v>
      </c>
      <c r="D47" s="116">
        <f>IF($B47&lt;=10, INDEX(Data!$B:$B,40+$B47), INDEX(Data!$B:$B,80+$B47))</f>
        <v>3.5</v>
      </c>
      <c r="E47" s="116">
        <f>IF($B47&lt;=10, INDEX(Data!$C:$C,40+$B47), INDEX(Data!$C:$C,80+$B47))</f>
        <v>1.3</v>
      </c>
      <c r="F47" s="116">
        <f>IF($B47&lt;=10, INDEX(Data!$D:$D,40+$B47), INDEX(Data!$D:$D,80+$B47))</f>
        <v>0.3</v>
      </c>
      <c r="G47" s="116">
        <f>IF(INDEX(Data!$E:$E,IF($B47&lt;=10,40+$B47,80+$B47))="Iris-setosa",0,1)</f>
        <v>0</v>
      </c>
      <c r="H47">
        <f t="shared" si="21"/>
        <v>0</v>
      </c>
      <c r="I47" s="38">
        <f>'SLP-Training'!I244</f>
        <v>0.31019009910503342</v>
      </c>
      <c r="J47" s="38">
        <f>'SLP-Training'!J244</f>
        <v>-0.15352005770110791</v>
      </c>
      <c r="K47" s="38">
        <f>'SLP-Training'!K244</f>
        <v>-0.20435632753447031</v>
      </c>
      <c r="L47" s="38">
        <f>'SLP-Training'!L244</f>
        <v>0.86479883878700592</v>
      </c>
      <c r="M47" s="38">
        <f>'SLP-Training'!M244</f>
        <v>0.70904349708935732</v>
      </c>
      <c r="N47" s="35">
        <f t="shared" si="22"/>
        <v>0.16429420377876289</v>
      </c>
      <c r="O47" s="35">
        <f t="shared" si="23"/>
        <v>0.54098140953922957</v>
      </c>
      <c r="P47" s="36">
        <f t="shared" si="24"/>
        <v>1</v>
      </c>
      <c r="Q47" s="36">
        <f t="shared" si="25"/>
        <v>0.54098140953922957</v>
      </c>
      <c r="R47" s="37">
        <f t="shared" si="26"/>
        <v>0.29266088546705166</v>
      </c>
      <c r="T47" s="37">
        <f t="shared" si="27"/>
        <v>0.26867357426017402</v>
      </c>
      <c r="U47" s="37">
        <f t="shared" si="28"/>
        <v>1.3433678713008701</v>
      </c>
      <c r="V47" s="37">
        <f t="shared" si="29"/>
        <v>0.94035750991060907</v>
      </c>
      <c r="W47" s="37">
        <f t="shared" si="30"/>
        <v>0.34927564653822624</v>
      </c>
      <c r="X47" s="37">
        <f t="shared" si="31"/>
        <v>8.0602072278052203E-2</v>
      </c>
    </row>
    <row r="48" spans="1:24" ht="14.25" customHeight="1" thickBot="1" x14ac:dyDescent="0.3">
      <c r="A48" s="109"/>
      <c r="B48" s="38">
        <v>2</v>
      </c>
      <c r="C48" s="115">
        <f>IF($B48&lt;=10, INDEX(Data!$A:$A,40+$B48), INDEX(Data!$A:$A,80+$B48))</f>
        <v>4.5</v>
      </c>
      <c r="D48" s="116">
        <f>IF($B48&lt;=10, INDEX(Data!$B:$B,40+$B48), INDEX(Data!$B:$B,80+$B48))</f>
        <v>2.2999999999999998</v>
      </c>
      <c r="E48" s="116">
        <f>IF($B48&lt;=10, INDEX(Data!$C:$C,40+$B48), INDEX(Data!$C:$C,80+$B48))</f>
        <v>1.3</v>
      </c>
      <c r="F48" s="116">
        <f>IF($B48&lt;=10, INDEX(Data!$D:$D,40+$B48), INDEX(Data!$D:$D,80+$B48))</f>
        <v>0.3</v>
      </c>
      <c r="G48" s="116">
        <f>IF(INDEX(Data!$E:$E,IF($B48&lt;=10,40+$B48,80+$B48))="Iris-setosa",0,1)</f>
        <v>0</v>
      </c>
      <c r="H48">
        <f t="shared" si="21"/>
        <v>1</v>
      </c>
      <c r="I48" s="38">
        <f t="shared" ref="I48:I66" si="32">I47-$K$4*T47</f>
        <v>0.283322741679016</v>
      </c>
      <c r="J48" s="38">
        <f t="shared" ref="J48:J66" si="33">J47-$K$4*U47</f>
        <v>-0.28785684483119489</v>
      </c>
      <c r="K48" s="38">
        <f t="shared" ref="K48:K66" si="34">K47-$K$4*V47</f>
        <v>-0.29839207852553123</v>
      </c>
      <c r="L48" s="38">
        <f t="shared" ref="L48:L66" si="35">L47-$K$4*W47</f>
        <v>0.82987127413318329</v>
      </c>
      <c r="M48" s="38">
        <f t="shared" ref="M48:M66" si="36">M47-$K$4*X47</f>
        <v>0.70098328986155212</v>
      </c>
      <c r="N48" s="35">
        <f t="shared" si="22"/>
        <v>-0.40920719733847899</v>
      </c>
      <c r="O48" s="35">
        <f t="shared" si="23"/>
        <v>0.39910223558381319</v>
      </c>
      <c r="P48" s="36">
        <f t="shared" si="24"/>
        <v>0</v>
      </c>
      <c r="Q48" s="36">
        <f t="shared" si="25"/>
        <v>0.39910223558381319</v>
      </c>
      <c r="R48" s="37">
        <f t="shared" si="26"/>
        <v>0.15928259444799753</v>
      </c>
      <c r="T48" s="37">
        <f t="shared" si="27"/>
        <v>0.19142510982842367</v>
      </c>
      <c r="U48" s="37">
        <f t="shared" si="28"/>
        <v>0.86141299422790651</v>
      </c>
      <c r="V48" s="37">
        <f t="shared" si="29"/>
        <v>0.44027775260537444</v>
      </c>
      <c r="W48" s="37">
        <f t="shared" si="30"/>
        <v>0.24885264277695079</v>
      </c>
      <c r="X48" s="37">
        <f t="shared" si="31"/>
        <v>5.74275329485271E-2</v>
      </c>
    </row>
    <row r="49" spans="1:24" ht="14.25" customHeight="1" thickBot="1" x14ac:dyDescent="0.3">
      <c r="A49" s="109"/>
      <c r="B49" s="38">
        <v>3</v>
      </c>
      <c r="C49" s="115">
        <f>IF($B49&lt;=10, INDEX(Data!$A:$A,40+$B49), INDEX(Data!$A:$A,80+$B49))</f>
        <v>4.4000000000000004</v>
      </c>
      <c r="D49" s="116">
        <f>IF($B49&lt;=10, INDEX(Data!$B:$B,40+$B49), INDEX(Data!$B:$B,80+$B49))</f>
        <v>3.2</v>
      </c>
      <c r="E49" s="116">
        <f>IF($B49&lt;=10, INDEX(Data!$C:$C,40+$B49), INDEX(Data!$C:$C,80+$B49))</f>
        <v>1.3</v>
      </c>
      <c r="F49" s="116">
        <f>IF($B49&lt;=10, INDEX(Data!$D:$D,40+$B49), INDEX(Data!$D:$D,80+$B49))</f>
        <v>0.2</v>
      </c>
      <c r="G49" s="116">
        <f>IF(INDEX(Data!$E:$E,IF($B49&lt;=10,40+$B49,80+$B49))="Iris-setosa",0,1)</f>
        <v>0</v>
      </c>
      <c r="H49">
        <f t="shared" si="21"/>
        <v>1</v>
      </c>
      <c r="I49" s="38">
        <f t="shared" si="32"/>
        <v>0.26418023069617363</v>
      </c>
      <c r="J49" s="38">
        <f t="shared" si="33"/>
        <v>-0.37399814425398553</v>
      </c>
      <c r="K49" s="38">
        <f t="shared" si="34"/>
        <v>-0.34241985378606865</v>
      </c>
      <c r="L49" s="38">
        <f t="shared" si="35"/>
        <v>0.80498600985548818</v>
      </c>
      <c r="M49" s="38">
        <f t="shared" si="36"/>
        <v>0.69524053656669937</v>
      </c>
      <c r="N49" s="35">
        <f t="shared" si="22"/>
        <v>-1.291625216011308</v>
      </c>
      <c r="O49" s="35">
        <f t="shared" si="23"/>
        <v>0.21557785318728692</v>
      </c>
      <c r="P49" s="36">
        <f t="shared" si="24"/>
        <v>0</v>
      </c>
      <c r="Q49" s="36">
        <f t="shared" si="25"/>
        <v>0.21557785318728692</v>
      </c>
      <c r="R49" s="37">
        <f t="shared" si="26"/>
        <v>4.6473810784839434E-2</v>
      </c>
      <c r="T49" s="37">
        <f t="shared" si="27"/>
        <v>7.2910172852823127E-2</v>
      </c>
      <c r="U49" s="37">
        <f t="shared" si="28"/>
        <v>0.3208047605524218</v>
      </c>
      <c r="V49" s="37">
        <f t="shared" si="29"/>
        <v>0.23331255312903401</v>
      </c>
      <c r="W49" s="37">
        <f t="shared" si="30"/>
        <v>9.4783224708670066E-2</v>
      </c>
      <c r="X49" s="37">
        <f t="shared" si="31"/>
        <v>1.4582034570564626E-2</v>
      </c>
    </row>
    <row r="50" spans="1:24" ht="14.25" customHeight="1" thickBot="1" x14ac:dyDescent="0.3">
      <c r="A50" s="109"/>
      <c r="B50" s="38">
        <v>4</v>
      </c>
      <c r="C50" s="115">
        <f>IF($B50&lt;=10, INDEX(Data!$A:$A,40+$B50), INDEX(Data!$A:$A,80+$B50))</f>
        <v>5</v>
      </c>
      <c r="D50" s="116">
        <f>IF($B50&lt;=10, INDEX(Data!$B:$B,40+$B50), INDEX(Data!$B:$B,80+$B50))</f>
        <v>3.5</v>
      </c>
      <c r="E50" s="116">
        <f>IF($B50&lt;=10, INDEX(Data!$C:$C,40+$B50), INDEX(Data!$C:$C,80+$B50))</f>
        <v>1.6</v>
      </c>
      <c r="F50" s="116">
        <f>IF($B50&lt;=10, INDEX(Data!$D:$D,40+$B50), INDEX(Data!$D:$D,80+$B50))</f>
        <v>0.6</v>
      </c>
      <c r="G50" s="116">
        <f>IF(INDEX(Data!$E:$E,IF($B50&lt;=10,40+$B50,80+$B50))="Iris-setosa",0,1)</f>
        <v>0</v>
      </c>
      <c r="H50">
        <f t="shared" si="21"/>
        <v>1</v>
      </c>
      <c r="I50" s="38">
        <f t="shared" si="32"/>
        <v>0.25688921341089133</v>
      </c>
      <c r="J50" s="38">
        <f t="shared" si="33"/>
        <v>-0.4060786203092277</v>
      </c>
      <c r="K50" s="38">
        <f t="shared" si="34"/>
        <v>-0.36575110909897207</v>
      </c>
      <c r="L50" s="38">
        <f t="shared" si="35"/>
        <v>0.79550768738462119</v>
      </c>
      <c r="M50" s="38">
        <f t="shared" si="36"/>
        <v>0.69378233310964288</v>
      </c>
      <c r="N50" s="35">
        <f t="shared" si="22"/>
        <v>-1.36455107030047</v>
      </c>
      <c r="O50" s="35">
        <f t="shared" si="23"/>
        <v>0.20350162966216256</v>
      </c>
      <c r="P50" s="36">
        <f t="shared" si="24"/>
        <v>0</v>
      </c>
      <c r="Q50" s="36">
        <f t="shared" si="25"/>
        <v>0.20350162966216256</v>
      </c>
      <c r="R50" s="37">
        <f t="shared" si="26"/>
        <v>4.1412913275155963E-2</v>
      </c>
      <c r="T50" s="37">
        <f t="shared" si="27"/>
        <v>6.5970635869207844E-2</v>
      </c>
      <c r="U50" s="37">
        <f t="shared" si="28"/>
        <v>0.32985317934603919</v>
      </c>
      <c r="V50" s="37">
        <f t="shared" si="29"/>
        <v>0.23089722554222747</v>
      </c>
      <c r="W50" s="37">
        <f t="shared" si="30"/>
        <v>0.10555301739073256</v>
      </c>
      <c r="X50" s="37">
        <f t="shared" si="31"/>
        <v>3.9582381521524705E-2</v>
      </c>
    </row>
    <row r="51" spans="1:24" ht="14.25" customHeight="1" thickBot="1" x14ac:dyDescent="0.3">
      <c r="A51" s="109"/>
      <c r="B51" s="38">
        <v>5</v>
      </c>
      <c r="C51" s="115">
        <f>IF($B51&lt;=10, INDEX(Data!$A:$A,40+$B51), INDEX(Data!$A:$A,80+$B51))</f>
        <v>5.0999999999999996</v>
      </c>
      <c r="D51" s="116">
        <f>IF($B51&lt;=10, INDEX(Data!$B:$B,40+$B51), INDEX(Data!$B:$B,80+$B51))</f>
        <v>3.8</v>
      </c>
      <c r="E51" s="116">
        <f>IF($B51&lt;=10, INDEX(Data!$C:$C,40+$B51), INDEX(Data!$C:$C,80+$B51))</f>
        <v>1.9</v>
      </c>
      <c r="F51" s="116">
        <f>IF($B51&lt;=10, INDEX(Data!$D:$D,40+$B51), INDEX(Data!$D:$D,80+$B51))</f>
        <v>0.4</v>
      </c>
      <c r="G51" s="116">
        <f>IF(INDEX(Data!$E:$E,IF($B51&lt;=10,40+$B51,80+$B51))="Iris-setosa",0,1)</f>
        <v>0</v>
      </c>
      <c r="H51">
        <f t="shared" si="21"/>
        <v>1</v>
      </c>
      <c r="I51" s="38">
        <f t="shared" si="32"/>
        <v>0.25029214982397052</v>
      </c>
      <c r="J51" s="38">
        <f t="shared" si="33"/>
        <v>-0.43906393824383161</v>
      </c>
      <c r="K51" s="38">
        <f t="shared" si="34"/>
        <v>-0.38884083165319483</v>
      </c>
      <c r="L51" s="38">
        <f t="shared" si="35"/>
        <v>0.78495238564554792</v>
      </c>
      <c r="M51" s="38">
        <f t="shared" si="36"/>
        <v>0.68982409495749042</v>
      </c>
      <c r="N51" s="35">
        <f t="shared" si="22"/>
        <v>-1.6991899247921736</v>
      </c>
      <c r="O51" s="35">
        <f t="shared" si="23"/>
        <v>0.15457109517817325</v>
      </c>
      <c r="P51" s="36">
        <f t="shared" si="24"/>
        <v>0</v>
      </c>
      <c r="Q51" s="36">
        <f t="shared" si="25"/>
        <v>0.15457109517817325</v>
      </c>
      <c r="R51" s="37">
        <f t="shared" si="26"/>
        <v>2.3892223464579893E-2</v>
      </c>
      <c r="T51" s="37">
        <f t="shared" si="27"/>
        <v>4.0398352634836258E-2</v>
      </c>
      <c r="U51" s="37">
        <f t="shared" si="28"/>
        <v>0.20603159843766491</v>
      </c>
      <c r="V51" s="37">
        <f t="shared" si="29"/>
        <v>0.15351374001237778</v>
      </c>
      <c r="W51" s="37">
        <f t="shared" si="30"/>
        <v>7.6756870006188888E-2</v>
      </c>
      <c r="X51" s="37">
        <f t="shared" si="31"/>
        <v>1.6159341053934503E-2</v>
      </c>
    </row>
    <row r="52" spans="1:24" ht="14.25" customHeight="1" thickBot="1" x14ac:dyDescent="0.3">
      <c r="A52" s="109"/>
      <c r="B52" s="38">
        <v>6</v>
      </c>
      <c r="C52" s="115">
        <f>IF($B52&lt;=10, INDEX(Data!$A:$A,40+$B52), INDEX(Data!$A:$A,80+$B52))</f>
        <v>4.8</v>
      </c>
      <c r="D52" s="116">
        <f>IF($B52&lt;=10, INDEX(Data!$B:$B,40+$B52), INDEX(Data!$B:$B,80+$B52))</f>
        <v>3</v>
      </c>
      <c r="E52" s="116">
        <f>IF($B52&lt;=10, INDEX(Data!$C:$C,40+$B52), INDEX(Data!$C:$C,80+$B52))</f>
        <v>1.4</v>
      </c>
      <c r="F52" s="116">
        <f>IF($B52&lt;=10, INDEX(Data!$D:$D,40+$B52), INDEX(Data!$D:$D,80+$B52))</f>
        <v>0.3</v>
      </c>
      <c r="G52" s="116">
        <f>IF(INDEX(Data!$E:$E,IF($B52&lt;=10,40+$B52,80+$B52))="Iris-setosa",0,1)</f>
        <v>0</v>
      </c>
      <c r="H52">
        <f t="shared" si="21"/>
        <v>1</v>
      </c>
      <c r="I52" s="38">
        <f t="shared" si="32"/>
        <v>0.24625231456048691</v>
      </c>
      <c r="J52" s="38">
        <f t="shared" si="33"/>
        <v>-0.45966709808759809</v>
      </c>
      <c r="K52" s="38">
        <f t="shared" si="34"/>
        <v>-0.40419220565443259</v>
      </c>
      <c r="L52" s="38">
        <f t="shared" si="35"/>
        <v>0.77727669864492899</v>
      </c>
      <c r="M52" s="38">
        <f t="shared" si="36"/>
        <v>0.68820816085209702</v>
      </c>
      <c r="N52" s="35">
        <f t="shared" si="22"/>
        <v>-1.8780765468647518</v>
      </c>
      <c r="O52" s="35">
        <f t="shared" si="23"/>
        <v>0.13260996159031235</v>
      </c>
      <c r="P52" s="36">
        <f t="shared" si="24"/>
        <v>0</v>
      </c>
      <c r="Q52" s="36">
        <f t="shared" si="25"/>
        <v>0.13260996159031235</v>
      </c>
      <c r="R52" s="37">
        <f t="shared" si="26"/>
        <v>1.7585401912984116E-2</v>
      </c>
      <c r="T52" s="37">
        <f t="shared" si="27"/>
        <v>3.0506804881506176E-2</v>
      </c>
      <c r="U52" s="37">
        <f t="shared" si="28"/>
        <v>0.14643266343122963</v>
      </c>
      <c r="V52" s="37">
        <f t="shared" si="29"/>
        <v>9.152041464451853E-2</v>
      </c>
      <c r="W52" s="37">
        <f t="shared" si="30"/>
        <v>4.2709526834108641E-2</v>
      </c>
      <c r="X52" s="37">
        <f t="shared" si="31"/>
        <v>9.1520414644518516E-3</v>
      </c>
    </row>
    <row r="53" spans="1:24" ht="14.25" customHeight="1" thickBot="1" x14ac:dyDescent="0.3">
      <c r="A53" s="109"/>
      <c r="B53" s="38">
        <v>7</v>
      </c>
      <c r="C53" s="115">
        <f>IF($B53&lt;=10, INDEX(Data!$A:$A,40+$B53), INDEX(Data!$A:$A,80+$B53))</f>
        <v>5.0999999999999996</v>
      </c>
      <c r="D53" s="116">
        <f>IF($B53&lt;=10, INDEX(Data!$B:$B,40+$B53), INDEX(Data!$B:$B,80+$B53))</f>
        <v>3.8</v>
      </c>
      <c r="E53" s="116">
        <f>IF($B53&lt;=10, INDEX(Data!$C:$C,40+$B53), INDEX(Data!$C:$C,80+$B53))</f>
        <v>1.6</v>
      </c>
      <c r="F53" s="116">
        <f>IF($B53&lt;=10, INDEX(Data!$D:$D,40+$B53), INDEX(Data!$D:$D,80+$B53))</f>
        <v>0.2</v>
      </c>
      <c r="G53" s="116">
        <f>IF(INDEX(Data!$E:$E,IF($B53&lt;=10,40+$B53,80+$B53))="Iris-setosa",0,1)</f>
        <v>0</v>
      </c>
      <c r="H53">
        <f t="shared" si="21"/>
        <v>1</v>
      </c>
      <c r="I53" s="38">
        <f t="shared" si="32"/>
        <v>0.24320163407233628</v>
      </c>
      <c r="J53" s="38">
        <f t="shared" si="33"/>
        <v>-0.47431036443072105</v>
      </c>
      <c r="K53" s="38">
        <f t="shared" si="34"/>
        <v>-0.41334424711888446</v>
      </c>
      <c r="L53" s="38">
        <f t="shared" si="35"/>
        <v>0.77300574596151816</v>
      </c>
      <c r="M53" s="38">
        <f t="shared" si="36"/>
        <v>0.68729295670565183</v>
      </c>
      <c r="N53" s="35">
        <f t="shared" si="22"/>
        <v>-2.3722215786965419</v>
      </c>
      <c r="O53" s="35">
        <f t="shared" si="23"/>
        <v>8.5315614618865804E-2</v>
      </c>
      <c r="P53" s="36">
        <f t="shared" si="24"/>
        <v>0</v>
      </c>
      <c r="Q53" s="36">
        <f t="shared" si="25"/>
        <v>8.5315614618865804E-2</v>
      </c>
      <c r="R53" s="37">
        <f t="shared" si="26"/>
        <v>7.2787540977948288E-3</v>
      </c>
      <c r="T53" s="37">
        <f t="shared" si="27"/>
        <v>1.331552543656375E-2</v>
      </c>
      <c r="U53" s="37">
        <f t="shared" si="28"/>
        <v>6.7909179726475116E-2</v>
      </c>
      <c r="V53" s="37">
        <f t="shared" si="29"/>
        <v>5.0598996658942248E-2</v>
      </c>
      <c r="W53" s="37">
        <f t="shared" si="30"/>
        <v>2.1304840698502001E-2</v>
      </c>
      <c r="X53" s="37">
        <f t="shared" si="31"/>
        <v>2.6631050873127502E-3</v>
      </c>
    </row>
    <row r="54" spans="1:24" ht="14.25" customHeight="1" thickBot="1" x14ac:dyDescent="0.3">
      <c r="A54" s="109"/>
      <c r="B54" s="38">
        <v>8</v>
      </c>
      <c r="C54" s="115">
        <f>IF($B54&lt;=10, INDEX(Data!$A:$A,40+$B54), INDEX(Data!$A:$A,80+$B54))</f>
        <v>4.5999999999999996</v>
      </c>
      <c r="D54" s="116">
        <f>IF($B54&lt;=10, INDEX(Data!$B:$B,40+$B54), INDEX(Data!$B:$B,80+$B54))</f>
        <v>3.2</v>
      </c>
      <c r="E54" s="116">
        <f>IF($B54&lt;=10, INDEX(Data!$C:$C,40+$B54), INDEX(Data!$C:$C,80+$B54))</f>
        <v>1.4</v>
      </c>
      <c r="F54" s="116">
        <f>IF($B54&lt;=10, INDEX(Data!$D:$D,40+$B54), INDEX(Data!$D:$D,80+$B54))</f>
        <v>0.2</v>
      </c>
      <c r="G54" s="116">
        <f>IF(INDEX(Data!$E:$E,IF($B54&lt;=10,40+$B54,80+$B54))="Iris-setosa",0,1)</f>
        <v>0</v>
      </c>
      <c r="H54">
        <f t="shared" si="21"/>
        <v>1</v>
      </c>
      <c r="I54" s="38">
        <f t="shared" si="32"/>
        <v>0.24187008152867989</v>
      </c>
      <c r="J54" s="38">
        <f t="shared" si="33"/>
        <v>-0.48110128240336858</v>
      </c>
      <c r="K54" s="38">
        <f t="shared" si="34"/>
        <v>-0.41840414678477866</v>
      </c>
      <c r="L54" s="38">
        <f t="shared" si="35"/>
        <v>0.770875261891668</v>
      </c>
      <c r="M54" s="38">
        <f t="shared" si="36"/>
        <v>0.68702664619692055</v>
      </c>
      <c r="N54" s="35">
        <f t="shared" si="22"/>
        <v>-2.0934583913503881</v>
      </c>
      <c r="O54" s="35">
        <f t="shared" si="23"/>
        <v>0.10973425865813678</v>
      </c>
      <c r="P54" s="36">
        <f t="shared" si="24"/>
        <v>0</v>
      </c>
      <c r="Q54" s="36">
        <f t="shared" si="25"/>
        <v>0.10973425865813678</v>
      </c>
      <c r="R54" s="37">
        <f t="shared" si="26"/>
        <v>1.2041607523250867E-2</v>
      </c>
      <c r="T54" s="37">
        <f t="shared" si="27"/>
        <v>2.144046129726938E-2</v>
      </c>
      <c r="U54" s="37">
        <f t="shared" si="28"/>
        <v>9.862612196743914E-2</v>
      </c>
      <c r="V54" s="37">
        <f t="shared" si="29"/>
        <v>6.8609476151262019E-2</v>
      </c>
      <c r="W54" s="37">
        <f t="shared" si="30"/>
        <v>3.0016645816177131E-2</v>
      </c>
      <c r="X54" s="37">
        <f t="shared" si="31"/>
        <v>4.2880922594538762E-3</v>
      </c>
    </row>
    <row r="55" spans="1:24" ht="14.25" customHeight="1" thickBot="1" x14ac:dyDescent="0.3">
      <c r="A55" s="109"/>
      <c r="B55" s="38">
        <v>9</v>
      </c>
      <c r="C55" s="115">
        <f>IF($B55&lt;=10, INDEX(Data!$A:$A,40+$B55), INDEX(Data!$A:$A,80+$B55))</f>
        <v>5.3</v>
      </c>
      <c r="D55" s="116">
        <f>IF($B55&lt;=10, INDEX(Data!$B:$B,40+$B55), INDEX(Data!$B:$B,80+$B55))</f>
        <v>3.7</v>
      </c>
      <c r="E55" s="116">
        <f>IF($B55&lt;=10, INDEX(Data!$C:$C,40+$B55), INDEX(Data!$C:$C,80+$B55))</f>
        <v>1.5</v>
      </c>
      <c r="F55" s="116">
        <f>IF($B55&lt;=10, INDEX(Data!$D:$D,40+$B55), INDEX(Data!$D:$D,80+$B55))</f>
        <v>0.2</v>
      </c>
      <c r="G55" s="116">
        <f>IF(INDEX(Data!$E:$E,IF($B55&lt;=10,40+$B55,80+$B55))="Iris-setosa",0,1)</f>
        <v>0</v>
      </c>
      <c r="H55">
        <f t="shared" si="21"/>
        <v>1</v>
      </c>
      <c r="I55" s="38">
        <f t="shared" si="32"/>
        <v>0.23972603539895296</v>
      </c>
      <c r="J55" s="38">
        <f t="shared" si="33"/>
        <v>-0.49096389460011247</v>
      </c>
      <c r="K55" s="38">
        <f t="shared" si="34"/>
        <v>-0.42526509439990484</v>
      </c>
      <c r="L55" s="38">
        <f t="shared" si="35"/>
        <v>0.76787359731005034</v>
      </c>
      <c r="M55" s="38">
        <f t="shared" si="36"/>
        <v>0.68659783697097521</v>
      </c>
      <c r="N55" s="35">
        <f t="shared" si="22"/>
        <v>-2.6467334919020207</v>
      </c>
      <c r="O55" s="35">
        <f t="shared" si="23"/>
        <v>6.6190624604867104E-2</v>
      </c>
      <c r="P55" s="36">
        <f t="shared" si="24"/>
        <v>0</v>
      </c>
      <c r="Q55" s="36">
        <f t="shared" si="25"/>
        <v>6.6190624604867104E-2</v>
      </c>
      <c r="R55" s="37">
        <f t="shared" si="26"/>
        <v>4.3811987855824387E-3</v>
      </c>
      <c r="T55" s="37">
        <f t="shared" si="27"/>
        <v>8.1824090028933035E-3</v>
      </c>
      <c r="U55" s="37">
        <f t="shared" si="28"/>
        <v>4.3366767715334507E-2</v>
      </c>
      <c r="V55" s="37">
        <f t="shared" si="29"/>
        <v>3.0274913310705226E-2</v>
      </c>
      <c r="W55" s="37">
        <f t="shared" si="30"/>
        <v>1.2273613504339954E-2</v>
      </c>
      <c r="X55" s="37">
        <f t="shared" si="31"/>
        <v>1.6364818005786608E-3</v>
      </c>
    </row>
    <row r="56" spans="1:24" ht="14.25" customHeight="1" thickBot="1" x14ac:dyDescent="0.3">
      <c r="A56" s="109"/>
      <c r="B56" s="38">
        <v>10</v>
      </c>
      <c r="C56" s="115">
        <f>IF($B56&lt;=10, INDEX(Data!$A:$A,40+$B56), INDEX(Data!$A:$A,80+$B56))</f>
        <v>5</v>
      </c>
      <c r="D56" s="116">
        <f>IF($B56&lt;=10, INDEX(Data!$B:$B,40+$B56), INDEX(Data!$B:$B,80+$B56))</f>
        <v>3.3</v>
      </c>
      <c r="E56" s="116">
        <f>IF($B56&lt;=10, INDEX(Data!$C:$C,40+$B56), INDEX(Data!$C:$C,80+$B56))</f>
        <v>1.4</v>
      </c>
      <c r="F56" s="116">
        <f>IF($B56&lt;=10, INDEX(Data!$D:$D,40+$B56), INDEX(Data!$D:$D,80+$B56))</f>
        <v>0.2</v>
      </c>
      <c r="G56" s="116">
        <f>IF(INDEX(Data!$E:$E,IF($B56&lt;=10,40+$B56,80+$B56))="Iris-setosa",0,1)</f>
        <v>0</v>
      </c>
      <c r="H56">
        <f t="shared" si="21"/>
        <v>1</v>
      </c>
      <c r="I56" s="38">
        <f t="shared" si="32"/>
        <v>0.23890779449866362</v>
      </c>
      <c r="J56" s="38">
        <f t="shared" si="33"/>
        <v>-0.4953005713716459</v>
      </c>
      <c r="K56" s="38">
        <f t="shared" si="34"/>
        <v>-0.42829258573097534</v>
      </c>
      <c r="L56" s="38">
        <f t="shared" si="35"/>
        <v>0.76664623595961634</v>
      </c>
      <c r="M56" s="38">
        <f t="shared" si="36"/>
        <v>0.68643418879091733</v>
      </c>
      <c r="N56" s="35">
        <f t="shared" si="22"/>
        <v>-2.4403690271701386</v>
      </c>
      <c r="O56" s="35">
        <f t="shared" si="23"/>
        <v>8.0145702400173699E-2</v>
      </c>
      <c r="P56" s="36">
        <f t="shared" si="24"/>
        <v>0</v>
      </c>
      <c r="Q56" s="36">
        <f t="shared" si="25"/>
        <v>8.0145702400173699E-2</v>
      </c>
      <c r="R56" s="37">
        <f t="shared" si="26"/>
        <v>6.4233336132172086E-3</v>
      </c>
      <c r="T56" s="37">
        <f t="shared" si="27"/>
        <v>1.1817062058070539E-2</v>
      </c>
      <c r="U56" s="37">
        <f t="shared" si="28"/>
        <v>5.9085310290352695E-2</v>
      </c>
      <c r="V56" s="37">
        <f t="shared" si="29"/>
        <v>3.8996304791632776E-2</v>
      </c>
      <c r="W56" s="37">
        <f t="shared" si="30"/>
        <v>1.6543886881298753E-2</v>
      </c>
      <c r="X56" s="37">
        <f t="shared" si="31"/>
        <v>2.3634124116141079E-3</v>
      </c>
    </row>
    <row r="57" spans="1:24" ht="14.25" customHeight="1" thickBot="1" x14ac:dyDescent="0.3">
      <c r="A57" s="109"/>
      <c r="B57" s="38">
        <v>11</v>
      </c>
      <c r="C57" s="115">
        <f>IF($B57&lt;=10, INDEX(Data!$A:$A,40+$B57), INDEX(Data!$A:$A,80+$B57))</f>
        <v>5.5</v>
      </c>
      <c r="D57" s="116">
        <f>IF($B57&lt;=10, INDEX(Data!$B:$B,40+$B57), INDEX(Data!$B:$B,80+$B57))</f>
        <v>2.6</v>
      </c>
      <c r="E57" s="116">
        <f>IF($B57&lt;=10, INDEX(Data!$C:$C,40+$B57), INDEX(Data!$C:$C,80+$B57))</f>
        <v>4.4000000000000004</v>
      </c>
      <c r="F57" s="116">
        <f>IF($B57&lt;=10, INDEX(Data!$D:$D,40+$B57), INDEX(Data!$D:$D,80+$B57))</f>
        <v>1.2</v>
      </c>
      <c r="G57" s="116">
        <f>IF(INDEX(Data!$E:$E,IF($B57&lt;=10,40+$B57,80+$B57))="Iris-setosa",0,1)</f>
        <v>1</v>
      </c>
      <c r="H57">
        <f t="shared" si="21"/>
        <v>1</v>
      </c>
      <c r="I57" s="38">
        <f t="shared" si="32"/>
        <v>0.23772608829285657</v>
      </c>
      <c r="J57" s="38">
        <f t="shared" si="33"/>
        <v>-0.50120910240068117</v>
      </c>
      <c r="K57" s="38">
        <f t="shared" si="34"/>
        <v>-0.43219221621013859</v>
      </c>
      <c r="L57" s="38">
        <f t="shared" si="35"/>
        <v>0.7649918472714865</v>
      </c>
      <c r="M57" s="38">
        <f t="shared" si="36"/>
        <v>0.68619784754975588</v>
      </c>
      <c r="N57" s="35">
        <f t="shared" si="22"/>
        <v>0.54677780799699749</v>
      </c>
      <c r="O57" s="35">
        <f t="shared" si="23"/>
        <v>0.63338769523675253</v>
      </c>
      <c r="P57" s="36">
        <f t="shared" si="24"/>
        <v>1</v>
      </c>
      <c r="Q57" s="36">
        <f t="shared" si="25"/>
        <v>-0.36661230476324747</v>
      </c>
      <c r="R57" s="37">
        <f t="shared" si="26"/>
        <v>0.13440458200382024</v>
      </c>
      <c r="T57" s="37">
        <f t="shared" si="27"/>
        <v>-0.17026041684931761</v>
      </c>
      <c r="U57" s="37">
        <f t="shared" si="28"/>
        <v>-0.93643229267124684</v>
      </c>
      <c r="V57" s="37">
        <f t="shared" si="29"/>
        <v>-0.44267708380822579</v>
      </c>
      <c r="W57" s="37">
        <f t="shared" si="30"/>
        <v>-0.74914583413699753</v>
      </c>
      <c r="X57" s="37">
        <f t="shared" si="31"/>
        <v>-0.20431250021918113</v>
      </c>
    </row>
    <row r="58" spans="1:24" ht="14.25" customHeight="1" thickBot="1" x14ac:dyDescent="0.3">
      <c r="A58" s="109"/>
      <c r="B58" s="38">
        <v>12</v>
      </c>
      <c r="C58" s="115">
        <f>IF($B58&lt;=10, INDEX(Data!$A:$A,40+$B58), INDEX(Data!$A:$A,80+$B58))</f>
        <v>6.1</v>
      </c>
      <c r="D58" s="116">
        <f>IF($B58&lt;=10, INDEX(Data!$B:$B,40+$B58), INDEX(Data!$B:$B,80+$B58))</f>
        <v>3</v>
      </c>
      <c r="E58" s="116">
        <f>IF($B58&lt;=10, INDEX(Data!$C:$C,40+$B58), INDEX(Data!$C:$C,80+$B58))</f>
        <v>4.5999999999999996</v>
      </c>
      <c r="F58" s="116">
        <f>IF($B58&lt;=10, INDEX(Data!$D:$D,40+$B58), INDEX(Data!$D:$D,80+$B58))</f>
        <v>1.4</v>
      </c>
      <c r="G58" s="116">
        <f>IF(INDEX(Data!$E:$E,IF($B58&lt;=10,40+$B58,80+$B58))="Iris-setosa",0,1)</f>
        <v>1</v>
      </c>
      <c r="H58">
        <f t="shared" si="21"/>
        <v>1</v>
      </c>
      <c r="I58" s="38">
        <f t="shared" si="32"/>
        <v>0.25475212997778834</v>
      </c>
      <c r="J58" s="38">
        <f t="shared" si="33"/>
        <v>-0.40756587313355647</v>
      </c>
      <c r="K58" s="38">
        <f t="shared" si="34"/>
        <v>-0.38792450782931598</v>
      </c>
      <c r="L58" s="38">
        <f t="shared" si="35"/>
        <v>0.83990643068518622</v>
      </c>
      <c r="M58" s="38">
        <f t="shared" si="36"/>
        <v>0.70662909757167403</v>
      </c>
      <c r="N58" s="35">
        <f t="shared" si="22"/>
        <v>1.4576770981273459</v>
      </c>
      <c r="O58" s="35">
        <f t="shared" si="23"/>
        <v>0.81117713587226947</v>
      </c>
      <c r="P58" s="36">
        <f t="shared" si="24"/>
        <v>1</v>
      </c>
      <c r="Q58" s="36">
        <f t="shared" si="25"/>
        <v>-0.18882286412773053</v>
      </c>
      <c r="R58" s="37">
        <f t="shared" si="26"/>
        <v>3.5654074017399381E-2</v>
      </c>
      <c r="T58" s="37">
        <f t="shared" si="27"/>
        <v>-5.7843539287223862E-2</v>
      </c>
      <c r="U58" s="37">
        <f t="shared" si="28"/>
        <v>-0.35284558965206553</v>
      </c>
      <c r="V58" s="37">
        <f t="shared" si="29"/>
        <v>-0.17353061786167159</v>
      </c>
      <c r="W58" s="37">
        <f t="shared" si="30"/>
        <v>-0.26608028072122974</v>
      </c>
      <c r="X58" s="37">
        <f t="shared" si="31"/>
        <v>-8.09809550021134E-2</v>
      </c>
    </row>
    <row r="59" spans="1:24" ht="14.25" customHeight="1" thickBot="1" x14ac:dyDescent="0.3">
      <c r="A59" s="109"/>
      <c r="B59" s="38">
        <v>13</v>
      </c>
      <c r="C59" s="115">
        <f>IF($B59&lt;=10, INDEX(Data!$A:$A,40+$B59), INDEX(Data!$A:$A,80+$B59))</f>
        <v>5.8</v>
      </c>
      <c r="D59" s="116">
        <f>IF($B59&lt;=10, INDEX(Data!$B:$B,40+$B59), INDEX(Data!$B:$B,80+$B59))</f>
        <v>2.6</v>
      </c>
      <c r="E59" s="116">
        <f>IF($B59&lt;=10, INDEX(Data!$C:$C,40+$B59), INDEX(Data!$C:$C,80+$B59))</f>
        <v>4</v>
      </c>
      <c r="F59" s="116">
        <f>IF($B59&lt;=10, INDEX(Data!$D:$D,40+$B59), INDEX(Data!$D:$D,80+$B59))</f>
        <v>1.2</v>
      </c>
      <c r="G59" s="116">
        <f>IF(INDEX(Data!$E:$E,IF($B59&lt;=10,40+$B59,80+$B59))="Iris-setosa",0,1)</f>
        <v>1</v>
      </c>
      <c r="H59">
        <f t="shared" si="21"/>
        <v>1</v>
      </c>
      <c r="I59" s="38">
        <f t="shared" si="32"/>
        <v>0.26053648390651074</v>
      </c>
      <c r="J59" s="38">
        <f t="shared" si="33"/>
        <v>-0.37228131416834992</v>
      </c>
      <c r="K59" s="38">
        <f t="shared" si="34"/>
        <v>-0.37057144604314884</v>
      </c>
      <c r="L59" s="38">
        <f t="shared" si="35"/>
        <v>0.86651445875730915</v>
      </c>
      <c r="M59" s="38">
        <f t="shared" si="36"/>
        <v>0.71472719307188537</v>
      </c>
      <c r="N59" s="35">
        <f t="shared" si="22"/>
        <v>1.461549568733393</v>
      </c>
      <c r="O59" s="35">
        <f t="shared" si="23"/>
        <v>0.81176956288044999</v>
      </c>
      <c r="P59" s="36">
        <f t="shared" si="24"/>
        <v>1</v>
      </c>
      <c r="Q59" s="36">
        <f t="shared" si="25"/>
        <v>-0.18823043711955001</v>
      </c>
      <c r="R59" s="37">
        <f t="shared" si="26"/>
        <v>3.5430697458216871E-2</v>
      </c>
      <c r="T59" s="37">
        <f t="shared" si="27"/>
        <v>-5.7523123576412358E-2</v>
      </c>
      <c r="U59" s="37">
        <f t="shared" si="28"/>
        <v>-0.33363411674319166</v>
      </c>
      <c r="V59" s="37">
        <f t="shared" si="29"/>
        <v>-0.14956012129867213</v>
      </c>
      <c r="W59" s="37">
        <f t="shared" si="30"/>
        <v>-0.23009249430564943</v>
      </c>
      <c r="X59" s="37">
        <f t="shared" si="31"/>
        <v>-6.9027748291694821E-2</v>
      </c>
    </row>
    <row r="60" spans="1:24" ht="14.25" customHeight="1" thickBot="1" x14ac:dyDescent="0.3">
      <c r="A60" s="109"/>
      <c r="B60" s="38">
        <v>14</v>
      </c>
      <c r="C60" s="115">
        <f>IF($B60&lt;=10, INDEX(Data!$A:$A,40+$B60), INDEX(Data!$A:$A,80+$B60))</f>
        <v>5</v>
      </c>
      <c r="D60" s="116">
        <f>IF($B60&lt;=10, INDEX(Data!$B:$B,40+$B60), INDEX(Data!$B:$B,80+$B60))</f>
        <v>2.2999999999999998</v>
      </c>
      <c r="E60" s="116">
        <f>IF($B60&lt;=10, INDEX(Data!$C:$C,40+$B60), INDEX(Data!$C:$C,80+$B60))</f>
        <v>3.3</v>
      </c>
      <c r="F60" s="116">
        <f>IF($B60&lt;=10, INDEX(Data!$D:$D,40+$B60), INDEX(Data!$D:$D,80+$B60))</f>
        <v>1</v>
      </c>
      <c r="G60" s="116">
        <f>IF(INDEX(Data!$E:$E,IF($B60&lt;=10,40+$B60,80+$B60))="Iris-setosa",0,1)</f>
        <v>1</v>
      </c>
      <c r="H60">
        <f t="shared" si="21"/>
        <v>1</v>
      </c>
      <c r="I60" s="38">
        <f t="shared" si="32"/>
        <v>0.26628879626415197</v>
      </c>
      <c r="J60" s="38">
        <f t="shared" si="33"/>
        <v>-0.33891790249403075</v>
      </c>
      <c r="K60" s="38">
        <f t="shared" si="34"/>
        <v>-0.35561543391328165</v>
      </c>
      <c r="L60" s="38">
        <f t="shared" si="35"/>
        <v>0.88952370818787407</v>
      </c>
      <c r="M60" s="38">
        <f t="shared" si="36"/>
        <v>0.72162996790105483</v>
      </c>
      <c r="N60" s="35">
        <f t="shared" si="22"/>
        <v>1.41084199071449</v>
      </c>
      <c r="O60" s="35">
        <f t="shared" si="23"/>
        <v>0.80389871370721133</v>
      </c>
      <c r="P60" s="36">
        <f t="shared" si="24"/>
        <v>1</v>
      </c>
      <c r="Q60" s="36">
        <f t="shared" si="25"/>
        <v>-0.19610128629278867</v>
      </c>
      <c r="R60" s="37">
        <f t="shared" si="26"/>
        <v>3.8455714485686264E-2</v>
      </c>
      <c r="T60" s="37">
        <f t="shared" si="27"/>
        <v>-6.1828998819469926E-2</v>
      </c>
      <c r="U60" s="37">
        <f t="shared" si="28"/>
        <v>-0.30914499409734963</v>
      </c>
      <c r="V60" s="37">
        <f t="shared" si="29"/>
        <v>-0.14220669728478083</v>
      </c>
      <c r="W60" s="37">
        <f t="shared" si="30"/>
        <v>-0.20403569610425074</v>
      </c>
      <c r="X60" s="37">
        <f t="shared" si="31"/>
        <v>-6.1828998819469926E-2</v>
      </c>
    </row>
    <row r="61" spans="1:24" ht="14.25" customHeight="1" thickBot="1" x14ac:dyDescent="0.3">
      <c r="A61" s="109"/>
      <c r="B61" s="38">
        <v>15</v>
      </c>
      <c r="C61" s="115">
        <f>IF($B61&lt;=10, INDEX(Data!$A:$A,40+$B61), INDEX(Data!$A:$A,80+$B61))</f>
        <v>5.6</v>
      </c>
      <c r="D61" s="116">
        <f>IF($B61&lt;=10, INDEX(Data!$B:$B,40+$B61), INDEX(Data!$B:$B,80+$B61))</f>
        <v>2.7</v>
      </c>
      <c r="E61" s="116">
        <f>IF($B61&lt;=10, INDEX(Data!$C:$C,40+$B61), INDEX(Data!$C:$C,80+$B61))</f>
        <v>4.2</v>
      </c>
      <c r="F61" s="116">
        <f>IF($B61&lt;=10, INDEX(Data!$D:$D,40+$B61), INDEX(Data!$D:$D,80+$B61))</f>
        <v>1.3</v>
      </c>
      <c r="G61" s="116">
        <f>IF(INDEX(Data!$E:$E,IF($B61&lt;=10,40+$B61,80+$B61))="Iris-setosa",0,1)</f>
        <v>1</v>
      </c>
      <c r="H61">
        <f t="shared" si="21"/>
        <v>1</v>
      </c>
      <c r="I61" s="38">
        <f t="shared" si="32"/>
        <v>0.27247169614609895</v>
      </c>
      <c r="J61" s="38">
        <f t="shared" si="33"/>
        <v>-0.3080034030842958</v>
      </c>
      <c r="K61" s="38">
        <f t="shared" si="34"/>
        <v>-0.34139476418480358</v>
      </c>
      <c r="L61" s="38">
        <f t="shared" si="35"/>
        <v>0.90992727779829918</v>
      </c>
      <c r="M61" s="38">
        <f t="shared" si="36"/>
        <v>0.7278128677830018</v>
      </c>
      <c r="N61" s="35">
        <f t="shared" si="22"/>
        <v>2.3937380704458322</v>
      </c>
      <c r="O61" s="35">
        <f t="shared" si="23"/>
        <v>0.91634855202833221</v>
      </c>
      <c r="P61" s="36">
        <f t="shared" si="24"/>
        <v>1</v>
      </c>
      <c r="Q61" s="36">
        <f t="shared" si="25"/>
        <v>-8.3651447971667792E-2</v>
      </c>
      <c r="R61" s="37">
        <f t="shared" si="26"/>
        <v>6.9975647477566435E-3</v>
      </c>
      <c r="T61" s="37">
        <f t="shared" si="27"/>
        <v>-1.2824416648662604E-2</v>
      </c>
      <c r="U61" s="37">
        <f t="shared" si="28"/>
        <v>-7.1816733232510574E-2</v>
      </c>
      <c r="V61" s="37">
        <f t="shared" si="29"/>
        <v>-3.4625924951389032E-2</v>
      </c>
      <c r="W61" s="37">
        <f t="shared" si="30"/>
        <v>-5.3862549924382941E-2</v>
      </c>
      <c r="X61" s="37">
        <f t="shared" si="31"/>
        <v>-1.6671741643261385E-2</v>
      </c>
    </row>
    <row r="62" spans="1:24" ht="14.25" customHeight="1" thickBot="1" x14ac:dyDescent="0.3">
      <c r="A62" s="109"/>
      <c r="B62" s="38">
        <v>16</v>
      </c>
      <c r="C62" s="115">
        <f>IF($B62&lt;=10, INDEX(Data!$A:$A,40+$B62), INDEX(Data!$A:$A,80+$B62))</f>
        <v>5.7</v>
      </c>
      <c r="D62" s="116">
        <f>IF($B62&lt;=10, INDEX(Data!$B:$B,40+$B62), INDEX(Data!$B:$B,80+$B62))</f>
        <v>3</v>
      </c>
      <c r="E62" s="116">
        <f>IF($B62&lt;=10, INDEX(Data!$C:$C,40+$B62), INDEX(Data!$C:$C,80+$B62))</f>
        <v>4.2</v>
      </c>
      <c r="F62" s="116">
        <f>IF($B62&lt;=10, INDEX(Data!$D:$D,40+$B62), INDEX(Data!$D:$D,80+$B62))</f>
        <v>1.2</v>
      </c>
      <c r="G62" s="116">
        <f>IF(INDEX(Data!$E:$E,IF($B62&lt;=10,40+$B62,80+$B62))="Iris-setosa",0,1)</f>
        <v>1</v>
      </c>
      <c r="H62">
        <f t="shared" si="21"/>
        <v>1</v>
      </c>
      <c r="I62" s="38">
        <f t="shared" si="32"/>
        <v>0.27375413781096519</v>
      </c>
      <c r="J62" s="38">
        <f t="shared" si="33"/>
        <v>-0.30082172976104476</v>
      </c>
      <c r="K62" s="38">
        <f t="shared" si="34"/>
        <v>-0.33793217168966466</v>
      </c>
      <c r="L62" s="38">
        <f t="shared" si="35"/>
        <v>0.91531353279073746</v>
      </c>
      <c r="M62" s="38">
        <f t="shared" si="36"/>
        <v>0.72948004194732796</v>
      </c>
      <c r="N62" s="35">
        <f t="shared" si="22"/>
        <v>2.2649666511619069</v>
      </c>
      <c r="O62" s="35">
        <f t="shared" si="23"/>
        <v>0.9059337323318839</v>
      </c>
      <c r="P62" s="36">
        <f t="shared" si="24"/>
        <v>1</v>
      </c>
      <c r="Q62" s="36">
        <f t="shared" si="25"/>
        <v>-9.4066267668116099E-2</v>
      </c>
      <c r="R62" s="37">
        <f t="shared" si="26"/>
        <v>8.8484627130096648E-3</v>
      </c>
      <c r="T62" s="37">
        <f t="shared" si="27"/>
        <v>-1.6032241701992706E-2</v>
      </c>
      <c r="U62" s="37">
        <f t="shared" si="28"/>
        <v>-9.1383777701358429E-2</v>
      </c>
      <c r="V62" s="37">
        <f t="shared" si="29"/>
        <v>-4.8096725105978122E-2</v>
      </c>
      <c r="W62" s="37">
        <f t="shared" si="30"/>
        <v>-6.7335415148369368E-2</v>
      </c>
      <c r="X62" s="37">
        <f t="shared" si="31"/>
        <v>-1.9238690042391246E-2</v>
      </c>
    </row>
    <row r="63" spans="1:24" ht="14.25" customHeight="1" thickBot="1" x14ac:dyDescent="0.3">
      <c r="A63" s="109"/>
      <c r="B63" s="38">
        <v>17</v>
      </c>
      <c r="C63" s="115">
        <f>IF($B63&lt;=10, INDEX(Data!$A:$A,40+$B63), INDEX(Data!$A:$A,80+$B63))</f>
        <v>5.7</v>
      </c>
      <c r="D63" s="116">
        <f>IF($B63&lt;=10, INDEX(Data!$B:$B,40+$B63), INDEX(Data!$B:$B,80+$B63))</f>
        <v>2.9</v>
      </c>
      <c r="E63" s="116">
        <f>IF($B63&lt;=10, INDEX(Data!$C:$C,40+$B63), INDEX(Data!$C:$C,80+$B63))</f>
        <v>4.2</v>
      </c>
      <c r="F63" s="116">
        <f>IF($B63&lt;=10, INDEX(Data!$D:$D,40+$B63), INDEX(Data!$D:$D,80+$B63))</f>
        <v>1.3</v>
      </c>
      <c r="G63" s="116">
        <f>IF(INDEX(Data!$E:$E,IF($B63&lt;=10,40+$B63,80+$B63))="Iris-setosa",0,1)</f>
        <v>1</v>
      </c>
      <c r="H63">
        <f t="shared" si="21"/>
        <v>1</v>
      </c>
      <c r="I63" s="38">
        <f t="shared" si="32"/>
        <v>0.27535736198116445</v>
      </c>
      <c r="J63" s="38">
        <f t="shared" si="33"/>
        <v>-0.29168335199090895</v>
      </c>
      <c r="K63" s="38">
        <f t="shared" si="34"/>
        <v>-0.33312249917906683</v>
      </c>
      <c r="L63" s="38">
        <f t="shared" si="35"/>
        <v>0.92204707430557442</v>
      </c>
      <c r="M63" s="38">
        <f t="shared" si="36"/>
        <v>0.73140391095156709</v>
      </c>
      <c r="N63" s="35">
        <f t="shared" si="22"/>
        <v>2.4701298043341398</v>
      </c>
      <c r="O63" s="35">
        <f t="shared" si="23"/>
        <v>0.92202109807893429</v>
      </c>
      <c r="P63" s="36">
        <f t="shared" si="24"/>
        <v>1</v>
      </c>
      <c r="Q63" s="36">
        <f t="shared" si="25"/>
        <v>-7.7978901921065713E-2</v>
      </c>
      <c r="R63" s="37">
        <f t="shared" si="26"/>
        <v>6.080709144815186E-3</v>
      </c>
      <c r="T63" s="37">
        <f t="shared" si="27"/>
        <v>-1.1213084245602231E-2</v>
      </c>
      <c r="U63" s="37">
        <f t="shared" si="28"/>
        <v>-6.3914580199932722E-2</v>
      </c>
      <c r="V63" s="37">
        <f t="shared" si="29"/>
        <v>-3.2517944312246472E-2</v>
      </c>
      <c r="W63" s="37">
        <f t="shared" si="30"/>
        <v>-4.7094953831529375E-2</v>
      </c>
      <c r="X63" s="37">
        <f t="shared" si="31"/>
        <v>-1.4577009519282902E-2</v>
      </c>
    </row>
    <row r="64" spans="1:24" ht="14.25" customHeight="1" thickBot="1" x14ac:dyDescent="0.3">
      <c r="A64" s="109"/>
      <c r="B64" s="38">
        <v>18</v>
      </c>
      <c r="C64" s="115">
        <f>IF($B64&lt;=10, INDEX(Data!$A:$A,40+$B64), INDEX(Data!$A:$A,80+$B64))</f>
        <v>6.2</v>
      </c>
      <c r="D64" s="116">
        <f>IF($B64&lt;=10, INDEX(Data!$B:$B,40+$B64), INDEX(Data!$B:$B,80+$B64))</f>
        <v>2.9</v>
      </c>
      <c r="E64" s="116">
        <f>IF($B64&lt;=10, INDEX(Data!$C:$C,40+$B64), INDEX(Data!$C:$C,80+$B64))</f>
        <v>4.3</v>
      </c>
      <c r="F64" s="116">
        <f>IF($B64&lt;=10, INDEX(Data!$D:$D,40+$B64), INDEX(Data!$D:$D,80+$B64))</f>
        <v>1.3</v>
      </c>
      <c r="G64" s="116">
        <f>IF(INDEX(Data!$E:$E,IF($B64&lt;=10,40+$B64,80+$B64))="Iris-setosa",0,1)</f>
        <v>1</v>
      </c>
      <c r="H64">
        <f t="shared" si="21"/>
        <v>1</v>
      </c>
      <c r="I64" s="38">
        <f t="shared" si="32"/>
        <v>0.27647867040572466</v>
      </c>
      <c r="J64" s="38">
        <f t="shared" si="33"/>
        <v>-0.2852918939709157</v>
      </c>
      <c r="K64" s="38">
        <f t="shared" si="34"/>
        <v>-0.32987070474784219</v>
      </c>
      <c r="L64" s="38">
        <f t="shared" si="35"/>
        <v>0.92675656968872733</v>
      </c>
      <c r="M64" s="38">
        <f t="shared" si="36"/>
        <v>0.73286161190349541</v>
      </c>
      <c r="N64" s="35">
        <f t="shared" si="22"/>
        <v>2.4888172291533763</v>
      </c>
      <c r="O64" s="35">
        <f t="shared" si="23"/>
        <v>0.92335413835212066</v>
      </c>
      <c r="P64" s="36">
        <f t="shared" si="24"/>
        <v>1</v>
      </c>
      <c r="Q64" s="36">
        <f t="shared" si="25"/>
        <v>-7.6645861647879343E-2</v>
      </c>
      <c r="R64" s="37">
        <f t="shared" si="26"/>
        <v>5.8745881077458617E-3</v>
      </c>
      <c r="T64" s="37">
        <f t="shared" si="27"/>
        <v>-1.084865048080259E-2</v>
      </c>
      <c r="U64" s="37">
        <f t="shared" si="28"/>
        <v>-6.7261632980976066E-2</v>
      </c>
      <c r="V64" s="37">
        <f t="shared" si="29"/>
        <v>-3.1461086394327507E-2</v>
      </c>
      <c r="W64" s="37">
        <f t="shared" si="30"/>
        <v>-4.6649197067451138E-2</v>
      </c>
      <c r="X64" s="37">
        <f t="shared" si="31"/>
        <v>-1.4103245625043368E-2</v>
      </c>
    </row>
    <row r="65" spans="1:24" ht="14.25" customHeight="1" thickBot="1" x14ac:dyDescent="0.3">
      <c r="A65" s="109"/>
      <c r="B65" s="38">
        <v>19</v>
      </c>
      <c r="C65" s="115">
        <f>IF($B65&lt;=10, INDEX(Data!$A:$A,40+$B65), INDEX(Data!$A:$A,80+$B65))</f>
        <v>5.0999999999999996</v>
      </c>
      <c r="D65" s="116">
        <f>IF($B65&lt;=10, INDEX(Data!$B:$B,40+$B65), INDEX(Data!$B:$B,80+$B65))</f>
        <v>2.5</v>
      </c>
      <c r="E65" s="116">
        <f>IF($B65&lt;=10, INDEX(Data!$C:$C,40+$B65), INDEX(Data!$C:$C,80+$B65))</f>
        <v>3</v>
      </c>
      <c r="F65" s="116">
        <f>IF($B65&lt;=10, INDEX(Data!$D:$D,40+$B65), INDEX(Data!$D:$D,80+$B65))</f>
        <v>1.1000000000000001</v>
      </c>
      <c r="G65" s="116">
        <f>IF(INDEX(Data!$E:$E,IF($B65&lt;=10,40+$B65,80+$B65))="Iris-setosa",0,1)</f>
        <v>1</v>
      </c>
      <c r="H65">
        <f t="shared" si="21"/>
        <v>1</v>
      </c>
      <c r="I65" s="38">
        <f t="shared" si="32"/>
        <v>0.27756353545380491</v>
      </c>
      <c r="J65" s="38">
        <f t="shared" si="33"/>
        <v>-0.27856573067281809</v>
      </c>
      <c r="K65" s="38">
        <f t="shared" si="34"/>
        <v>-0.32672459610840943</v>
      </c>
      <c r="L65" s="38">
        <f t="shared" si="35"/>
        <v>0.93142148939547242</v>
      </c>
      <c r="M65" s="38">
        <f t="shared" si="36"/>
        <v>0.73427193646599975</v>
      </c>
      <c r="N65" s="35">
        <f t="shared" si="22"/>
        <v>1.6420304170504263</v>
      </c>
      <c r="O65" s="35">
        <f t="shared" si="23"/>
        <v>0.83781102729507528</v>
      </c>
      <c r="P65" s="36">
        <f t="shared" si="24"/>
        <v>1</v>
      </c>
      <c r="Q65" s="36">
        <f t="shared" si="25"/>
        <v>-0.16218897270492472</v>
      </c>
      <c r="R65" s="37">
        <f t="shared" si="26"/>
        <v>2.6305262867078814E-2</v>
      </c>
      <c r="T65" s="37">
        <f t="shared" si="27"/>
        <v>-4.40776786118686E-2</v>
      </c>
      <c r="U65" s="37">
        <f t="shared" si="28"/>
        <v>-0.22479616092052984</v>
      </c>
      <c r="V65" s="37">
        <f t="shared" si="29"/>
        <v>-0.1101941965296715</v>
      </c>
      <c r="W65" s="37">
        <f t="shared" si="30"/>
        <v>-0.13223303583560581</v>
      </c>
      <c r="X65" s="37">
        <f t="shared" si="31"/>
        <v>-4.8485446473055464E-2</v>
      </c>
    </row>
    <row r="66" spans="1:24" ht="14.25" customHeight="1" thickBot="1" x14ac:dyDescent="0.3">
      <c r="A66" s="109"/>
      <c r="B66" s="38">
        <v>20</v>
      </c>
      <c r="C66" s="115">
        <f>IF($B66&lt;=10, INDEX(Data!$A:$A,40+$B66), INDEX(Data!$A:$A,80+$B66))</f>
        <v>5.7</v>
      </c>
      <c r="D66" s="116">
        <f>IF($B66&lt;=10, INDEX(Data!$B:$B,40+$B66), INDEX(Data!$B:$B,80+$B66))</f>
        <v>2.8</v>
      </c>
      <c r="E66" s="116">
        <f>IF($B66&lt;=10, INDEX(Data!$C:$C,40+$B66), INDEX(Data!$C:$C,80+$B66))</f>
        <v>4.0999999999999996</v>
      </c>
      <c r="F66" s="116">
        <f>IF($B66&lt;=10, INDEX(Data!$D:$D,40+$B66), INDEX(Data!$D:$D,80+$B66))</f>
        <v>1.3</v>
      </c>
      <c r="G66" s="116">
        <f>IF(INDEX(Data!$E:$E,IF($B66&lt;=10,40+$B66,80+$B66))="Iris-setosa",0,1)</f>
        <v>1</v>
      </c>
      <c r="H66">
        <f t="shared" si="21"/>
        <v>1</v>
      </c>
      <c r="I66" s="38">
        <f t="shared" si="32"/>
        <v>0.28197130331499176</v>
      </c>
      <c r="J66" s="38">
        <f t="shared" si="33"/>
        <v>-0.25608611458076513</v>
      </c>
      <c r="K66" s="38">
        <f t="shared" si="34"/>
        <v>-0.31570517645544227</v>
      </c>
      <c r="L66" s="38">
        <f t="shared" si="35"/>
        <v>0.94464479297903303</v>
      </c>
      <c r="M66" s="38">
        <f t="shared" si="36"/>
        <v>0.73912048111330531</v>
      </c>
      <c r="N66" s="35">
        <f t="shared" si="22"/>
        <v>2.7722062327907242</v>
      </c>
      <c r="O66" s="35">
        <f t="shared" si="23"/>
        <v>0.94115529112810525</v>
      </c>
      <c r="P66" s="36">
        <f t="shared" si="24"/>
        <v>1</v>
      </c>
      <c r="Q66" s="36">
        <f t="shared" si="25"/>
        <v>-5.8844708871894746E-2</v>
      </c>
      <c r="R66" s="37">
        <f t="shared" si="26"/>
        <v>3.4626997622180483E-3</v>
      </c>
      <c r="S66">
        <f>AVERAGE(R47:R66)</f>
        <v>4.5647353934010045E-2</v>
      </c>
      <c r="T66" s="37">
        <f t="shared" si="27"/>
        <v>-6.5178764055990965E-3</v>
      </c>
      <c r="U66" s="37">
        <f t="shared" si="28"/>
        <v>-3.7151895511914848E-2</v>
      </c>
      <c r="V66" s="37">
        <f t="shared" si="29"/>
        <v>-1.8250053935677468E-2</v>
      </c>
      <c r="W66" s="37">
        <f t="shared" si="30"/>
        <v>-2.6723293262956294E-2</v>
      </c>
      <c r="X66" s="37">
        <f t="shared" si="31"/>
        <v>-8.473239327278826E-3</v>
      </c>
    </row>
    <row r="67" spans="1:24" ht="14.25" customHeight="1" thickBot="1" x14ac:dyDescent="0.3">
      <c r="A67" s="118" t="s">
        <v>35</v>
      </c>
      <c r="B67" s="119">
        <v>1</v>
      </c>
      <c r="C67" s="113">
        <f>IF($B67&lt;=10, INDEX(Data!$A:$A,40+$B67), INDEX(Data!$A:$A,80+$B67))</f>
        <v>5</v>
      </c>
      <c r="D67" s="114">
        <f>IF($B67&lt;=10, INDEX(Data!$B:$B,40+$B67), INDEX(Data!$B:$B,80+$B67))</f>
        <v>3.5</v>
      </c>
      <c r="E67" s="114">
        <f>IF($B67&lt;=10, INDEX(Data!$C:$C,40+$B67), INDEX(Data!$C:$C,80+$B67))</f>
        <v>1.3</v>
      </c>
      <c r="F67" s="114">
        <f>IF($B67&lt;=10, INDEX(Data!$D:$D,40+$B67), INDEX(Data!$D:$D,80+$B67))</f>
        <v>0.3</v>
      </c>
      <c r="G67" s="114">
        <f>IF(INDEX(Data!$E:$E,IF($B67&lt;=10,40+$B67,80+$B67))="Iris-setosa",0,1)</f>
        <v>0</v>
      </c>
      <c r="H67" s="120">
        <f t="shared" si="21"/>
        <v>1</v>
      </c>
      <c r="I67" s="119">
        <f>'SLP-Training'!I324</f>
        <v>0.28206303041996811</v>
      </c>
      <c r="J67" s="119">
        <f>'SLP-Training'!J324</f>
        <v>-0.20301942185728913</v>
      </c>
      <c r="K67" s="119">
        <f>'SLP-Training'!K324</f>
        <v>-0.31867850836834388</v>
      </c>
      <c r="L67" s="119">
        <f>'SLP-Training'!L324</f>
        <v>1.0016976398014039</v>
      </c>
      <c r="M67" s="119">
        <f>'SLP-Training'!M324</f>
        <v>0.77051364873066264</v>
      </c>
      <c r="N67" s="121">
        <f t="shared" si="22"/>
        <v>-0.31504783179465701</v>
      </c>
      <c r="O67" s="121">
        <f t="shared" si="23"/>
        <v>0.42188310100500337</v>
      </c>
      <c r="P67" s="122">
        <f t="shared" si="24"/>
        <v>0</v>
      </c>
      <c r="Q67" s="122">
        <f t="shared" si="25"/>
        <v>0.42188310100500337</v>
      </c>
      <c r="R67" s="123">
        <f t="shared" si="26"/>
        <v>0.17798535091359788</v>
      </c>
      <c r="T67" s="37">
        <f t="shared" si="27"/>
        <v>0.20579267827341099</v>
      </c>
      <c r="U67" s="37">
        <f t="shared" si="28"/>
        <v>1.0289633913670551</v>
      </c>
      <c r="V67" s="37">
        <f t="shared" si="29"/>
        <v>0.7202743739569385</v>
      </c>
      <c r="W67" s="37">
        <f t="shared" si="30"/>
        <v>0.26753048175543431</v>
      </c>
      <c r="X67" s="37">
        <f t="shared" si="31"/>
        <v>6.1737803482023297E-2</v>
      </c>
    </row>
    <row r="68" spans="1:24" ht="14.25" customHeight="1" thickBot="1" x14ac:dyDescent="0.3">
      <c r="A68" s="118"/>
      <c r="B68" s="119">
        <v>2</v>
      </c>
      <c r="C68" s="113">
        <f>IF($B68&lt;=10, INDEX(Data!$A:$A,40+$B68), INDEX(Data!$A:$A,80+$B68))</f>
        <v>4.5</v>
      </c>
      <c r="D68" s="114">
        <f>IF($B68&lt;=10, INDEX(Data!$B:$B,40+$B68), INDEX(Data!$B:$B,80+$B68))</f>
        <v>2.2999999999999998</v>
      </c>
      <c r="E68" s="114">
        <f>IF($B68&lt;=10, INDEX(Data!$C:$C,40+$B68), INDEX(Data!$C:$C,80+$B68))</f>
        <v>1.3</v>
      </c>
      <c r="F68" s="114">
        <f>IF($B68&lt;=10, INDEX(Data!$D:$D,40+$B68), INDEX(Data!$D:$D,80+$B68))</f>
        <v>0.3</v>
      </c>
      <c r="G68" s="114">
        <f>IF(INDEX(Data!$E:$E,IF($B68&lt;=10,40+$B68,80+$B68))="Iris-setosa",0,1)</f>
        <v>0</v>
      </c>
      <c r="H68" s="120">
        <f t="shared" si="21"/>
        <v>1</v>
      </c>
      <c r="I68" s="119">
        <f t="shared" ref="I68:I86" si="37">I67-$K$4*T67</f>
        <v>0.26148376259262701</v>
      </c>
      <c r="J68" s="119">
        <f t="shared" ref="J68:J86" si="38">J67-$K$4*U67</f>
        <v>-0.30591576099399465</v>
      </c>
      <c r="K68" s="119">
        <f t="shared" ref="K68:K86" si="39">K67-$K$4*V67</f>
        <v>-0.39070594576403772</v>
      </c>
      <c r="L68" s="119">
        <f t="shared" ref="L68:L86" si="40">L67-$K$4*W67</f>
        <v>0.97494459162586045</v>
      </c>
      <c r="M68" s="119">
        <f t="shared" ref="M68:M86" si="41">M67-$K$4*X67</f>
        <v>0.76433986838246026</v>
      </c>
      <c r="N68" s="121">
        <f t="shared" si="22"/>
        <v>-0.51703090750927905</v>
      </c>
      <c r="O68" s="121">
        <f t="shared" si="23"/>
        <v>0.37354676850001184</v>
      </c>
      <c r="P68" s="122">
        <f t="shared" si="24"/>
        <v>0</v>
      </c>
      <c r="Q68" s="122">
        <f t="shared" si="25"/>
        <v>0.37354676850001184</v>
      </c>
      <c r="R68" s="123">
        <f t="shared" si="26"/>
        <v>0.13953718825680145</v>
      </c>
      <c r="T68" s="37">
        <f t="shared" si="27"/>
        <v>0.17482704499579094</v>
      </c>
      <c r="U68" s="37">
        <f t="shared" si="28"/>
        <v>0.78672170248105922</v>
      </c>
      <c r="V68" s="37">
        <f t="shared" si="29"/>
        <v>0.40210220349031911</v>
      </c>
      <c r="W68" s="37">
        <f t="shared" si="30"/>
        <v>0.22727515849452823</v>
      </c>
      <c r="X68" s="37">
        <f t="shared" si="31"/>
        <v>5.2448113498737278E-2</v>
      </c>
    </row>
    <row r="69" spans="1:24" ht="14.25" customHeight="1" thickBot="1" x14ac:dyDescent="0.3">
      <c r="A69" s="118"/>
      <c r="B69" s="119">
        <v>3</v>
      </c>
      <c r="C69" s="113">
        <f>IF($B69&lt;=10, INDEX(Data!$A:$A,40+$B69), INDEX(Data!$A:$A,80+$B69))</f>
        <v>4.4000000000000004</v>
      </c>
      <c r="D69" s="114">
        <f>IF($B69&lt;=10, INDEX(Data!$B:$B,40+$B69), INDEX(Data!$B:$B,80+$B69))</f>
        <v>3.2</v>
      </c>
      <c r="E69" s="114">
        <f>IF($B69&lt;=10, INDEX(Data!$C:$C,40+$B69), INDEX(Data!$C:$C,80+$B69))</f>
        <v>1.3</v>
      </c>
      <c r="F69" s="114">
        <f>IF($B69&lt;=10, INDEX(Data!$D:$D,40+$B69), INDEX(Data!$D:$D,80+$B69))</f>
        <v>0.2</v>
      </c>
      <c r="G69" s="114">
        <f>IF(INDEX(Data!$E:$E,IF($B69&lt;=10,40+$B69,80+$B69))="Iris-setosa",0,1)</f>
        <v>0</v>
      </c>
      <c r="H69" s="120">
        <f t="shared" si="21"/>
        <v>1</v>
      </c>
      <c r="I69" s="119">
        <f t="shared" si="37"/>
        <v>0.24400105809304792</v>
      </c>
      <c r="J69" s="119">
        <f t="shared" si="38"/>
        <v>-0.38458793124210056</v>
      </c>
      <c r="K69" s="119">
        <f t="shared" si="39"/>
        <v>-0.43091616611306965</v>
      </c>
      <c r="L69" s="119">
        <f t="shared" si="40"/>
        <v>0.95221707577640757</v>
      </c>
      <c r="M69" s="119">
        <f t="shared" si="41"/>
        <v>0.75909505703258651</v>
      </c>
      <c r="N69" s="121">
        <f t="shared" si="22"/>
        <v>-1.4374163610181707</v>
      </c>
      <c r="O69" s="121">
        <f t="shared" si="23"/>
        <v>0.19194575873523534</v>
      </c>
      <c r="P69" s="122">
        <f t="shared" si="24"/>
        <v>0</v>
      </c>
      <c r="Q69" s="122">
        <f t="shared" si="25"/>
        <v>0.19194575873523534</v>
      </c>
      <c r="R69" s="123">
        <f t="shared" si="26"/>
        <v>3.6843174296445173E-2</v>
      </c>
      <c r="T69" s="37">
        <f t="shared" si="27"/>
        <v>5.9542566503798966E-2</v>
      </c>
      <c r="U69" s="37">
        <f t="shared" si="28"/>
        <v>0.26198729261671549</v>
      </c>
      <c r="V69" s="37">
        <f t="shared" si="29"/>
        <v>0.19053621281215671</v>
      </c>
      <c r="W69" s="37">
        <f t="shared" si="30"/>
        <v>7.7405336454938661E-2</v>
      </c>
      <c r="X69" s="37">
        <f t="shared" si="31"/>
        <v>1.1908513300759795E-2</v>
      </c>
    </row>
    <row r="70" spans="1:24" ht="14.25" customHeight="1" thickBot="1" x14ac:dyDescent="0.3">
      <c r="A70" s="118"/>
      <c r="B70" s="119">
        <v>4</v>
      </c>
      <c r="C70" s="113">
        <f>IF($B70&lt;=10, INDEX(Data!$A:$A,40+$B70), INDEX(Data!$A:$A,80+$B70))</f>
        <v>5</v>
      </c>
      <c r="D70" s="114">
        <f>IF($B70&lt;=10, INDEX(Data!$B:$B,40+$B70), INDEX(Data!$B:$B,80+$B70))</f>
        <v>3.5</v>
      </c>
      <c r="E70" s="114">
        <f>IF($B70&lt;=10, INDEX(Data!$C:$C,40+$B70), INDEX(Data!$C:$C,80+$B70))</f>
        <v>1.6</v>
      </c>
      <c r="F70" s="114">
        <f>IF($B70&lt;=10, INDEX(Data!$D:$D,40+$B70), INDEX(Data!$D:$D,80+$B70))</f>
        <v>0.6</v>
      </c>
      <c r="G70" s="114">
        <f>IF(INDEX(Data!$E:$E,IF($B70&lt;=10,40+$B70,80+$B70))="Iris-setosa",0,1)</f>
        <v>0</v>
      </c>
      <c r="H70" s="120">
        <f t="shared" si="21"/>
        <v>1</v>
      </c>
      <c r="I70" s="119">
        <f t="shared" si="37"/>
        <v>0.23804680144266802</v>
      </c>
      <c r="J70" s="119">
        <f t="shared" si="38"/>
        <v>-0.41078666050377211</v>
      </c>
      <c r="K70" s="119">
        <f t="shared" si="39"/>
        <v>-0.44996978739428534</v>
      </c>
      <c r="L70" s="119">
        <f t="shared" si="40"/>
        <v>0.9444765421309137</v>
      </c>
      <c r="M70" s="119">
        <f t="shared" si="41"/>
        <v>0.75790420570251049</v>
      </c>
      <c r="N70" s="121">
        <f t="shared" si="22"/>
        <v>-1.4248757661252232</v>
      </c>
      <c r="O70" s="121">
        <f t="shared" si="23"/>
        <v>0.19389835506156483</v>
      </c>
      <c r="P70" s="122">
        <f t="shared" si="24"/>
        <v>0</v>
      </c>
      <c r="Q70" s="122">
        <f t="shared" si="25"/>
        <v>0.19389835506156483</v>
      </c>
      <c r="R70" s="123">
        <f t="shared" si="26"/>
        <v>3.7596572095580663E-2</v>
      </c>
      <c r="T70" s="37">
        <f t="shared" si="27"/>
        <v>6.0613317220588082E-2</v>
      </c>
      <c r="U70" s="37">
        <f t="shared" si="28"/>
        <v>0.30306658610294041</v>
      </c>
      <c r="V70" s="37">
        <f t="shared" si="29"/>
        <v>0.21214661027205828</v>
      </c>
      <c r="W70" s="37">
        <f t="shared" si="30"/>
        <v>9.6981307552940932E-2</v>
      </c>
      <c r="X70" s="37">
        <f t="shared" si="31"/>
        <v>3.6367990332352849E-2</v>
      </c>
    </row>
    <row r="71" spans="1:24" ht="14.25" customHeight="1" thickBot="1" x14ac:dyDescent="0.3">
      <c r="A71" s="118"/>
      <c r="B71" s="119">
        <v>5</v>
      </c>
      <c r="C71" s="113">
        <f>IF($B71&lt;=10, INDEX(Data!$A:$A,40+$B71), INDEX(Data!$A:$A,80+$B71))</f>
        <v>5.0999999999999996</v>
      </c>
      <c r="D71" s="114">
        <f>IF($B71&lt;=10, INDEX(Data!$B:$B,40+$B71), INDEX(Data!$B:$B,80+$B71))</f>
        <v>3.8</v>
      </c>
      <c r="E71" s="114">
        <f>IF($B71&lt;=10, INDEX(Data!$C:$C,40+$B71), INDEX(Data!$C:$C,80+$B71))</f>
        <v>1.9</v>
      </c>
      <c r="F71" s="114">
        <f>IF($B71&lt;=10, INDEX(Data!$D:$D,40+$B71), INDEX(Data!$D:$D,80+$B71))</f>
        <v>0.4</v>
      </c>
      <c r="G71" s="114">
        <f>IF(INDEX(Data!$E:$E,IF($B71&lt;=10,40+$B71,80+$B71))="Iris-setosa",0,1)</f>
        <v>0</v>
      </c>
      <c r="H71" s="120">
        <f t="shared" ref="H71:H102" si="42">IF(G71=P71, 1, 0)</f>
        <v>1</v>
      </c>
      <c r="I71" s="119">
        <f t="shared" si="37"/>
        <v>0.23198546972060921</v>
      </c>
      <c r="J71" s="119">
        <f t="shared" si="38"/>
        <v>-0.44109331911406613</v>
      </c>
      <c r="K71" s="119">
        <f t="shared" si="39"/>
        <v>-0.47118444842149115</v>
      </c>
      <c r="L71" s="119">
        <f t="shared" si="40"/>
        <v>0.93477841137561957</v>
      </c>
      <c r="M71" s="119">
        <f t="shared" si="41"/>
        <v>0.75426740666927516</v>
      </c>
      <c r="N71" s="121">
        <f t="shared" ref="N71:N102" si="43">I71+J71*C71+K71*D71+L71*E71+F71*M71</f>
        <v>-1.730305417481407</v>
      </c>
      <c r="O71" s="121">
        <f t="shared" ref="O71:O102" si="44">1/(1+EXP(-N71))</f>
        <v>0.15054851767129948</v>
      </c>
      <c r="P71" s="122">
        <f t="shared" ref="P71:P102" si="45">IF(O71&gt;0.5,1,0)</f>
        <v>0</v>
      </c>
      <c r="Q71" s="122">
        <f t="shared" ref="Q71:Q106" si="46">O71-G71</f>
        <v>0.15054851767129948</v>
      </c>
      <c r="R71" s="123">
        <f t="shared" ref="R71:R102" si="47">Q71^2</f>
        <v>2.2664856173025574E-2</v>
      </c>
      <c r="T71" s="37">
        <f t="shared" ref="T71:T106" si="48">2*(O71-G71)*(1-O71)*O71</f>
        <v>3.8505391345886743E-2</v>
      </c>
      <c r="U71" s="37">
        <f t="shared" ref="U71:U106" si="49">2*(O71-G71)*(1-O71)*O71*C71</f>
        <v>0.19637749586402237</v>
      </c>
      <c r="V71" s="37">
        <f t="shared" ref="V71:V106" si="50">2*(O71-G71)*(1-O71)*O71*D71</f>
        <v>0.14632048711436962</v>
      </c>
      <c r="W71" s="37">
        <f t="shared" ref="W71:W106" si="51">2*(O71-G71)*(1-O71)*O71*E71</f>
        <v>7.3160243557184812E-2</v>
      </c>
      <c r="X71" s="37">
        <f t="shared" ref="X71:X106" si="52">2*(O71-G71)*(1-O71)*O71*F71</f>
        <v>1.5402156538354698E-2</v>
      </c>
    </row>
    <row r="72" spans="1:24" ht="14.25" customHeight="1" thickBot="1" x14ac:dyDescent="0.3">
      <c r="A72" s="118"/>
      <c r="B72" s="119">
        <v>6</v>
      </c>
      <c r="C72" s="113">
        <f>IF($B72&lt;=10, INDEX(Data!$A:$A,40+$B72), INDEX(Data!$A:$A,80+$B72))</f>
        <v>4.8</v>
      </c>
      <c r="D72" s="114">
        <f>IF($B72&lt;=10, INDEX(Data!$B:$B,40+$B72), INDEX(Data!$B:$B,80+$B72))</f>
        <v>3</v>
      </c>
      <c r="E72" s="114">
        <f>IF($B72&lt;=10, INDEX(Data!$C:$C,40+$B72), INDEX(Data!$C:$C,80+$B72))</f>
        <v>1.4</v>
      </c>
      <c r="F72" s="114">
        <f>IF($B72&lt;=10, INDEX(Data!$D:$D,40+$B72), INDEX(Data!$D:$D,80+$B72))</f>
        <v>0.3</v>
      </c>
      <c r="G72" s="114">
        <f>IF(INDEX(Data!$E:$E,IF($B72&lt;=10,40+$B72,80+$B72))="Iris-setosa",0,1)</f>
        <v>0</v>
      </c>
      <c r="H72" s="120">
        <f t="shared" si="42"/>
        <v>1</v>
      </c>
      <c r="I72" s="119">
        <f t="shared" si="37"/>
        <v>0.22813493058602052</v>
      </c>
      <c r="J72" s="119">
        <f t="shared" si="38"/>
        <v>-0.46073106870046837</v>
      </c>
      <c r="K72" s="119">
        <f t="shared" si="39"/>
        <v>-0.48581649713292813</v>
      </c>
      <c r="L72" s="119">
        <f t="shared" si="40"/>
        <v>0.92746238701990114</v>
      </c>
      <c r="M72" s="119">
        <f t="shared" si="41"/>
        <v>0.75272719101543972</v>
      </c>
      <c r="N72" s="121">
        <f t="shared" si="43"/>
        <v>-1.9165581914425185</v>
      </c>
      <c r="O72" s="121">
        <f t="shared" si="44"/>
        <v>0.12824586451017184</v>
      </c>
      <c r="P72" s="122">
        <f t="shared" si="45"/>
        <v>0</v>
      </c>
      <c r="Q72" s="122">
        <f t="shared" si="46"/>
        <v>0.12824586451017184</v>
      </c>
      <c r="R72" s="123">
        <f t="shared" si="47"/>
        <v>1.6447001763961352E-2</v>
      </c>
      <c r="T72" s="37">
        <f t="shared" si="48"/>
        <v>2.8675483608283613E-2</v>
      </c>
      <c r="U72" s="37">
        <f t="shared" si="49"/>
        <v>0.13764232131976134</v>
      </c>
      <c r="V72" s="37">
        <f t="shared" si="50"/>
        <v>8.6026450824850831E-2</v>
      </c>
      <c r="W72" s="37">
        <f t="shared" si="51"/>
        <v>4.0145677051597058E-2</v>
      </c>
      <c r="X72" s="37">
        <f t="shared" si="52"/>
        <v>8.6026450824850838E-3</v>
      </c>
    </row>
    <row r="73" spans="1:24" ht="14.25" customHeight="1" thickBot="1" x14ac:dyDescent="0.3">
      <c r="A73" s="118"/>
      <c r="B73" s="119">
        <v>7</v>
      </c>
      <c r="C73" s="113">
        <f>IF($B73&lt;=10, INDEX(Data!$A:$A,40+$B73), INDEX(Data!$A:$A,80+$B73))</f>
        <v>5.0999999999999996</v>
      </c>
      <c r="D73" s="114">
        <f>IF($B73&lt;=10, INDEX(Data!$B:$B,40+$B73), INDEX(Data!$B:$B,80+$B73))</f>
        <v>3.8</v>
      </c>
      <c r="E73" s="114">
        <f>IF($B73&lt;=10, INDEX(Data!$C:$C,40+$B73), INDEX(Data!$C:$C,80+$B73))</f>
        <v>1.6</v>
      </c>
      <c r="F73" s="114">
        <f>IF($B73&lt;=10, INDEX(Data!$D:$D,40+$B73), INDEX(Data!$D:$D,80+$B73))</f>
        <v>0.2</v>
      </c>
      <c r="G73" s="114">
        <f>IF(INDEX(Data!$E:$E,IF($B73&lt;=10,40+$B73,80+$B73))="Iris-setosa",0,1)</f>
        <v>0</v>
      </c>
      <c r="H73" s="120">
        <f t="shared" si="42"/>
        <v>1</v>
      </c>
      <c r="I73" s="119">
        <f t="shared" si="37"/>
        <v>0.22526738222519216</v>
      </c>
      <c r="J73" s="119">
        <f t="shared" si="38"/>
        <v>-0.47449530083244451</v>
      </c>
      <c r="K73" s="119">
        <f t="shared" si="39"/>
        <v>-0.49441914221541322</v>
      </c>
      <c r="L73" s="119">
        <f t="shared" si="40"/>
        <v>0.9234478193147414</v>
      </c>
      <c r="M73" s="119">
        <f t="shared" si="41"/>
        <v>0.75186692650719122</v>
      </c>
      <c r="N73" s="121">
        <f t="shared" si="43"/>
        <v>-2.4455614962338195</v>
      </c>
      <c r="O73" s="121">
        <f t="shared" si="44"/>
        <v>7.9763734859124108E-2</v>
      </c>
      <c r="P73" s="122">
        <f t="shared" si="45"/>
        <v>0</v>
      </c>
      <c r="Q73" s="122">
        <f t="shared" si="46"/>
        <v>7.9763734859124108E-2</v>
      </c>
      <c r="R73" s="123">
        <f t="shared" si="47"/>
        <v>6.3622533986766507E-3</v>
      </c>
      <c r="T73" s="37">
        <f t="shared" si="48"/>
        <v>1.1709552610956088E-2</v>
      </c>
      <c r="U73" s="37">
        <f t="shared" si="49"/>
        <v>5.9718718315876045E-2</v>
      </c>
      <c r="V73" s="37">
        <f t="shared" si="50"/>
        <v>4.4496299921633134E-2</v>
      </c>
      <c r="W73" s="37">
        <f t="shared" si="51"/>
        <v>1.8735284177529742E-2</v>
      </c>
      <c r="X73" s="37">
        <f t="shared" si="52"/>
        <v>2.3419105221912178E-3</v>
      </c>
    </row>
    <row r="74" spans="1:24" ht="14.25" customHeight="1" thickBot="1" x14ac:dyDescent="0.3">
      <c r="A74" s="118"/>
      <c r="B74" s="119">
        <v>8</v>
      </c>
      <c r="C74" s="113">
        <f>IF($B74&lt;=10, INDEX(Data!$A:$A,40+$B74), INDEX(Data!$A:$A,80+$B74))</f>
        <v>4.5999999999999996</v>
      </c>
      <c r="D74" s="114">
        <f>IF($B74&lt;=10, INDEX(Data!$B:$B,40+$B74), INDEX(Data!$B:$B,80+$B74))</f>
        <v>3.2</v>
      </c>
      <c r="E74" s="114">
        <f>IF($B74&lt;=10, INDEX(Data!$C:$C,40+$B74), INDEX(Data!$C:$C,80+$B74))</f>
        <v>1.4</v>
      </c>
      <c r="F74" s="114">
        <f>IF($B74&lt;=10, INDEX(Data!$D:$D,40+$B74), INDEX(Data!$D:$D,80+$B74))</f>
        <v>0.2</v>
      </c>
      <c r="G74" s="114">
        <f>IF(INDEX(Data!$E:$E,IF($B74&lt;=10,40+$B74,80+$B74))="Iris-setosa",0,1)</f>
        <v>0</v>
      </c>
      <c r="H74" s="120">
        <f t="shared" si="42"/>
        <v>1</v>
      </c>
      <c r="I74" s="119">
        <f t="shared" si="37"/>
        <v>0.22409642696409654</v>
      </c>
      <c r="J74" s="119">
        <f t="shared" si="38"/>
        <v>-0.48046717266403211</v>
      </c>
      <c r="K74" s="119">
        <f t="shared" si="39"/>
        <v>-0.49886877220757653</v>
      </c>
      <c r="L74" s="119">
        <f t="shared" si="40"/>
        <v>0.92157429089698839</v>
      </c>
      <c r="M74" s="119">
        <f t="shared" si="41"/>
        <v>0.75163273545497211</v>
      </c>
      <c r="N74" s="121">
        <f t="shared" si="43"/>
        <v>-2.1419020840079179</v>
      </c>
      <c r="O74" s="121">
        <f t="shared" si="44"/>
        <v>0.10509037098173764</v>
      </c>
      <c r="P74" s="122">
        <f t="shared" si="45"/>
        <v>0</v>
      </c>
      <c r="Q74" s="122">
        <f t="shared" si="46"/>
        <v>0.10509037098173764</v>
      </c>
      <c r="R74" s="123">
        <f t="shared" si="47"/>
        <v>1.1043986073079244E-2</v>
      </c>
      <c r="T74" s="37">
        <f t="shared" si="48"/>
        <v>1.9766738959084405E-2</v>
      </c>
      <c r="U74" s="37">
        <f t="shared" si="49"/>
        <v>9.0926999211788248E-2</v>
      </c>
      <c r="V74" s="37">
        <f t="shared" si="50"/>
        <v>6.3253564669070103E-2</v>
      </c>
      <c r="W74" s="37">
        <f t="shared" si="51"/>
        <v>2.7673434542718166E-2</v>
      </c>
      <c r="X74" s="37">
        <f t="shared" si="52"/>
        <v>3.9533477918168814E-3</v>
      </c>
    </row>
    <row r="75" spans="1:24" ht="14.25" customHeight="1" thickBot="1" x14ac:dyDescent="0.3">
      <c r="A75" s="118"/>
      <c r="B75" s="119">
        <v>9</v>
      </c>
      <c r="C75" s="113">
        <f>IF($B75&lt;=10, INDEX(Data!$A:$A,40+$B75), INDEX(Data!$A:$A,80+$B75))</f>
        <v>5.3</v>
      </c>
      <c r="D75" s="114">
        <f>IF($B75&lt;=10, INDEX(Data!$B:$B,40+$B75), INDEX(Data!$B:$B,80+$B75))</f>
        <v>3.7</v>
      </c>
      <c r="E75" s="114">
        <f>IF($B75&lt;=10, INDEX(Data!$C:$C,40+$B75), INDEX(Data!$C:$C,80+$B75))</f>
        <v>1.5</v>
      </c>
      <c r="F75" s="114">
        <f>IF($B75&lt;=10, INDEX(Data!$D:$D,40+$B75), INDEX(Data!$D:$D,80+$B75))</f>
        <v>0.2</v>
      </c>
      <c r="G75" s="114">
        <f>IF(INDEX(Data!$E:$E,IF($B75&lt;=10,40+$B75,80+$B75))="Iris-setosa",0,1)</f>
        <v>0</v>
      </c>
      <c r="H75" s="120">
        <f t="shared" si="42"/>
        <v>1</v>
      </c>
      <c r="I75" s="119">
        <f t="shared" si="37"/>
        <v>0.2221197530681881</v>
      </c>
      <c r="J75" s="119">
        <f t="shared" si="38"/>
        <v>-0.48955987258521094</v>
      </c>
      <c r="K75" s="119">
        <f t="shared" si="39"/>
        <v>-0.50519412867448354</v>
      </c>
      <c r="L75" s="119">
        <f t="shared" si="40"/>
        <v>0.91880694744271663</v>
      </c>
      <c r="M75" s="119">
        <f t="shared" si="41"/>
        <v>0.75123740067579048</v>
      </c>
      <c r="N75" s="121">
        <f t="shared" si="43"/>
        <v>-2.7133079464297856</v>
      </c>
      <c r="O75" s="121">
        <f t="shared" si="44"/>
        <v>6.2192636709355244E-2</v>
      </c>
      <c r="P75" s="122">
        <f t="shared" si="45"/>
        <v>0</v>
      </c>
      <c r="Q75" s="122">
        <f t="shared" si="46"/>
        <v>6.2192636709355244E-2</v>
      </c>
      <c r="R75" s="123">
        <f t="shared" si="47"/>
        <v>3.8679240608618416E-3</v>
      </c>
      <c r="T75" s="37">
        <f t="shared" si="48"/>
        <v>7.2547353298505731E-3</v>
      </c>
      <c r="U75" s="37">
        <f t="shared" si="49"/>
        <v>3.8450097248208033E-2</v>
      </c>
      <c r="V75" s="37">
        <f t="shared" si="50"/>
        <v>2.684252072044712E-2</v>
      </c>
      <c r="W75" s="37">
        <f t="shared" si="51"/>
        <v>1.088210299477586E-2</v>
      </c>
      <c r="X75" s="37">
        <f t="shared" si="52"/>
        <v>1.4509470659701147E-3</v>
      </c>
    </row>
    <row r="76" spans="1:24" ht="14.25" customHeight="1" thickBot="1" x14ac:dyDescent="0.3">
      <c r="A76" s="118"/>
      <c r="B76" s="119">
        <v>10</v>
      </c>
      <c r="C76" s="113">
        <f>IF($B76&lt;=10, INDEX(Data!$A:$A,40+$B76), INDEX(Data!$A:$A,80+$B76))</f>
        <v>5</v>
      </c>
      <c r="D76" s="114">
        <f>IF($B76&lt;=10, INDEX(Data!$B:$B,40+$B76), INDEX(Data!$B:$B,80+$B76))</f>
        <v>3.3</v>
      </c>
      <c r="E76" s="114">
        <f>IF($B76&lt;=10, INDEX(Data!$C:$C,40+$B76), INDEX(Data!$C:$C,80+$B76))</f>
        <v>1.4</v>
      </c>
      <c r="F76" s="114">
        <f>IF($B76&lt;=10, INDEX(Data!$D:$D,40+$B76), INDEX(Data!$D:$D,80+$B76))</f>
        <v>0.2</v>
      </c>
      <c r="G76" s="114">
        <f>IF(INDEX(Data!$E:$E,IF($B76&lt;=10,40+$B76,80+$B76))="Iris-setosa",0,1)</f>
        <v>0</v>
      </c>
      <c r="H76" s="120">
        <f t="shared" si="42"/>
        <v>1</v>
      </c>
      <c r="I76" s="119">
        <f t="shared" si="37"/>
        <v>0.22139427953520305</v>
      </c>
      <c r="J76" s="119">
        <f t="shared" si="38"/>
        <v>-0.49340488231003177</v>
      </c>
      <c r="K76" s="119">
        <f t="shared" si="39"/>
        <v>-0.50787838074652825</v>
      </c>
      <c r="L76" s="119">
        <f t="shared" si="40"/>
        <v>0.91771873714323904</v>
      </c>
      <c r="M76" s="119">
        <f t="shared" si="41"/>
        <v>0.75109230596919352</v>
      </c>
      <c r="N76" s="121">
        <f t="shared" si="43"/>
        <v>-2.4866040952841248</v>
      </c>
      <c r="O76" s="121">
        <f t="shared" si="44"/>
        <v>7.6802634773247294E-2</v>
      </c>
      <c r="P76" s="122">
        <f t="shared" si="45"/>
        <v>0</v>
      </c>
      <c r="Q76" s="122">
        <f t="shared" si="46"/>
        <v>7.6802634773247294E-2</v>
      </c>
      <c r="R76" s="123">
        <f t="shared" si="47"/>
        <v>5.8986447081128147E-3</v>
      </c>
      <c r="T76" s="37">
        <f t="shared" si="48"/>
        <v>1.0891226505876957E-2</v>
      </c>
      <c r="U76" s="37">
        <f t="shared" si="49"/>
        <v>5.4456132529384783E-2</v>
      </c>
      <c r="V76" s="37">
        <f t="shared" si="50"/>
        <v>3.5941047469393958E-2</v>
      </c>
      <c r="W76" s="37">
        <f t="shared" si="51"/>
        <v>1.5247717108227738E-2</v>
      </c>
      <c r="X76" s="37">
        <f t="shared" si="52"/>
        <v>2.1782453011753916E-3</v>
      </c>
    </row>
    <row r="77" spans="1:24" ht="14.25" customHeight="1" thickBot="1" x14ac:dyDescent="0.3">
      <c r="A77" s="118"/>
      <c r="B77" s="119">
        <v>11</v>
      </c>
      <c r="C77" s="113">
        <f>IF($B77&lt;=10, INDEX(Data!$A:$A,40+$B77), INDEX(Data!$A:$A,80+$B77))</f>
        <v>5.5</v>
      </c>
      <c r="D77" s="114">
        <f>IF($B77&lt;=10, INDEX(Data!$B:$B,40+$B77), INDEX(Data!$B:$B,80+$B77))</f>
        <v>2.6</v>
      </c>
      <c r="E77" s="114">
        <f>IF($B77&lt;=10, INDEX(Data!$C:$C,40+$B77), INDEX(Data!$C:$C,80+$B77))</f>
        <v>4.4000000000000004</v>
      </c>
      <c r="F77" s="114">
        <f>IF($B77&lt;=10, INDEX(Data!$D:$D,40+$B77), INDEX(Data!$D:$D,80+$B77))</f>
        <v>1.2</v>
      </c>
      <c r="G77" s="114">
        <f>IF(INDEX(Data!$E:$E,IF($B77&lt;=10,40+$B77,80+$B77))="Iris-setosa",0,1)</f>
        <v>1</v>
      </c>
      <c r="H77" s="120">
        <f t="shared" si="42"/>
        <v>1</v>
      </c>
      <c r="I77" s="119">
        <f t="shared" si="37"/>
        <v>0.22030515688461536</v>
      </c>
      <c r="J77" s="119">
        <f t="shared" si="38"/>
        <v>-0.49885049556297023</v>
      </c>
      <c r="K77" s="119">
        <f t="shared" si="39"/>
        <v>-0.51147248549346769</v>
      </c>
      <c r="L77" s="119">
        <f t="shared" si="40"/>
        <v>0.91619396543241627</v>
      </c>
      <c r="M77" s="119">
        <f t="shared" si="41"/>
        <v>0.75087448143907598</v>
      </c>
      <c r="N77" s="121">
        <f t="shared" si="43"/>
        <v>1.0791017946347861</v>
      </c>
      <c r="O77" s="121">
        <f t="shared" si="44"/>
        <v>0.74632396868088202</v>
      </c>
      <c r="P77" s="122">
        <f t="shared" si="45"/>
        <v>1</v>
      </c>
      <c r="Q77" s="122">
        <f t="shared" si="46"/>
        <v>-0.25367603131911798</v>
      </c>
      <c r="R77" s="123">
        <f t="shared" si="47"/>
        <v>6.4351528865818131E-2</v>
      </c>
      <c r="T77" s="37">
        <f t="shared" si="48"/>
        <v>-9.6054176827639448E-2</v>
      </c>
      <c r="U77" s="37">
        <f t="shared" si="49"/>
        <v>-0.52829797255201694</v>
      </c>
      <c r="V77" s="37">
        <f t="shared" si="50"/>
        <v>-0.24974085975186258</v>
      </c>
      <c r="W77" s="37">
        <f t="shared" si="51"/>
        <v>-0.42263837804161358</v>
      </c>
      <c r="X77" s="37">
        <f t="shared" si="52"/>
        <v>-0.11526501219316733</v>
      </c>
    </row>
    <row r="78" spans="1:24" ht="14.25" customHeight="1" thickBot="1" x14ac:dyDescent="0.3">
      <c r="A78" s="118"/>
      <c r="B78" s="119">
        <v>12</v>
      </c>
      <c r="C78" s="113">
        <f>IF($B78&lt;=10, INDEX(Data!$A:$A,40+$B78), INDEX(Data!$A:$A,80+$B78))</f>
        <v>6.1</v>
      </c>
      <c r="D78" s="114">
        <f>IF($B78&lt;=10, INDEX(Data!$B:$B,40+$B78), INDEX(Data!$B:$B,80+$B78))</f>
        <v>3</v>
      </c>
      <c r="E78" s="114">
        <f>IF($B78&lt;=10, INDEX(Data!$C:$C,40+$B78), INDEX(Data!$C:$C,80+$B78))</f>
        <v>4.5999999999999996</v>
      </c>
      <c r="F78" s="114">
        <f>IF($B78&lt;=10, INDEX(Data!$D:$D,40+$B78), INDEX(Data!$D:$D,80+$B78))</f>
        <v>1.4</v>
      </c>
      <c r="G78" s="114">
        <f>IF(INDEX(Data!$E:$E,IF($B78&lt;=10,40+$B78,80+$B78))="Iris-setosa",0,1)</f>
        <v>1</v>
      </c>
      <c r="H78" s="120">
        <f t="shared" si="42"/>
        <v>1</v>
      </c>
      <c r="I78" s="119">
        <f t="shared" si="37"/>
        <v>0.22991057456737929</v>
      </c>
      <c r="J78" s="119">
        <f t="shared" si="38"/>
        <v>-0.44602069830776853</v>
      </c>
      <c r="K78" s="119">
        <f t="shared" si="39"/>
        <v>-0.48649839951828144</v>
      </c>
      <c r="L78" s="119">
        <f t="shared" si="40"/>
        <v>0.95845780323657759</v>
      </c>
      <c r="M78" s="119">
        <f t="shared" si="41"/>
        <v>0.76240098265839273</v>
      </c>
      <c r="N78" s="121">
        <f t="shared" si="43"/>
        <v>1.5259563869451531</v>
      </c>
      <c r="O78" s="121">
        <f t="shared" si="44"/>
        <v>0.82141391483129267</v>
      </c>
      <c r="P78" s="122">
        <f t="shared" si="45"/>
        <v>1</v>
      </c>
      <c r="Q78" s="122">
        <f t="shared" si="46"/>
        <v>-0.17858608516870733</v>
      </c>
      <c r="R78" s="123">
        <f t="shared" si="47"/>
        <v>3.1892989815884787E-2</v>
      </c>
      <c r="T78" s="37">
        <f t="shared" si="48"/>
        <v>-5.2394691240680941E-2</v>
      </c>
      <c r="U78" s="37">
        <f t="shared" si="49"/>
        <v>-0.31960761656815373</v>
      </c>
      <c r="V78" s="37">
        <f t="shared" si="50"/>
        <v>-0.15718407372204282</v>
      </c>
      <c r="W78" s="37">
        <f t="shared" si="51"/>
        <v>-0.2410155797071323</v>
      </c>
      <c r="X78" s="37">
        <f t="shared" si="52"/>
        <v>-7.3352567736953311E-2</v>
      </c>
    </row>
    <row r="79" spans="1:24" ht="14.25" customHeight="1" thickBot="1" x14ac:dyDescent="0.3">
      <c r="A79" s="118"/>
      <c r="B79" s="119">
        <v>13</v>
      </c>
      <c r="C79" s="113">
        <f>IF($B79&lt;=10, INDEX(Data!$A:$A,40+$B79), INDEX(Data!$A:$A,80+$B79))</f>
        <v>5.8</v>
      </c>
      <c r="D79" s="114">
        <f>IF($B79&lt;=10, INDEX(Data!$B:$B,40+$B79), INDEX(Data!$B:$B,80+$B79))</f>
        <v>2.6</v>
      </c>
      <c r="E79" s="114">
        <f>IF($B79&lt;=10, INDEX(Data!$C:$C,40+$B79), INDEX(Data!$C:$C,80+$B79))</f>
        <v>4</v>
      </c>
      <c r="F79" s="114">
        <f>IF($B79&lt;=10, INDEX(Data!$D:$D,40+$B79), INDEX(Data!$D:$D,80+$B79))</f>
        <v>1.2</v>
      </c>
      <c r="G79" s="114">
        <f>IF(INDEX(Data!$E:$E,IF($B79&lt;=10,40+$B79,80+$B79))="Iris-setosa",0,1)</f>
        <v>1</v>
      </c>
      <c r="H79" s="120">
        <f t="shared" si="42"/>
        <v>1</v>
      </c>
      <c r="I79" s="119">
        <f t="shared" si="37"/>
        <v>0.23515004369144737</v>
      </c>
      <c r="J79" s="119">
        <f t="shared" si="38"/>
        <v>-0.41405993665095314</v>
      </c>
      <c r="K79" s="119">
        <f t="shared" si="39"/>
        <v>-0.47077999214607719</v>
      </c>
      <c r="L79" s="119">
        <f t="shared" si="40"/>
        <v>0.98255936120729082</v>
      </c>
      <c r="M79" s="119">
        <f t="shared" si="41"/>
        <v>0.76973623943208802</v>
      </c>
      <c r="N79" s="121">
        <f t="shared" si="43"/>
        <v>1.4634953636837871</v>
      </c>
      <c r="O79" s="121">
        <f t="shared" si="44"/>
        <v>0.81206669949370669</v>
      </c>
      <c r="P79" s="122">
        <f t="shared" si="45"/>
        <v>1</v>
      </c>
      <c r="Q79" s="122">
        <f t="shared" si="46"/>
        <v>-0.18793330050629331</v>
      </c>
      <c r="R79" s="123">
        <f t="shared" si="47"/>
        <v>3.5318925439188749E-2</v>
      </c>
      <c r="T79" s="37">
        <f t="shared" si="48"/>
        <v>-5.7362646422132645E-2</v>
      </c>
      <c r="U79" s="37">
        <f t="shared" si="49"/>
        <v>-0.33270334924836931</v>
      </c>
      <c r="V79" s="37">
        <f t="shared" si="50"/>
        <v>-0.14914288069754489</v>
      </c>
      <c r="W79" s="37">
        <f t="shared" si="51"/>
        <v>-0.22945058568853058</v>
      </c>
      <c r="X79" s="37">
        <f t="shared" si="52"/>
        <v>-6.8835175706559171E-2</v>
      </c>
    </row>
    <row r="80" spans="1:24" ht="14.25" customHeight="1" thickBot="1" x14ac:dyDescent="0.3">
      <c r="A80" s="118"/>
      <c r="B80" s="119">
        <v>14</v>
      </c>
      <c r="C80" s="113">
        <f>IF($B80&lt;=10, INDEX(Data!$A:$A,40+$B80), INDEX(Data!$A:$A,80+$B80))</f>
        <v>5</v>
      </c>
      <c r="D80" s="114">
        <f>IF($B80&lt;=10, INDEX(Data!$B:$B,40+$B80), INDEX(Data!$B:$B,80+$B80))</f>
        <v>2.2999999999999998</v>
      </c>
      <c r="E80" s="114">
        <f>IF($B80&lt;=10, INDEX(Data!$C:$C,40+$B80), INDEX(Data!$C:$C,80+$B80))</f>
        <v>3.3</v>
      </c>
      <c r="F80" s="114">
        <f>IF($B80&lt;=10, INDEX(Data!$D:$D,40+$B80), INDEX(Data!$D:$D,80+$B80))</f>
        <v>1</v>
      </c>
      <c r="G80" s="114">
        <f>IF(INDEX(Data!$E:$E,IF($B80&lt;=10,40+$B80,80+$B80))="Iris-setosa",0,1)</f>
        <v>1</v>
      </c>
      <c r="H80" s="120">
        <f t="shared" si="42"/>
        <v>1</v>
      </c>
      <c r="I80" s="119">
        <f t="shared" si="37"/>
        <v>0.24088630833366065</v>
      </c>
      <c r="J80" s="119">
        <f t="shared" si="38"/>
        <v>-0.3807896017261162</v>
      </c>
      <c r="K80" s="119">
        <f t="shared" si="39"/>
        <v>-0.45586570407632271</v>
      </c>
      <c r="L80" s="119">
        <f t="shared" si="40"/>
        <v>1.0055044197761438</v>
      </c>
      <c r="M80" s="119">
        <f t="shared" si="41"/>
        <v>0.77661975700274399</v>
      </c>
      <c r="N80" s="121">
        <f t="shared" si="43"/>
        <v>1.3832315225915559</v>
      </c>
      <c r="O80" s="121">
        <f t="shared" si="44"/>
        <v>0.7995094955181099</v>
      </c>
      <c r="P80" s="122">
        <f t="shared" si="45"/>
        <v>1</v>
      </c>
      <c r="Q80" s="122">
        <f t="shared" si="46"/>
        <v>-0.2004905044818901</v>
      </c>
      <c r="R80" s="123">
        <f t="shared" si="47"/>
        <v>4.0196442387402796E-2</v>
      </c>
      <c r="T80" s="37">
        <f t="shared" si="48"/>
        <v>-6.4274874749550362E-2</v>
      </c>
      <c r="U80" s="37">
        <f t="shared" si="49"/>
        <v>-0.3213743737477518</v>
      </c>
      <c r="V80" s="37">
        <f t="shared" si="50"/>
        <v>-0.14783221192396581</v>
      </c>
      <c r="W80" s="37">
        <f t="shared" si="51"/>
        <v>-0.21210708667351619</v>
      </c>
      <c r="X80" s="37">
        <f t="shared" si="52"/>
        <v>-6.4274874749550362E-2</v>
      </c>
    </row>
    <row r="81" spans="1:24" ht="14.25" customHeight="1" thickBot="1" x14ac:dyDescent="0.3">
      <c r="A81" s="118"/>
      <c r="B81" s="119">
        <v>15</v>
      </c>
      <c r="C81" s="113">
        <f>IF($B81&lt;=10, INDEX(Data!$A:$A,40+$B81), INDEX(Data!$A:$A,80+$B81))</f>
        <v>5.6</v>
      </c>
      <c r="D81" s="114">
        <f>IF($B81&lt;=10, INDEX(Data!$B:$B,40+$B81), INDEX(Data!$B:$B,80+$B81))</f>
        <v>2.7</v>
      </c>
      <c r="E81" s="114">
        <f>IF($B81&lt;=10, INDEX(Data!$C:$C,40+$B81), INDEX(Data!$C:$C,80+$B81))</f>
        <v>4.2</v>
      </c>
      <c r="F81" s="114">
        <f>IF($B81&lt;=10, INDEX(Data!$D:$D,40+$B81), INDEX(Data!$D:$D,80+$B81))</f>
        <v>1.3</v>
      </c>
      <c r="G81" s="114">
        <f>IF(INDEX(Data!$E:$E,IF($B81&lt;=10,40+$B81,80+$B81))="Iris-setosa",0,1)</f>
        <v>1</v>
      </c>
      <c r="H81" s="120">
        <f t="shared" si="42"/>
        <v>1</v>
      </c>
      <c r="I81" s="119">
        <f t="shared" si="37"/>
        <v>0.24731379580861568</v>
      </c>
      <c r="J81" s="119">
        <f t="shared" si="38"/>
        <v>-0.348652164351341</v>
      </c>
      <c r="K81" s="119">
        <f t="shared" si="39"/>
        <v>-0.44108248288392615</v>
      </c>
      <c r="L81" s="119">
        <f t="shared" si="40"/>
        <v>1.0267151284434954</v>
      </c>
      <c r="M81" s="119">
        <f t="shared" si="41"/>
        <v>0.78304724447769902</v>
      </c>
      <c r="N81" s="121">
        <f t="shared" si="43"/>
        <v>2.4341039289381952</v>
      </c>
      <c r="O81" s="121">
        <f t="shared" si="44"/>
        <v>0.91939120309529976</v>
      </c>
      <c r="P81" s="122">
        <f t="shared" si="45"/>
        <v>1</v>
      </c>
      <c r="Q81" s="122">
        <f t="shared" si="46"/>
        <v>-8.0608796904700242E-2</v>
      </c>
      <c r="R81" s="123">
        <f t="shared" si="47"/>
        <v>6.4977781384232113E-3</v>
      </c>
      <c r="T81" s="37">
        <f t="shared" si="48"/>
        <v>-1.1948000120262507E-2</v>
      </c>
      <c r="U81" s="37">
        <f t="shared" si="49"/>
        <v>-6.6908800673470034E-2</v>
      </c>
      <c r="V81" s="37">
        <f t="shared" si="50"/>
        <v>-3.2259600324708773E-2</v>
      </c>
      <c r="W81" s="37">
        <f t="shared" si="51"/>
        <v>-5.0181600505102529E-2</v>
      </c>
      <c r="X81" s="37">
        <f t="shared" si="52"/>
        <v>-1.5532400156341259E-2</v>
      </c>
    </row>
    <row r="82" spans="1:24" ht="14.25" customHeight="1" thickBot="1" x14ac:dyDescent="0.3">
      <c r="A82" s="118"/>
      <c r="B82" s="119">
        <v>16</v>
      </c>
      <c r="C82" s="113">
        <f>IF($B82&lt;=10, INDEX(Data!$A:$A,40+$B82), INDEX(Data!$A:$A,80+$B82))</f>
        <v>5.7</v>
      </c>
      <c r="D82" s="114">
        <f>IF($B82&lt;=10, INDEX(Data!$B:$B,40+$B82), INDEX(Data!$B:$B,80+$B82))</f>
        <v>3</v>
      </c>
      <c r="E82" s="114">
        <f>IF($B82&lt;=10, INDEX(Data!$C:$C,40+$B82), INDEX(Data!$C:$C,80+$B82))</f>
        <v>4.2</v>
      </c>
      <c r="F82" s="114">
        <f>IF($B82&lt;=10, INDEX(Data!$D:$D,40+$B82), INDEX(Data!$D:$D,80+$B82))</f>
        <v>1.2</v>
      </c>
      <c r="G82" s="114">
        <f>IF(INDEX(Data!$E:$E,IF($B82&lt;=10,40+$B82,80+$B82))="Iris-setosa",0,1)</f>
        <v>1</v>
      </c>
      <c r="H82" s="120">
        <f t="shared" si="42"/>
        <v>1</v>
      </c>
      <c r="I82" s="119">
        <f t="shared" si="37"/>
        <v>0.24850859582064194</v>
      </c>
      <c r="J82" s="119">
        <f t="shared" si="38"/>
        <v>-0.34196128428399397</v>
      </c>
      <c r="K82" s="119">
        <f t="shared" si="39"/>
        <v>-0.43785652285145527</v>
      </c>
      <c r="L82" s="119">
        <f t="shared" si="40"/>
        <v>1.0317332884940056</v>
      </c>
      <c r="M82" s="119">
        <f t="shared" si="41"/>
        <v>0.78460048449333319</v>
      </c>
      <c r="N82" s="121">
        <f t="shared" si="43"/>
        <v>2.2605600999143336</v>
      </c>
      <c r="O82" s="121">
        <f t="shared" si="44"/>
        <v>0.90555754340122641</v>
      </c>
      <c r="P82" s="122">
        <f t="shared" si="45"/>
        <v>1</v>
      </c>
      <c r="Q82" s="122">
        <f t="shared" si="46"/>
        <v>-9.4442456598773594E-2</v>
      </c>
      <c r="R82" s="123">
        <f t="shared" si="47"/>
        <v>8.9193776084112338E-3</v>
      </c>
      <c r="T82" s="37">
        <f t="shared" si="48"/>
        <v>-1.6154019351481565E-2</v>
      </c>
      <c r="U82" s="37">
        <f t="shared" si="49"/>
        <v>-9.2077910303444921E-2</v>
      </c>
      <c r="V82" s="37">
        <f t="shared" si="50"/>
        <v>-4.8462058054444694E-2</v>
      </c>
      <c r="W82" s="37">
        <f t="shared" si="51"/>
        <v>-6.784688127622257E-2</v>
      </c>
      <c r="X82" s="37">
        <f t="shared" si="52"/>
        <v>-1.9384823221777876E-2</v>
      </c>
    </row>
    <row r="83" spans="1:24" ht="14.25" customHeight="1" thickBot="1" x14ac:dyDescent="0.3">
      <c r="A83" s="118"/>
      <c r="B83" s="119">
        <v>17</v>
      </c>
      <c r="C83" s="113">
        <f>IF($B83&lt;=10, INDEX(Data!$A:$A,40+$B83), INDEX(Data!$A:$A,80+$B83))</f>
        <v>5.7</v>
      </c>
      <c r="D83" s="114">
        <f>IF($B83&lt;=10, INDEX(Data!$B:$B,40+$B83), INDEX(Data!$B:$B,80+$B83))</f>
        <v>2.9</v>
      </c>
      <c r="E83" s="114">
        <f>IF($B83&lt;=10, INDEX(Data!$C:$C,40+$B83), INDEX(Data!$C:$C,80+$B83))</f>
        <v>4.2</v>
      </c>
      <c r="F83" s="114">
        <f>IF($B83&lt;=10, INDEX(Data!$D:$D,40+$B83), INDEX(Data!$D:$D,80+$B83))</f>
        <v>1.3</v>
      </c>
      <c r="G83" s="114">
        <f>IF(INDEX(Data!$E:$E,IF($B83&lt;=10,40+$B83,80+$B83))="Iris-setosa",0,1)</f>
        <v>1</v>
      </c>
      <c r="H83" s="120">
        <f t="shared" si="42"/>
        <v>1</v>
      </c>
      <c r="I83" s="119">
        <f t="shared" si="37"/>
        <v>0.25012399775579008</v>
      </c>
      <c r="J83" s="119">
        <f t="shared" si="38"/>
        <v>-0.3327534932536495</v>
      </c>
      <c r="K83" s="119">
        <f t="shared" si="39"/>
        <v>-0.43301031704601078</v>
      </c>
      <c r="L83" s="119">
        <f t="shared" si="40"/>
        <v>1.0385179766216279</v>
      </c>
      <c r="M83" s="119">
        <f t="shared" si="41"/>
        <v>0.78653896681551094</v>
      </c>
      <c r="N83" s="121">
        <f t="shared" si="43"/>
        <v>2.4819753254475581</v>
      </c>
      <c r="O83" s="121">
        <f t="shared" si="44"/>
        <v>0.92286852340065217</v>
      </c>
      <c r="P83" s="122">
        <f t="shared" si="45"/>
        <v>1</v>
      </c>
      <c r="Q83" s="122">
        <f t="shared" si="46"/>
        <v>-7.7131476599347826E-2</v>
      </c>
      <c r="R83" s="123">
        <f t="shared" si="47"/>
        <v>5.9492646823957416E-3</v>
      </c>
      <c r="T83" s="37">
        <f t="shared" si="48"/>
        <v>-1.0980778225524415E-2</v>
      </c>
      <c r="U83" s="37">
        <f t="shared" si="49"/>
        <v>-6.2590435885489168E-2</v>
      </c>
      <c r="V83" s="37">
        <f t="shared" si="50"/>
        <v>-3.18442568540208E-2</v>
      </c>
      <c r="W83" s="37">
        <f t="shared" si="51"/>
        <v>-4.6119268547202545E-2</v>
      </c>
      <c r="X83" s="37">
        <f t="shared" si="52"/>
        <v>-1.427501169318174E-2</v>
      </c>
    </row>
    <row r="84" spans="1:24" ht="14.25" customHeight="1" thickBot="1" x14ac:dyDescent="0.3">
      <c r="A84" s="118"/>
      <c r="B84" s="119">
        <v>18</v>
      </c>
      <c r="C84" s="113">
        <f>IF($B84&lt;=10, INDEX(Data!$A:$A,40+$B84), INDEX(Data!$A:$A,80+$B84))</f>
        <v>6.2</v>
      </c>
      <c r="D84" s="114">
        <f>IF($B84&lt;=10, INDEX(Data!$B:$B,40+$B84), INDEX(Data!$B:$B,80+$B84))</f>
        <v>2.9</v>
      </c>
      <c r="E84" s="114">
        <f>IF($B84&lt;=10, INDEX(Data!$C:$C,40+$B84), INDEX(Data!$C:$C,80+$B84))</f>
        <v>4.3</v>
      </c>
      <c r="F84" s="114">
        <f>IF($B84&lt;=10, INDEX(Data!$D:$D,40+$B84), INDEX(Data!$D:$D,80+$B84))</f>
        <v>1.3</v>
      </c>
      <c r="G84" s="114">
        <f>IF(INDEX(Data!$E:$E,IF($B84&lt;=10,40+$B84,80+$B84))="Iris-setosa",0,1)</f>
        <v>1</v>
      </c>
      <c r="H84" s="120">
        <f t="shared" si="42"/>
        <v>1</v>
      </c>
      <c r="I84" s="119">
        <f t="shared" si="37"/>
        <v>0.25122207557834253</v>
      </c>
      <c r="J84" s="119">
        <f t="shared" si="38"/>
        <v>-0.32649444966510061</v>
      </c>
      <c r="K84" s="119">
        <f t="shared" si="39"/>
        <v>-0.42982589136060873</v>
      </c>
      <c r="L84" s="119">
        <f t="shared" si="40"/>
        <v>1.0431299034763482</v>
      </c>
      <c r="M84" s="119">
        <f t="shared" si="41"/>
        <v>0.78796646798482917</v>
      </c>
      <c r="N84" s="121">
        <f t="shared" si="43"/>
        <v>2.4902763960375287</v>
      </c>
      <c r="O84" s="121">
        <f t="shared" si="44"/>
        <v>0.9234573416792371</v>
      </c>
      <c r="P84" s="122">
        <f t="shared" si="45"/>
        <v>1</v>
      </c>
      <c r="Q84" s="122">
        <f t="shared" si="46"/>
        <v>-7.6542658320762902E-2</v>
      </c>
      <c r="R84" s="123">
        <f t="shared" si="47"/>
        <v>5.858778542809054E-3</v>
      </c>
      <c r="T84" s="37">
        <f t="shared" si="48"/>
        <v>-1.0820664117259607E-2</v>
      </c>
      <c r="U84" s="37">
        <f t="shared" si="49"/>
        <v>-6.7088117527009564E-2</v>
      </c>
      <c r="V84" s="37">
        <f t="shared" si="50"/>
        <v>-3.1379925940052858E-2</v>
      </c>
      <c r="W84" s="37">
        <f t="shared" si="51"/>
        <v>-4.6528855704216311E-2</v>
      </c>
      <c r="X84" s="37">
        <f t="shared" si="52"/>
        <v>-1.406686335243749E-2</v>
      </c>
    </row>
    <row r="85" spans="1:24" ht="14.25" customHeight="1" thickBot="1" x14ac:dyDescent="0.3">
      <c r="A85" s="118"/>
      <c r="B85" s="119">
        <v>19</v>
      </c>
      <c r="C85" s="113">
        <f>IF($B85&lt;=10, INDEX(Data!$A:$A,40+$B85), INDEX(Data!$A:$A,80+$B85))</f>
        <v>5.0999999999999996</v>
      </c>
      <c r="D85" s="114">
        <f>IF($B85&lt;=10, INDEX(Data!$B:$B,40+$B85), INDEX(Data!$B:$B,80+$B85))</f>
        <v>2.5</v>
      </c>
      <c r="E85" s="114">
        <f>IF($B85&lt;=10, INDEX(Data!$C:$C,40+$B85), INDEX(Data!$C:$C,80+$B85))</f>
        <v>3</v>
      </c>
      <c r="F85" s="114">
        <f>IF($B85&lt;=10, INDEX(Data!$D:$D,40+$B85), INDEX(Data!$D:$D,80+$B85))</f>
        <v>1.1000000000000001</v>
      </c>
      <c r="G85" s="114">
        <f>IF(INDEX(Data!$E:$E,IF($B85&lt;=10,40+$B85,80+$B85))="Iris-setosa",0,1)</f>
        <v>1</v>
      </c>
      <c r="H85" s="120">
        <f t="shared" si="42"/>
        <v>1</v>
      </c>
      <c r="I85" s="119">
        <f t="shared" si="37"/>
        <v>0.25230414199006851</v>
      </c>
      <c r="J85" s="119">
        <f t="shared" si="38"/>
        <v>-0.31978563791239967</v>
      </c>
      <c r="K85" s="119">
        <f t="shared" si="39"/>
        <v>-0.42668789876660346</v>
      </c>
      <c r="L85" s="119">
        <f t="shared" si="40"/>
        <v>1.0477827890467697</v>
      </c>
      <c r="M85" s="119">
        <f t="shared" si="41"/>
        <v>0.78937315432007293</v>
      </c>
      <c r="N85" s="121">
        <f t="shared" si="43"/>
        <v>1.5663364786127107</v>
      </c>
      <c r="O85" s="121">
        <f t="shared" si="44"/>
        <v>0.82726071700290826</v>
      </c>
      <c r="P85" s="122">
        <f t="shared" si="45"/>
        <v>1</v>
      </c>
      <c r="Q85" s="122">
        <f t="shared" si="46"/>
        <v>-0.17273928299709174</v>
      </c>
      <c r="R85" s="123">
        <f t="shared" si="47"/>
        <v>2.9838859890349345E-2</v>
      </c>
      <c r="T85" s="37">
        <f t="shared" si="48"/>
        <v>-4.9369033254879437E-2</v>
      </c>
      <c r="U85" s="37">
        <f t="shared" si="49"/>
        <v>-0.25178206959988508</v>
      </c>
      <c r="V85" s="37">
        <f t="shared" si="50"/>
        <v>-0.12342258313719859</v>
      </c>
      <c r="W85" s="37">
        <f t="shared" si="51"/>
        <v>-0.14810709976463832</v>
      </c>
      <c r="X85" s="37">
        <f t="shared" si="52"/>
        <v>-5.4305936580367385E-2</v>
      </c>
    </row>
    <row r="86" spans="1:24" ht="14.25" customHeight="1" thickBot="1" x14ac:dyDescent="0.3">
      <c r="A86" s="118"/>
      <c r="B86" s="119">
        <v>20</v>
      </c>
      <c r="C86" s="113">
        <f>IF($B86&lt;=10, INDEX(Data!$A:$A,40+$B86), INDEX(Data!$A:$A,80+$B86))</f>
        <v>5.7</v>
      </c>
      <c r="D86" s="114">
        <f>IF($B86&lt;=10, INDEX(Data!$B:$B,40+$B86), INDEX(Data!$B:$B,80+$B86))</f>
        <v>2.8</v>
      </c>
      <c r="E86" s="114">
        <f>IF($B86&lt;=10, INDEX(Data!$C:$C,40+$B86), INDEX(Data!$C:$C,80+$B86))</f>
        <v>4.0999999999999996</v>
      </c>
      <c r="F86" s="114">
        <f>IF($B86&lt;=10, INDEX(Data!$D:$D,40+$B86), INDEX(Data!$D:$D,80+$B86))</f>
        <v>1.3</v>
      </c>
      <c r="G86" s="114">
        <f>IF(INDEX(Data!$E:$E,IF($B86&lt;=10,40+$B86,80+$B86))="Iris-setosa",0,1)</f>
        <v>1</v>
      </c>
      <c r="H86" s="120">
        <f t="shared" si="42"/>
        <v>1</v>
      </c>
      <c r="I86" s="119">
        <f t="shared" si="37"/>
        <v>0.25724104531555647</v>
      </c>
      <c r="J86" s="119">
        <f t="shared" si="38"/>
        <v>-0.29460743095241115</v>
      </c>
      <c r="K86" s="119">
        <f t="shared" si="39"/>
        <v>-0.41434564045288358</v>
      </c>
      <c r="L86" s="119">
        <f t="shared" si="40"/>
        <v>1.0625934990232335</v>
      </c>
      <c r="M86" s="119">
        <f t="shared" si="41"/>
        <v>0.79480374797810971</v>
      </c>
      <c r="N86" s="121">
        <f t="shared" si="43"/>
        <v>2.8076891139855382</v>
      </c>
      <c r="O86" s="121">
        <f t="shared" si="44"/>
        <v>0.94308991779900797</v>
      </c>
      <c r="P86" s="122">
        <f t="shared" si="45"/>
        <v>1</v>
      </c>
      <c r="Q86" s="122">
        <f t="shared" si="46"/>
        <v>-5.6910082200992029E-2</v>
      </c>
      <c r="R86" s="123">
        <f t="shared" si="47"/>
        <v>3.2387574561236697E-3</v>
      </c>
      <c r="S86">
        <f>AVERAGE(R67:R86)</f>
        <v>3.4515482728347466E-2</v>
      </c>
      <c r="T86" s="37">
        <f t="shared" si="48"/>
        <v>-6.1088790061331914E-3</v>
      </c>
      <c r="U86" s="37">
        <f t="shared" si="49"/>
        <v>-3.4820610334959194E-2</v>
      </c>
      <c r="V86" s="37">
        <f t="shared" si="50"/>
        <v>-1.7104861217172935E-2</v>
      </c>
      <c r="W86" s="37">
        <f t="shared" si="51"/>
        <v>-2.5046403925146083E-2</v>
      </c>
      <c r="X86" s="37">
        <f t="shared" si="52"/>
        <v>-7.9415427079731499E-3</v>
      </c>
    </row>
    <row r="87" spans="1:24" ht="14.25" customHeight="1" thickBot="1" x14ac:dyDescent="0.3">
      <c r="A87" s="109" t="s">
        <v>36</v>
      </c>
      <c r="B87" s="117">
        <v>1</v>
      </c>
      <c r="C87" s="115">
        <f>IF($B87&lt;=10, INDEX(Data!$A:$A,40+$B87), INDEX(Data!$A:$A,80+$B87))</f>
        <v>5</v>
      </c>
      <c r="D87" s="116">
        <f>IF($B87&lt;=10, INDEX(Data!$B:$B,40+$B87), INDEX(Data!$B:$B,80+$B87))</f>
        <v>3.5</v>
      </c>
      <c r="E87" s="116">
        <f>IF($B87&lt;=10, INDEX(Data!$C:$C,40+$B87), INDEX(Data!$C:$C,80+$B87))</f>
        <v>1.3</v>
      </c>
      <c r="F87" s="116">
        <f>IF($B87&lt;=10, INDEX(Data!$D:$D,40+$B87), INDEX(Data!$D:$D,80+$B87))</f>
        <v>0.3</v>
      </c>
      <c r="G87" s="116">
        <f>IF(INDEX(Data!$E:$E,IF($B87&lt;=10,40+$B87,80+$B87))="Iris-setosa",0,1)</f>
        <v>0</v>
      </c>
      <c r="H87">
        <f t="shared" si="42"/>
        <v>1</v>
      </c>
      <c r="I87" s="38">
        <f>'SLP-Training'!I404</f>
        <v>0.25753100011736052</v>
      </c>
      <c r="J87" s="38">
        <f>'SLP-Training'!J404</f>
        <v>-0.24283976892516929</v>
      </c>
      <c r="K87" s="38">
        <f>'SLP-Training'!K404</f>
        <v>-0.41737535507767448</v>
      </c>
      <c r="L87" s="38">
        <f>'SLP-Training'!L404</f>
        <v>1.1214589088100841</v>
      </c>
      <c r="M87" s="38">
        <f>'SLP-Training'!M404</f>
        <v>0.82381328827766631</v>
      </c>
      <c r="N87" s="35">
        <f t="shared" si="43"/>
        <v>-0.71244101934393722</v>
      </c>
      <c r="O87" s="35">
        <f t="shared" si="44"/>
        <v>0.32905968867737767</v>
      </c>
      <c r="P87" s="36">
        <f t="shared" si="45"/>
        <v>0</v>
      </c>
      <c r="Q87" s="36">
        <f t="shared" si="46"/>
        <v>0.32905968867737767</v>
      </c>
      <c r="R87" s="37">
        <f t="shared" si="47"/>
        <v>0.10828027871245272</v>
      </c>
      <c r="T87" s="37">
        <f t="shared" si="48"/>
        <v>0.14529920781886668</v>
      </c>
      <c r="U87" s="37">
        <f t="shared" si="49"/>
        <v>0.72649603909433336</v>
      </c>
      <c r="V87" s="37">
        <f t="shared" si="50"/>
        <v>0.50854722736603342</v>
      </c>
      <c r="W87" s="37">
        <f t="shared" si="51"/>
        <v>0.18888897016452669</v>
      </c>
      <c r="X87" s="37">
        <f t="shared" si="52"/>
        <v>4.3589762345660005E-2</v>
      </c>
    </row>
    <row r="88" spans="1:24" ht="14.25" customHeight="1" thickBot="1" x14ac:dyDescent="0.3">
      <c r="A88" s="109"/>
      <c r="B88" s="117">
        <v>2</v>
      </c>
      <c r="C88" s="115">
        <f>IF($B88&lt;=10, INDEX(Data!$A:$A,40+$B88), INDEX(Data!$A:$A,80+$B88))</f>
        <v>4.5</v>
      </c>
      <c r="D88" s="116">
        <f>IF($B88&lt;=10, INDEX(Data!$B:$B,40+$B88), INDEX(Data!$B:$B,80+$B88))</f>
        <v>2.2999999999999998</v>
      </c>
      <c r="E88" s="116">
        <f>IF($B88&lt;=10, INDEX(Data!$C:$C,40+$B88), INDEX(Data!$C:$C,80+$B88))</f>
        <v>1.3</v>
      </c>
      <c r="F88" s="116">
        <f>IF($B88&lt;=10, INDEX(Data!$D:$D,40+$B88), INDEX(Data!$D:$D,80+$B88))</f>
        <v>0.3</v>
      </c>
      <c r="G88" s="116">
        <f>IF(INDEX(Data!$E:$E,IF($B88&lt;=10,40+$B88,80+$B88))="Iris-setosa",0,1)</f>
        <v>0</v>
      </c>
      <c r="H88">
        <f t="shared" si="42"/>
        <v>1</v>
      </c>
      <c r="I88" s="38">
        <f t="shared" ref="I88:I106" si="53">I87-$K$4*T87</f>
        <v>0.24300107933547385</v>
      </c>
      <c r="J88" s="38">
        <f t="shared" ref="J88:J106" si="54">J87-$K$4*U87</f>
        <v>-0.31548937283460265</v>
      </c>
      <c r="K88" s="38">
        <f t="shared" ref="K88:K106" si="55">K87-$K$4*V87</f>
        <v>-0.46823007781427783</v>
      </c>
      <c r="L88" s="38">
        <f t="shared" ref="L88:L106" si="56">L87-$K$4*W87</f>
        <v>1.1025700117936315</v>
      </c>
      <c r="M88" s="38">
        <f t="shared" ref="M88:M106" si="57">M87-$K$4*X87</f>
        <v>0.81945431204310026</v>
      </c>
      <c r="N88" s="35">
        <f t="shared" si="43"/>
        <v>-0.57445296844842608</v>
      </c>
      <c r="O88" s="35">
        <f t="shared" si="44"/>
        <v>0.36020996182445458</v>
      </c>
      <c r="P88" s="36">
        <f t="shared" si="45"/>
        <v>0</v>
      </c>
      <c r="Q88" s="36">
        <f t="shared" si="46"/>
        <v>0.36020996182445458</v>
      </c>
      <c r="R88" s="37">
        <f t="shared" si="47"/>
        <v>0.12975121659757502</v>
      </c>
      <c r="T88" s="37">
        <f t="shared" si="48"/>
        <v>0.16602707164057198</v>
      </c>
      <c r="U88" s="37">
        <f t="shared" si="49"/>
        <v>0.74712182238257396</v>
      </c>
      <c r="V88" s="37">
        <f t="shared" si="50"/>
        <v>0.38186226477331553</v>
      </c>
      <c r="W88" s="37">
        <f t="shared" si="51"/>
        <v>0.21583519313274357</v>
      </c>
      <c r="X88" s="37">
        <f t="shared" si="52"/>
        <v>4.9808121492171592E-2</v>
      </c>
    </row>
    <row r="89" spans="1:24" ht="14.25" customHeight="1" thickBot="1" x14ac:dyDescent="0.3">
      <c r="A89" s="109"/>
      <c r="B89" s="117">
        <v>3</v>
      </c>
      <c r="C89" s="115">
        <f>IF($B89&lt;=10, INDEX(Data!$A:$A,40+$B89), INDEX(Data!$A:$A,80+$B89))</f>
        <v>4.4000000000000004</v>
      </c>
      <c r="D89" s="116">
        <f>IF($B89&lt;=10, INDEX(Data!$B:$B,40+$B89), INDEX(Data!$B:$B,80+$B89))</f>
        <v>3.2</v>
      </c>
      <c r="E89" s="116">
        <f>IF($B89&lt;=10, INDEX(Data!$C:$C,40+$B89), INDEX(Data!$C:$C,80+$B89))</f>
        <v>1.3</v>
      </c>
      <c r="F89" s="116">
        <f>IF($B89&lt;=10, INDEX(Data!$D:$D,40+$B89), INDEX(Data!$D:$D,80+$B89))</f>
        <v>0.2</v>
      </c>
      <c r="G89" s="116">
        <f>IF(INDEX(Data!$E:$E,IF($B89&lt;=10,40+$B89,80+$B89))="Iris-setosa",0,1)</f>
        <v>0</v>
      </c>
      <c r="H89">
        <f t="shared" si="42"/>
        <v>1</v>
      </c>
      <c r="I89" s="38">
        <f t="shared" si="53"/>
        <v>0.22639837217141665</v>
      </c>
      <c r="J89" s="38">
        <f t="shared" si="54"/>
        <v>-0.39020155507286003</v>
      </c>
      <c r="K89" s="38">
        <f t="shared" si="55"/>
        <v>-0.50641630429160944</v>
      </c>
      <c r="L89" s="38">
        <f t="shared" si="56"/>
        <v>1.0809864924803572</v>
      </c>
      <c r="M89" s="38">
        <f t="shared" si="57"/>
        <v>0.81447349989388307</v>
      </c>
      <c r="N89" s="35">
        <f t="shared" si="43"/>
        <v>-1.5428435036790771</v>
      </c>
      <c r="O89" s="35">
        <f t="shared" si="44"/>
        <v>0.17612229315179007</v>
      </c>
      <c r="P89" s="36">
        <f t="shared" si="45"/>
        <v>0</v>
      </c>
      <c r="Q89" s="36">
        <f t="shared" si="46"/>
        <v>0.17612229315179007</v>
      </c>
      <c r="R89" s="37">
        <f t="shared" si="47"/>
        <v>3.1019062145045077E-2</v>
      </c>
      <c r="T89" s="37">
        <f t="shared" si="48"/>
        <v>5.1111827577283712E-2</v>
      </c>
      <c r="U89" s="37">
        <f t="shared" si="49"/>
        <v>0.22489204134004837</v>
      </c>
      <c r="V89" s="37">
        <f t="shared" si="50"/>
        <v>0.1635578482473079</v>
      </c>
      <c r="W89" s="37">
        <f t="shared" si="51"/>
        <v>6.6445375850468835E-2</v>
      </c>
      <c r="X89" s="37">
        <f t="shared" si="52"/>
        <v>1.0222365515456744E-2</v>
      </c>
    </row>
    <row r="90" spans="1:24" ht="14.25" customHeight="1" thickBot="1" x14ac:dyDescent="0.3">
      <c r="A90" s="109"/>
      <c r="B90" s="117">
        <v>4</v>
      </c>
      <c r="C90" s="115">
        <f>IF($B90&lt;=10, INDEX(Data!$A:$A,40+$B90), INDEX(Data!$A:$A,80+$B90))</f>
        <v>5</v>
      </c>
      <c r="D90" s="116">
        <f>IF($B90&lt;=10, INDEX(Data!$B:$B,40+$B90), INDEX(Data!$B:$B,80+$B90))</f>
        <v>3.5</v>
      </c>
      <c r="E90" s="116">
        <f>IF($B90&lt;=10, INDEX(Data!$C:$C,40+$B90), INDEX(Data!$C:$C,80+$B90))</f>
        <v>1.6</v>
      </c>
      <c r="F90" s="116">
        <f>IF($B90&lt;=10, INDEX(Data!$D:$D,40+$B90), INDEX(Data!$D:$D,80+$B90))</f>
        <v>0.6</v>
      </c>
      <c r="G90" s="116">
        <f>IF(INDEX(Data!$E:$E,IF($B90&lt;=10,40+$B90,80+$B90))="Iris-setosa",0,1)</f>
        <v>0</v>
      </c>
      <c r="H90">
        <f t="shared" si="42"/>
        <v>1</v>
      </c>
      <c r="I90" s="38">
        <f t="shared" si="53"/>
        <v>0.22128718941368827</v>
      </c>
      <c r="J90" s="38">
        <f t="shared" si="54"/>
        <v>-0.41269075920686488</v>
      </c>
      <c r="K90" s="38">
        <f t="shared" si="55"/>
        <v>-0.52277208911634021</v>
      </c>
      <c r="L90" s="38">
        <f t="shared" si="56"/>
        <v>1.0743419548953104</v>
      </c>
      <c r="M90" s="38">
        <f t="shared" si="57"/>
        <v>0.81345126334233742</v>
      </c>
      <c r="N90" s="35">
        <f t="shared" si="43"/>
        <v>-1.4648510326899276</v>
      </c>
      <c r="O90" s="35">
        <f t="shared" si="44"/>
        <v>0.18772649345141385</v>
      </c>
      <c r="P90" s="36">
        <f t="shared" si="45"/>
        <v>0</v>
      </c>
      <c r="Q90" s="36">
        <f t="shared" si="46"/>
        <v>0.18772649345141385</v>
      </c>
      <c r="R90" s="37">
        <f t="shared" si="47"/>
        <v>3.5241236343563728E-2</v>
      </c>
      <c r="T90" s="37">
        <f t="shared" si="48"/>
        <v>5.7251045239787968E-2</v>
      </c>
      <c r="U90" s="37">
        <f t="shared" si="49"/>
        <v>0.28625522619893984</v>
      </c>
      <c r="V90" s="37">
        <f t="shared" si="50"/>
        <v>0.20037865833925789</v>
      </c>
      <c r="W90" s="37">
        <f t="shared" si="51"/>
        <v>9.1601672383660751E-2</v>
      </c>
      <c r="X90" s="37">
        <f t="shared" si="52"/>
        <v>3.4350627143872776E-2</v>
      </c>
    </row>
    <row r="91" spans="1:24" ht="14.25" customHeight="1" thickBot="1" x14ac:dyDescent="0.3">
      <c r="A91" s="109"/>
      <c r="B91" s="117">
        <v>5</v>
      </c>
      <c r="C91" s="115">
        <f>IF($B91&lt;=10, INDEX(Data!$A:$A,40+$B91), INDEX(Data!$A:$A,80+$B91))</f>
        <v>5.0999999999999996</v>
      </c>
      <c r="D91" s="116">
        <f>IF($B91&lt;=10, INDEX(Data!$B:$B,40+$B91), INDEX(Data!$B:$B,80+$B91))</f>
        <v>3.8</v>
      </c>
      <c r="E91" s="116">
        <f>IF($B91&lt;=10, INDEX(Data!$C:$C,40+$B91), INDEX(Data!$C:$C,80+$B91))</f>
        <v>1.9</v>
      </c>
      <c r="F91" s="116">
        <f>IF($B91&lt;=10, INDEX(Data!$D:$D,40+$B91), INDEX(Data!$D:$D,80+$B91))</f>
        <v>0.4</v>
      </c>
      <c r="G91" s="116">
        <f>IF(INDEX(Data!$E:$E,IF($B91&lt;=10,40+$B91,80+$B91))="Iris-setosa",0,1)</f>
        <v>0</v>
      </c>
      <c r="H91">
        <f t="shared" si="42"/>
        <v>1</v>
      </c>
      <c r="I91" s="38">
        <f t="shared" si="53"/>
        <v>0.21556208488970949</v>
      </c>
      <c r="J91" s="38">
        <f t="shared" si="54"/>
        <v>-0.44131628182675886</v>
      </c>
      <c r="K91" s="38">
        <f t="shared" si="55"/>
        <v>-0.54280995495026596</v>
      </c>
      <c r="L91" s="38">
        <f t="shared" si="56"/>
        <v>1.0651817876569443</v>
      </c>
      <c r="M91" s="38">
        <f t="shared" si="57"/>
        <v>0.8100162006279501</v>
      </c>
      <c r="N91" s="35">
        <f t="shared" si="43"/>
        <v>-1.7499769044383973</v>
      </c>
      <c r="O91" s="35">
        <f t="shared" si="44"/>
        <v>0.14805011108065841</v>
      </c>
      <c r="P91" s="36">
        <f t="shared" si="45"/>
        <v>0</v>
      </c>
      <c r="Q91" s="36">
        <f t="shared" si="46"/>
        <v>0.14805011108065841</v>
      </c>
      <c r="R91" s="37">
        <f t="shared" si="47"/>
        <v>2.1918835390995293E-2</v>
      </c>
      <c r="T91" s="37">
        <f t="shared" si="48"/>
        <v>3.7347498753199551E-2</v>
      </c>
      <c r="U91" s="37">
        <f t="shared" si="49"/>
        <v>0.19047224364131771</v>
      </c>
      <c r="V91" s="37">
        <f t="shared" si="50"/>
        <v>0.14192049526215827</v>
      </c>
      <c r="W91" s="37">
        <f t="shared" si="51"/>
        <v>7.0960247631079137E-2</v>
      </c>
      <c r="X91" s="37">
        <f t="shared" si="52"/>
        <v>1.4938999501279821E-2</v>
      </c>
    </row>
    <row r="92" spans="1:24" ht="14.25" customHeight="1" thickBot="1" x14ac:dyDescent="0.3">
      <c r="A92" s="109"/>
      <c r="B92" s="117">
        <v>6</v>
      </c>
      <c r="C92" s="115">
        <f>IF($B92&lt;=10, INDEX(Data!$A:$A,40+$B92), INDEX(Data!$A:$A,80+$B92))</f>
        <v>4.8</v>
      </c>
      <c r="D92" s="116">
        <f>IF($B92&lt;=10, INDEX(Data!$B:$B,40+$B92), INDEX(Data!$B:$B,80+$B92))</f>
        <v>3</v>
      </c>
      <c r="E92" s="116">
        <f>IF($B92&lt;=10, INDEX(Data!$C:$C,40+$B92), INDEX(Data!$C:$C,80+$B92))</f>
        <v>1.4</v>
      </c>
      <c r="F92" s="116">
        <f>IF($B92&lt;=10, INDEX(Data!$D:$D,40+$B92), INDEX(Data!$D:$D,80+$B92))</f>
        <v>0.3</v>
      </c>
      <c r="G92" s="116">
        <f>IF(INDEX(Data!$E:$E,IF($B92&lt;=10,40+$B92,80+$B92))="Iris-setosa",0,1)</f>
        <v>0</v>
      </c>
      <c r="H92">
        <f t="shared" si="42"/>
        <v>1</v>
      </c>
      <c r="I92" s="38">
        <f t="shared" si="53"/>
        <v>0.21182733501438952</v>
      </c>
      <c r="J92" s="38">
        <f t="shared" si="54"/>
        <v>-0.46036350619089061</v>
      </c>
      <c r="K92" s="38">
        <f t="shared" si="55"/>
        <v>-0.55700200447648174</v>
      </c>
      <c r="L92" s="38">
        <f t="shared" si="56"/>
        <v>1.0580857628938363</v>
      </c>
      <c r="M92" s="38">
        <f t="shared" si="57"/>
        <v>0.80852230067782216</v>
      </c>
      <c r="N92" s="35">
        <f t="shared" si="43"/>
        <v>-1.9450467498766135</v>
      </c>
      <c r="O92" s="35">
        <f t="shared" si="44"/>
        <v>0.12509446486463444</v>
      </c>
      <c r="P92" s="36">
        <f t="shared" si="45"/>
        <v>0</v>
      </c>
      <c r="Q92" s="36">
        <f t="shared" si="46"/>
        <v>0.12509446486463444</v>
      </c>
      <c r="R92" s="37">
        <f t="shared" si="47"/>
        <v>1.5648625139769258E-2</v>
      </c>
      <c r="T92" s="37">
        <f t="shared" si="48"/>
        <v>2.7382137504085118E-2</v>
      </c>
      <c r="U92" s="37">
        <f t="shared" si="49"/>
        <v>0.13143426001960856</v>
      </c>
      <c r="V92" s="37">
        <f t="shared" si="50"/>
        <v>8.2146412512255351E-2</v>
      </c>
      <c r="W92" s="37">
        <f t="shared" si="51"/>
        <v>3.8334992505719166E-2</v>
      </c>
      <c r="X92" s="37">
        <f t="shared" si="52"/>
        <v>8.2146412512255351E-3</v>
      </c>
    </row>
    <row r="93" spans="1:24" ht="14.25" customHeight="1" thickBot="1" x14ac:dyDescent="0.3">
      <c r="A93" s="109"/>
      <c r="B93" s="117">
        <v>7</v>
      </c>
      <c r="C93" s="115">
        <f>IF($B93&lt;=10, INDEX(Data!$A:$A,40+$B93), INDEX(Data!$A:$A,80+$B93))</f>
        <v>5.0999999999999996</v>
      </c>
      <c r="D93" s="116">
        <f>IF($B93&lt;=10, INDEX(Data!$B:$B,40+$B93), INDEX(Data!$B:$B,80+$B93))</f>
        <v>3.8</v>
      </c>
      <c r="E93" s="116">
        <f>IF($B93&lt;=10, INDEX(Data!$C:$C,40+$B93), INDEX(Data!$C:$C,80+$B93))</f>
        <v>1.6</v>
      </c>
      <c r="F93" s="116">
        <f>IF($B93&lt;=10, INDEX(Data!$D:$D,40+$B93), INDEX(Data!$D:$D,80+$B93))</f>
        <v>0.2</v>
      </c>
      <c r="G93" s="116">
        <f>IF(INDEX(Data!$E:$E,IF($B93&lt;=10,40+$B93,80+$B93))="Iris-setosa",0,1)</f>
        <v>0</v>
      </c>
      <c r="H93">
        <f t="shared" si="42"/>
        <v>1</v>
      </c>
      <c r="I93" s="38">
        <f t="shared" si="53"/>
        <v>0.20908912126398102</v>
      </c>
      <c r="J93" s="38">
        <f t="shared" si="54"/>
        <v>-0.47350693219285145</v>
      </c>
      <c r="K93" s="38">
        <f t="shared" si="55"/>
        <v>-0.56521664572770725</v>
      </c>
      <c r="L93" s="38">
        <f t="shared" si="56"/>
        <v>1.0542522636432643</v>
      </c>
      <c r="M93" s="38">
        <f t="shared" si="57"/>
        <v>0.80770083655269964</v>
      </c>
      <c r="N93" s="35">
        <f t="shared" si="43"/>
        <v>-2.5052756975450849</v>
      </c>
      <c r="O93" s="35">
        <f t="shared" si="44"/>
        <v>7.5489160605939312E-2</v>
      </c>
      <c r="P93" s="36">
        <f t="shared" si="45"/>
        <v>0</v>
      </c>
      <c r="Q93" s="36">
        <f t="shared" si="46"/>
        <v>7.5489160605939312E-2</v>
      </c>
      <c r="R93" s="37">
        <f t="shared" si="47"/>
        <v>5.6986133689893E-3</v>
      </c>
      <c r="T93" s="37">
        <f t="shared" si="48"/>
        <v>1.0536859658293027E-2</v>
      </c>
      <c r="U93" s="37">
        <f t="shared" si="49"/>
        <v>5.3737984257294431E-2</v>
      </c>
      <c r="V93" s="37">
        <f t="shared" si="50"/>
        <v>4.0040066701513499E-2</v>
      </c>
      <c r="W93" s="37">
        <f t="shared" si="51"/>
        <v>1.6858975453268844E-2</v>
      </c>
      <c r="X93" s="37">
        <f t="shared" si="52"/>
        <v>2.1073719316586055E-3</v>
      </c>
    </row>
    <row r="94" spans="1:24" ht="14.25" customHeight="1" thickBot="1" x14ac:dyDescent="0.3">
      <c r="A94" s="109"/>
      <c r="B94" s="117">
        <v>8</v>
      </c>
      <c r="C94" s="115">
        <f>IF($B94&lt;=10, INDEX(Data!$A:$A,40+$B94), INDEX(Data!$A:$A,80+$B94))</f>
        <v>4.5999999999999996</v>
      </c>
      <c r="D94" s="116">
        <f>IF($B94&lt;=10, INDEX(Data!$B:$B,40+$B94), INDEX(Data!$B:$B,80+$B94))</f>
        <v>3.2</v>
      </c>
      <c r="E94" s="116">
        <f>IF($B94&lt;=10, INDEX(Data!$C:$C,40+$B94), INDEX(Data!$C:$C,80+$B94))</f>
        <v>1.4</v>
      </c>
      <c r="F94" s="116">
        <f>IF($B94&lt;=10, INDEX(Data!$D:$D,40+$B94), INDEX(Data!$D:$D,80+$B94))</f>
        <v>0.2</v>
      </c>
      <c r="G94" s="116">
        <f>IF(INDEX(Data!$E:$E,IF($B94&lt;=10,40+$B94,80+$B94))="Iris-setosa",0,1)</f>
        <v>0</v>
      </c>
      <c r="H94">
        <f t="shared" si="42"/>
        <v>1</v>
      </c>
      <c r="I94" s="38">
        <f t="shared" si="53"/>
        <v>0.20803543529815172</v>
      </c>
      <c r="J94" s="38">
        <f t="shared" si="54"/>
        <v>-0.47888073061858089</v>
      </c>
      <c r="K94" s="38">
        <f t="shared" si="55"/>
        <v>-0.56922065239785857</v>
      </c>
      <c r="L94" s="38">
        <f t="shared" si="56"/>
        <v>1.0525663660979374</v>
      </c>
      <c r="M94" s="38">
        <f t="shared" si="57"/>
        <v>0.80749009935953375</v>
      </c>
      <c r="N94" s="35">
        <f t="shared" si="43"/>
        <v>-2.1812310808114486</v>
      </c>
      <c r="O94" s="35">
        <f t="shared" si="44"/>
        <v>0.10144865140842239</v>
      </c>
      <c r="P94" s="36">
        <f t="shared" si="45"/>
        <v>0</v>
      </c>
      <c r="Q94" s="36">
        <f t="shared" si="46"/>
        <v>0.10144865140842239</v>
      </c>
      <c r="R94" s="37">
        <f t="shared" si="47"/>
        <v>1.0291828872587602E-2</v>
      </c>
      <c r="T94" s="37">
        <f t="shared" si="48"/>
        <v>1.8495473425874653E-2</v>
      </c>
      <c r="U94" s="37">
        <f t="shared" si="49"/>
        <v>8.5079177759023406E-2</v>
      </c>
      <c r="V94" s="37">
        <f t="shared" si="50"/>
        <v>5.9185514962798891E-2</v>
      </c>
      <c r="W94" s="37">
        <f t="shared" si="51"/>
        <v>2.5893662796224515E-2</v>
      </c>
      <c r="X94" s="37">
        <f t="shared" si="52"/>
        <v>3.6990946851749307E-3</v>
      </c>
    </row>
    <row r="95" spans="1:24" ht="14.25" customHeight="1" thickBot="1" x14ac:dyDescent="0.3">
      <c r="A95" s="109"/>
      <c r="B95" s="117">
        <v>9</v>
      </c>
      <c r="C95" s="115">
        <f>IF($B95&lt;=10, INDEX(Data!$A:$A,40+$B95), INDEX(Data!$A:$A,80+$B95))</f>
        <v>5.3</v>
      </c>
      <c r="D95" s="116">
        <f>IF($B95&lt;=10, INDEX(Data!$B:$B,40+$B95), INDEX(Data!$B:$B,80+$B95))</f>
        <v>3.7</v>
      </c>
      <c r="E95" s="116">
        <f>IF($B95&lt;=10, INDEX(Data!$C:$C,40+$B95), INDEX(Data!$C:$C,80+$B95))</f>
        <v>1.5</v>
      </c>
      <c r="F95" s="116">
        <f>IF($B95&lt;=10, INDEX(Data!$D:$D,40+$B95), INDEX(Data!$D:$D,80+$B95))</f>
        <v>0.2</v>
      </c>
      <c r="G95" s="116">
        <f>IF(INDEX(Data!$E:$E,IF($B95&lt;=10,40+$B95,80+$B95))="Iris-setosa",0,1)</f>
        <v>0</v>
      </c>
      <c r="H95">
        <f t="shared" si="42"/>
        <v>1</v>
      </c>
      <c r="I95" s="38">
        <f t="shared" si="53"/>
        <v>0.20618588795556425</v>
      </c>
      <c r="J95" s="38">
        <f t="shared" si="54"/>
        <v>-0.4873886483944832</v>
      </c>
      <c r="K95" s="38">
        <f t="shared" si="55"/>
        <v>-0.57513920389413842</v>
      </c>
      <c r="L95" s="38">
        <f t="shared" si="56"/>
        <v>1.049976999818315</v>
      </c>
      <c r="M95" s="38">
        <f t="shared" si="57"/>
        <v>0.8071201898910163</v>
      </c>
      <c r="N95" s="35">
        <f t="shared" si="43"/>
        <v>-2.7685994652378332</v>
      </c>
      <c r="O95" s="35">
        <f t="shared" si="44"/>
        <v>5.9044777025839532E-2</v>
      </c>
      <c r="P95" s="36">
        <f t="shared" si="45"/>
        <v>0</v>
      </c>
      <c r="Q95" s="36">
        <f t="shared" si="46"/>
        <v>5.9044777025839532E-2</v>
      </c>
      <c r="R95" s="37">
        <f t="shared" si="47"/>
        <v>3.4862856940311077E-3</v>
      </c>
      <c r="T95" s="37">
        <f t="shared" si="48"/>
        <v>6.5608774651573333E-3</v>
      </c>
      <c r="U95" s="37">
        <f t="shared" si="49"/>
        <v>3.4772650565333865E-2</v>
      </c>
      <c r="V95" s="37">
        <f t="shared" si="50"/>
        <v>2.4275246621082134E-2</v>
      </c>
      <c r="W95" s="37">
        <f t="shared" si="51"/>
        <v>9.8413161977360004E-3</v>
      </c>
      <c r="X95" s="37">
        <f t="shared" si="52"/>
        <v>1.3121754930314668E-3</v>
      </c>
    </row>
    <row r="96" spans="1:24" ht="14.25" customHeight="1" thickBot="1" x14ac:dyDescent="0.3">
      <c r="A96" s="109"/>
      <c r="B96" s="117">
        <v>10</v>
      </c>
      <c r="C96" s="115">
        <f>IF($B96&lt;=10, INDEX(Data!$A:$A,40+$B96), INDEX(Data!$A:$A,80+$B96))</f>
        <v>5</v>
      </c>
      <c r="D96" s="116">
        <f>IF($B96&lt;=10, INDEX(Data!$B:$B,40+$B96), INDEX(Data!$B:$B,80+$B96))</f>
        <v>3.3</v>
      </c>
      <c r="E96" s="116">
        <f>IF($B96&lt;=10, INDEX(Data!$C:$C,40+$B96), INDEX(Data!$C:$C,80+$B96))</f>
        <v>1.4</v>
      </c>
      <c r="F96" s="116">
        <f>IF($B96&lt;=10, INDEX(Data!$D:$D,40+$B96), INDEX(Data!$D:$D,80+$B96))</f>
        <v>0.2</v>
      </c>
      <c r="G96" s="116">
        <f>IF(INDEX(Data!$E:$E,IF($B96&lt;=10,40+$B96,80+$B96))="Iris-setosa",0,1)</f>
        <v>0</v>
      </c>
      <c r="H96">
        <f t="shared" si="42"/>
        <v>1</v>
      </c>
      <c r="I96" s="38">
        <f t="shared" si="53"/>
        <v>0.20552980020904851</v>
      </c>
      <c r="J96" s="38">
        <f t="shared" si="54"/>
        <v>-0.4908659134510166</v>
      </c>
      <c r="K96" s="38">
        <f t="shared" si="55"/>
        <v>-0.57756672855624658</v>
      </c>
      <c r="L96" s="38">
        <f t="shared" si="56"/>
        <v>1.0489928681985414</v>
      </c>
      <c r="M96" s="38">
        <f t="shared" si="57"/>
        <v>0.80698897234171318</v>
      </c>
      <c r="N96" s="35">
        <f t="shared" si="43"/>
        <v>-2.5247821613353474</v>
      </c>
      <c r="O96" s="35">
        <f t="shared" si="44"/>
        <v>7.4139016777318476E-2</v>
      </c>
      <c r="P96" s="36">
        <f t="shared" si="45"/>
        <v>0</v>
      </c>
      <c r="Q96" s="36">
        <f t="shared" si="46"/>
        <v>7.4139016777318476E-2</v>
      </c>
      <c r="R96" s="37">
        <f t="shared" si="47"/>
        <v>5.4965938087075108E-3</v>
      </c>
      <c r="T96" s="37">
        <f t="shared" si="48"/>
        <v>1.0178163496211279E-2</v>
      </c>
      <c r="U96" s="37">
        <f t="shared" si="49"/>
        <v>5.0890817481056394E-2</v>
      </c>
      <c r="V96" s="37">
        <f t="shared" si="50"/>
        <v>3.3587939537497218E-2</v>
      </c>
      <c r="W96" s="37">
        <f t="shared" si="51"/>
        <v>1.4249428894695789E-2</v>
      </c>
      <c r="X96" s="37">
        <f t="shared" si="52"/>
        <v>2.035632699242256E-3</v>
      </c>
    </row>
    <row r="97" spans="1:24" ht="14.25" customHeight="1" thickBot="1" x14ac:dyDescent="0.3">
      <c r="A97" s="109"/>
      <c r="B97" s="117">
        <v>11</v>
      </c>
      <c r="C97" s="115">
        <f>IF($B97&lt;=10, INDEX(Data!$A:$A,40+$B97), INDEX(Data!$A:$A,80+$B97))</f>
        <v>5.5</v>
      </c>
      <c r="D97" s="116">
        <f>IF($B97&lt;=10, INDEX(Data!$B:$B,40+$B97), INDEX(Data!$B:$B,80+$B97))</f>
        <v>2.6</v>
      </c>
      <c r="E97" s="116">
        <f>IF($B97&lt;=10, INDEX(Data!$C:$C,40+$B97), INDEX(Data!$C:$C,80+$B97))</f>
        <v>4.4000000000000004</v>
      </c>
      <c r="F97" s="116">
        <f>IF($B97&lt;=10, INDEX(Data!$D:$D,40+$B97), INDEX(Data!$D:$D,80+$B97))</f>
        <v>1.2</v>
      </c>
      <c r="G97" s="116">
        <f>IF(INDEX(Data!$E:$E,IF($B97&lt;=10,40+$B97,80+$B97))="Iris-setosa",0,1)</f>
        <v>1</v>
      </c>
      <c r="H97">
        <f t="shared" si="42"/>
        <v>1</v>
      </c>
      <c r="I97" s="38">
        <f t="shared" si="53"/>
        <v>0.2045119838594274</v>
      </c>
      <c r="J97" s="38">
        <f t="shared" si="54"/>
        <v>-0.49595499519912223</v>
      </c>
      <c r="K97" s="38">
        <f t="shared" si="55"/>
        <v>-0.58092552250999629</v>
      </c>
      <c r="L97" s="38">
        <f t="shared" si="56"/>
        <v>1.0475679253090719</v>
      </c>
      <c r="M97" s="38">
        <f t="shared" si="57"/>
        <v>0.80678540907178897</v>
      </c>
      <c r="N97" s="35">
        <f t="shared" si="43"/>
        <v>1.5437945139843277</v>
      </c>
      <c r="O97" s="35">
        <f t="shared" si="44"/>
        <v>0.82401565901503537</v>
      </c>
      <c r="P97" s="36">
        <f t="shared" si="45"/>
        <v>1</v>
      </c>
      <c r="Q97" s="36">
        <f t="shared" si="46"/>
        <v>-0.17598434098496463</v>
      </c>
      <c r="R97" s="37">
        <f t="shared" si="47"/>
        <v>3.0970488271912299E-2</v>
      </c>
      <c r="T97" s="37">
        <f t="shared" si="48"/>
        <v>-5.1040334606794475E-2</v>
      </c>
      <c r="U97" s="37">
        <f t="shared" si="49"/>
        <v>-0.28072184033736963</v>
      </c>
      <c r="V97" s="37">
        <f t="shared" si="50"/>
        <v>-0.13270486997766565</v>
      </c>
      <c r="W97" s="37">
        <f t="shared" si="51"/>
        <v>-0.22457747226989572</v>
      </c>
      <c r="X97" s="37">
        <f t="shared" si="52"/>
        <v>-6.1248401528153369E-2</v>
      </c>
    </row>
    <row r="98" spans="1:24" ht="14.25" customHeight="1" thickBot="1" x14ac:dyDescent="0.3">
      <c r="A98" s="109"/>
      <c r="B98" s="117">
        <v>12</v>
      </c>
      <c r="C98" s="115">
        <f>IF($B98&lt;=10, INDEX(Data!$A:$A,40+$B98), INDEX(Data!$A:$A,80+$B98))</f>
        <v>6.1</v>
      </c>
      <c r="D98" s="116">
        <f>IF($B98&lt;=10, INDEX(Data!$B:$B,40+$B98), INDEX(Data!$B:$B,80+$B98))</f>
        <v>3</v>
      </c>
      <c r="E98" s="116">
        <f>IF($B98&lt;=10, INDEX(Data!$C:$C,40+$B98), INDEX(Data!$C:$C,80+$B98))</f>
        <v>4.5999999999999996</v>
      </c>
      <c r="F98" s="116">
        <f>IF($B98&lt;=10, INDEX(Data!$D:$D,40+$B98), INDEX(Data!$D:$D,80+$B98))</f>
        <v>1.4</v>
      </c>
      <c r="G98" s="116">
        <f>IF(INDEX(Data!$E:$E,IF($B98&lt;=10,40+$B98,80+$B98))="Iris-setosa",0,1)</f>
        <v>1</v>
      </c>
      <c r="H98">
        <f t="shared" si="42"/>
        <v>1</v>
      </c>
      <c r="I98" s="38">
        <f t="shared" si="53"/>
        <v>0.20961601732010685</v>
      </c>
      <c r="J98" s="38">
        <f t="shared" si="54"/>
        <v>-0.46788281116538527</v>
      </c>
      <c r="K98" s="38">
        <f t="shared" si="55"/>
        <v>-0.56765503551222973</v>
      </c>
      <c r="L98" s="38">
        <f t="shared" si="56"/>
        <v>1.0700256725360615</v>
      </c>
      <c r="M98" s="38">
        <f t="shared" si="57"/>
        <v>0.81291024922460431</v>
      </c>
      <c r="N98" s="35">
        <f t="shared" si="43"/>
        <v>1.7127582052548964</v>
      </c>
      <c r="O98" s="35">
        <f t="shared" si="44"/>
        <v>0.84719369398091005</v>
      </c>
      <c r="P98" s="36">
        <f t="shared" si="45"/>
        <v>1</v>
      </c>
      <c r="Q98" s="36">
        <f t="shared" si="46"/>
        <v>-0.15280630601908995</v>
      </c>
      <c r="R98" s="37">
        <f t="shared" si="47"/>
        <v>2.3349767159199768E-2</v>
      </c>
      <c r="T98" s="37">
        <f t="shared" si="48"/>
        <v>-3.9563550986393185E-2</v>
      </c>
      <c r="U98" s="37">
        <f t="shared" si="49"/>
        <v>-0.24133766101699841</v>
      </c>
      <c r="V98" s="37">
        <f t="shared" si="50"/>
        <v>-0.11869065295917955</v>
      </c>
      <c r="W98" s="37">
        <f t="shared" si="51"/>
        <v>-0.18199233453740865</v>
      </c>
      <c r="X98" s="37">
        <f t="shared" si="52"/>
        <v>-5.5388971380950454E-2</v>
      </c>
    </row>
    <row r="99" spans="1:24" ht="14.25" customHeight="1" thickBot="1" x14ac:dyDescent="0.3">
      <c r="A99" s="109"/>
      <c r="B99" s="117">
        <v>13</v>
      </c>
      <c r="C99" s="115">
        <f>IF($B99&lt;=10, INDEX(Data!$A:$A,40+$B99), INDEX(Data!$A:$A,80+$B99))</f>
        <v>5.8</v>
      </c>
      <c r="D99" s="116">
        <f>IF($B99&lt;=10, INDEX(Data!$B:$B,40+$B99), INDEX(Data!$B:$B,80+$B99))</f>
        <v>2.6</v>
      </c>
      <c r="E99" s="116">
        <f>IF($B99&lt;=10, INDEX(Data!$C:$C,40+$B99), INDEX(Data!$C:$C,80+$B99))</f>
        <v>4</v>
      </c>
      <c r="F99" s="116">
        <f>IF($B99&lt;=10, INDEX(Data!$D:$D,40+$B99), INDEX(Data!$D:$D,80+$B99))</f>
        <v>1.2</v>
      </c>
      <c r="G99" s="116">
        <f>IF(INDEX(Data!$E:$E,IF($B99&lt;=10,40+$B99,80+$B99))="Iris-setosa",0,1)</f>
        <v>1</v>
      </c>
      <c r="H99">
        <f t="shared" si="42"/>
        <v>1</v>
      </c>
      <c r="I99" s="38">
        <f t="shared" si="53"/>
        <v>0.21357237241874616</v>
      </c>
      <c r="J99" s="38">
        <f t="shared" si="54"/>
        <v>-0.4437490450636854</v>
      </c>
      <c r="K99" s="38">
        <f t="shared" si="55"/>
        <v>-0.55578597021631182</v>
      </c>
      <c r="L99" s="38">
        <f t="shared" si="56"/>
        <v>1.0882249059898024</v>
      </c>
      <c r="M99" s="38">
        <f t="shared" si="57"/>
        <v>0.81844914636269939</v>
      </c>
      <c r="N99" s="35">
        <f t="shared" si="43"/>
        <v>1.5298229880814089</v>
      </c>
      <c r="O99" s="35">
        <f t="shared" si="44"/>
        <v>0.82198041378144304</v>
      </c>
      <c r="P99" s="36">
        <f t="shared" si="45"/>
        <v>1</v>
      </c>
      <c r="Q99" s="36">
        <f t="shared" si="46"/>
        <v>-0.17801958621855696</v>
      </c>
      <c r="R99" s="37">
        <f t="shared" si="47"/>
        <v>3.1690973077426236E-2</v>
      </c>
      <c r="T99" s="37">
        <f t="shared" si="48"/>
        <v>-5.2098718326638781E-2</v>
      </c>
      <c r="U99" s="37">
        <f t="shared" si="49"/>
        <v>-0.3021725662945049</v>
      </c>
      <c r="V99" s="37">
        <f t="shared" si="50"/>
        <v>-0.13545666764926084</v>
      </c>
      <c r="W99" s="37">
        <f t="shared" si="51"/>
        <v>-0.20839487330655512</v>
      </c>
      <c r="X99" s="37">
        <f t="shared" si="52"/>
        <v>-6.2518461991966534E-2</v>
      </c>
    </row>
    <row r="100" spans="1:24" ht="14.25" customHeight="1" thickBot="1" x14ac:dyDescent="0.3">
      <c r="A100" s="109"/>
      <c r="B100" s="117">
        <v>14</v>
      </c>
      <c r="C100" s="115">
        <f>IF($B100&lt;=10, INDEX(Data!$A:$A,40+$B100), INDEX(Data!$A:$A,80+$B100))</f>
        <v>5</v>
      </c>
      <c r="D100" s="116">
        <f>IF($B100&lt;=10, INDEX(Data!$B:$B,40+$B100), INDEX(Data!$B:$B,80+$B100))</f>
        <v>2.2999999999999998</v>
      </c>
      <c r="E100" s="116">
        <f>IF($B100&lt;=10, INDEX(Data!$C:$C,40+$B100), INDEX(Data!$C:$C,80+$B100))</f>
        <v>3.3</v>
      </c>
      <c r="F100" s="116">
        <f>IF($B100&lt;=10, INDEX(Data!$D:$D,40+$B100), INDEX(Data!$D:$D,80+$B100))</f>
        <v>1</v>
      </c>
      <c r="G100" s="116">
        <f>IF(INDEX(Data!$E:$E,IF($B100&lt;=10,40+$B100,80+$B100))="Iris-setosa",0,1)</f>
        <v>1</v>
      </c>
      <c r="H100">
        <f t="shared" si="42"/>
        <v>1</v>
      </c>
      <c r="I100" s="38">
        <f t="shared" si="53"/>
        <v>0.21878224425141005</v>
      </c>
      <c r="J100" s="38">
        <f t="shared" si="54"/>
        <v>-0.41353178843423488</v>
      </c>
      <c r="K100" s="38">
        <f t="shared" si="55"/>
        <v>-0.54224030345138574</v>
      </c>
      <c r="L100" s="38">
        <f t="shared" si="56"/>
        <v>1.1090643933204578</v>
      </c>
      <c r="M100" s="38">
        <f t="shared" si="57"/>
        <v>0.824700992561896</v>
      </c>
      <c r="N100" s="35">
        <f t="shared" si="43"/>
        <v>1.3885840946614552</v>
      </c>
      <c r="O100" s="35">
        <f t="shared" si="44"/>
        <v>0.80036610572133138</v>
      </c>
      <c r="P100" s="36">
        <f t="shared" si="45"/>
        <v>1</v>
      </c>
      <c r="Q100" s="36">
        <f t="shared" si="46"/>
        <v>-0.19963389427866862</v>
      </c>
      <c r="R100" s="37">
        <f t="shared" si="47"/>
        <v>3.9853691744866637E-2</v>
      </c>
      <c r="T100" s="37">
        <f t="shared" si="48"/>
        <v>-6.379508812091457E-2</v>
      </c>
      <c r="U100" s="37">
        <f t="shared" si="49"/>
        <v>-0.31897544060457284</v>
      </c>
      <c r="V100" s="37">
        <f t="shared" si="50"/>
        <v>-0.14672870267810351</v>
      </c>
      <c r="W100" s="37">
        <f t="shared" si="51"/>
        <v>-0.21052379079901806</v>
      </c>
      <c r="X100" s="37">
        <f t="shared" si="52"/>
        <v>-6.379508812091457E-2</v>
      </c>
    </row>
    <row r="101" spans="1:24" ht="14.25" customHeight="1" thickBot="1" x14ac:dyDescent="0.3">
      <c r="A101" s="109"/>
      <c r="B101" s="117">
        <v>15</v>
      </c>
      <c r="C101" s="115">
        <f>IF($B101&lt;=10, INDEX(Data!$A:$A,40+$B101), INDEX(Data!$A:$A,80+$B101))</f>
        <v>5.6</v>
      </c>
      <c r="D101" s="116">
        <f>IF($B101&lt;=10, INDEX(Data!$B:$B,40+$B101), INDEX(Data!$B:$B,80+$B101))</f>
        <v>2.7</v>
      </c>
      <c r="E101" s="116">
        <f>IF($B101&lt;=10, INDEX(Data!$C:$C,40+$B101), INDEX(Data!$C:$C,80+$B101))</f>
        <v>4.2</v>
      </c>
      <c r="F101" s="116">
        <f>IF($B101&lt;=10, INDEX(Data!$D:$D,40+$B101), INDEX(Data!$D:$D,80+$B101))</f>
        <v>1.3</v>
      </c>
      <c r="G101" s="116">
        <f>IF(INDEX(Data!$E:$E,IF($B101&lt;=10,40+$B101,80+$B101))="Iris-setosa",0,1)</f>
        <v>1</v>
      </c>
      <c r="H101">
        <f t="shared" si="42"/>
        <v>1</v>
      </c>
      <c r="I101" s="38">
        <f t="shared" si="53"/>
        <v>0.2251617530635015</v>
      </c>
      <c r="J101" s="38">
        <f t="shared" si="54"/>
        <v>-0.38163424437377758</v>
      </c>
      <c r="K101" s="38">
        <f t="shared" si="55"/>
        <v>-0.52756743318357535</v>
      </c>
      <c r="L101" s="38">
        <f t="shared" si="56"/>
        <v>1.1301167724003596</v>
      </c>
      <c r="M101" s="38">
        <f t="shared" si="57"/>
        <v>0.83108050137398748</v>
      </c>
      <c r="N101" s="35">
        <f t="shared" si="43"/>
        <v>2.490473010842388</v>
      </c>
      <c r="O101" s="35">
        <f t="shared" si="44"/>
        <v>0.92347123801944031</v>
      </c>
      <c r="P101" s="36">
        <f t="shared" si="45"/>
        <v>1</v>
      </c>
      <c r="Q101" s="36">
        <f t="shared" si="46"/>
        <v>-7.652876198055969E-2</v>
      </c>
      <c r="R101" s="37">
        <f t="shared" si="47"/>
        <v>5.8566514102771586E-3</v>
      </c>
      <c r="T101" s="37">
        <f t="shared" si="48"/>
        <v>-1.0816898256993897E-2</v>
      </c>
      <c r="U101" s="37">
        <f t="shared" si="49"/>
        <v>-6.0574630239165816E-2</v>
      </c>
      <c r="V101" s="37">
        <f t="shared" si="50"/>
        <v>-2.9205625293883524E-2</v>
      </c>
      <c r="W101" s="37">
        <f t="shared" si="51"/>
        <v>-4.5430972679374369E-2</v>
      </c>
      <c r="X101" s="37">
        <f t="shared" si="52"/>
        <v>-1.4061967734092067E-2</v>
      </c>
    </row>
    <row r="102" spans="1:24" ht="14.25" customHeight="1" thickBot="1" x14ac:dyDescent="0.3">
      <c r="A102" s="109"/>
      <c r="B102" s="117">
        <v>16</v>
      </c>
      <c r="C102" s="115">
        <f>IF($B102&lt;=10, INDEX(Data!$A:$A,40+$B102), INDEX(Data!$A:$A,80+$B102))</f>
        <v>5.7</v>
      </c>
      <c r="D102" s="116">
        <f>IF($B102&lt;=10, INDEX(Data!$B:$B,40+$B102), INDEX(Data!$B:$B,80+$B102))</f>
        <v>3</v>
      </c>
      <c r="E102" s="116">
        <f>IF($B102&lt;=10, INDEX(Data!$C:$C,40+$B102), INDEX(Data!$C:$C,80+$B102))</f>
        <v>4.2</v>
      </c>
      <c r="F102" s="116">
        <f>IF($B102&lt;=10, INDEX(Data!$D:$D,40+$B102), INDEX(Data!$D:$D,80+$B102))</f>
        <v>1.2</v>
      </c>
      <c r="G102" s="116">
        <f>IF(INDEX(Data!$E:$E,IF($B102&lt;=10,40+$B102,80+$B102))="Iris-setosa",0,1)</f>
        <v>1</v>
      </c>
      <c r="H102">
        <f t="shared" si="42"/>
        <v>1</v>
      </c>
      <c r="I102" s="38">
        <f t="shared" si="53"/>
        <v>0.2262434428892009</v>
      </c>
      <c r="J102" s="38">
        <f t="shared" si="54"/>
        <v>-0.375576781349861</v>
      </c>
      <c r="K102" s="38">
        <f t="shared" si="55"/>
        <v>-0.52464687065418703</v>
      </c>
      <c r="L102" s="38">
        <f t="shared" si="56"/>
        <v>1.134659869668297</v>
      </c>
      <c r="M102" s="38">
        <f t="shared" si="57"/>
        <v>0.83248669814739673</v>
      </c>
      <c r="N102" s="35">
        <f t="shared" si="43"/>
        <v>2.276070667616156</v>
      </c>
      <c r="O102" s="35">
        <f t="shared" si="44"/>
        <v>0.90687573648244113</v>
      </c>
      <c r="P102" s="36">
        <f t="shared" si="45"/>
        <v>1</v>
      </c>
      <c r="Q102" s="36">
        <f t="shared" si="46"/>
        <v>-9.312426351755887E-2</v>
      </c>
      <c r="R102" s="37">
        <f t="shared" si="47"/>
        <v>8.6721284556877457E-3</v>
      </c>
      <c r="T102" s="37">
        <f t="shared" si="48"/>
        <v>-1.5729085760244319E-2</v>
      </c>
      <c r="U102" s="37">
        <f t="shared" si="49"/>
        <v>-8.9655788833392619E-2</v>
      </c>
      <c r="V102" s="37">
        <f t="shared" si="50"/>
        <v>-4.7187257280732961E-2</v>
      </c>
      <c r="W102" s="37">
        <f t="shared" si="51"/>
        <v>-6.6062160193026145E-2</v>
      </c>
      <c r="X102" s="37">
        <f t="shared" si="52"/>
        <v>-1.8874902912293181E-2</v>
      </c>
    </row>
    <row r="103" spans="1:24" ht="14.25" customHeight="1" thickBot="1" x14ac:dyDescent="0.3">
      <c r="A103" s="109"/>
      <c r="B103" s="117">
        <v>17</v>
      </c>
      <c r="C103" s="115">
        <f>IF($B103&lt;=10, INDEX(Data!$A:$A,40+$B103), INDEX(Data!$A:$A,80+$B103))</f>
        <v>5.7</v>
      </c>
      <c r="D103" s="116">
        <f>IF($B103&lt;=10, INDEX(Data!$B:$B,40+$B103), INDEX(Data!$B:$B,80+$B103))</f>
        <v>2.9</v>
      </c>
      <c r="E103" s="116">
        <f>IF($B103&lt;=10, INDEX(Data!$C:$C,40+$B103), INDEX(Data!$C:$C,80+$B103))</f>
        <v>4.2</v>
      </c>
      <c r="F103" s="116">
        <f>IF($B103&lt;=10, INDEX(Data!$D:$D,40+$B103), INDEX(Data!$D:$D,80+$B103))</f>
        <v>1.3</v>
      </c>
      <c r="G103" s="116">
        <f>IF(INDEX(Data!$E:$E,IF($B103&lt;=10,40+$B103,80+$B103))="Iris-setosa",0,1)</f>
        <v>1</v>
      </c>
      <c r="H103">
        <f t="shared" ref="H103:H134" si="58">IF(G103=P103, 1, 0)</f>
        <v>1</v>
      </c>
      <c r="I103" s="38">
        <f t="shared" si="53"/>
        <v>0.22781635146522533</v>
      </c>
      <c r="J103" s="38">
        <f t="shared" si="54"/>
        <v>-0.36661120246652174</v>
      </c>
      <c r="K103" s="38">
        <f t="shared" si="55"/>
        <v>-0.51992814492611372</v>
      </c>
      <c r="L103" s="38">
        <f t="shared" si="56"/>
        <v>1.1412660856875996</v>
      </c>
      <c r="M103" s="38">
        <f t="shared" si="57"/>
        <v>0.8343741884386261</v>
      </c>
      <c r="N103" s="35">
        <f t="shared" ref="N103:N134" si="59">I103+J103*C103+K103*D103+L103*E103+F103*M103</f>
        <v>2.508344881978454</v>
      </c>
      <c r="O103" s="35">
        <f t="shared" ref="O103:O134" si="60">1/(1+EXP(-N103))</f>
        <v>0.9247247605689709</v>
      </c>
      <c r="P103" s="36">
        <f t="shared" ref="P103:P134" si="61">IF(O103&gt;0.5,1,0)</f>
        <v>1</v>
      </c>
      <c r="Q103" s="36">
        <f t="shared" si="46"/>
        <v>-7.5275239431029095E-2</v>
      </c>
      <c r="R103" s="37">
        <f t="shared" ref="R103:R134" si="62">Q103^2</f>
        <v>5.6663616713987577E-3</v>
      </c>
      <c r="T103" s="37">
        <f t="shared" si="48"/>
        <v>-1.047964987976282E-2</v>
      </c>
      <c r="U103" s="37">
        <f t="shared" si="49"/>
        <v>-5.9734004314648079E-2</v>
      </c>
      <c r="V103" s="37">
        <f t="shared" si="50"/>
        <v>-3.0390984651312177E-2</v>
      </c>
      <c r="W103" s="37">
        <f t="shared" si="51"/>
        <v>-4.4014529495003847E-2</v>
      </c>
      <c r="X103" s="37">
        <f t="shared" si="52"/>
        <v>-1.3623544843691666E-2</v>
      </c>
    </row>
    <row r="104" spans="1:24" ht="14.25" customHeight="1" thickBot="1" x14ac:dyDescent="0.3">
      <c r="A104" s="109"/>
      <c r="B104" s="117">
        <v>18</v>
      </c>
      <c r="C104" s="115">
        <f>IF($B104&lt;=10, INDEX(Data!$A:$A,40+$B104), INDEX(Data!$A:$A,80+$B104))</f>
        <v>6.2</v>
      </c>
      <c r="D104" s="116">
        <f>IF($B104&lt;=10, INDEX(Data!$B:$B,40+$B104), INDEX(Data!$B:$B,80+$B104))</f>
        <v>2.9</v>
      </c>
      <c r="E104" s="116">
        <f>IF($B104&lt;=10, INDEX(Data!$C:$C,40+$B104), INDEX(Data!$C:$C,80+$B104))</f>
        <v>4.3</v>
      </c>
      <c r="F104" s="116">
        <f>IF($B104&lt;=10, INDEX(Data!$D:$D,40+$B104), INDEX(Data!$D:$D,80+$B104))</f>
        <v>1.3</v>
      </c>
      <c r="G104" s="116">
        <f>IF(INDEX(Data!$E:$E,IF($B104&lt;=10,40+$B104,80+$B104))="Iris-setosa",0,1)</f>
        <v>1</v>
      </c>
      <c r="H104">
        <f t="shared" si="58"/>
        <v>1</v>
      </c>
      <c r="I104" s="38">
        <f t="shared" si="53"/>
        <v>0.2288643164532016</v>
      </c>
      <c r="J104" s="38">
        <f t="shared" si="54"/>
        <v>-0.36063780203505691</v>
      </c>
      <c r="K104" s="38">
        <f t="shared" si="55"/>
        <v>-0.51688904646098255</v>
      </c>
      <c r="L104" s="38">
        <f t="shared" si="56"/>
        <v>1.1456675386371</v>
      </c>
      <c r="M104" s="38">
        <f t="shared" si="57"/>
        <v>0.83573654292299526</v>
      </c>
      <c r="N104" s="35">
        <f t="shared" si="59"/>
        <v>2.506759631038423</v>
      </c>
      <c r="O104" s="35">
        <f t="shared" si="60"/>
        <v>0.92461433870666865</v>
      </c>
      <c r="P104" s="36">
        <f t="shared" si="61"/>
        <v>1</v>
      </c>
      <c r="Q104" s="36">
        <f t="shared" si="46"/>
        <v>-7.5385661293331352E-2</v>
      </c>
      <c r="R104" s="37">
        <f t="shared" si="62"/>
        <v>5.6829979286328767E-3</v>
      </c>
      <c r="T104" s="37">
        <f t="shared" si="48"/>
        <v>-1.0509162743308509E-2</v>
      </c>
      <c r="U104" s="37">
        <f t="shared" si="49"/>
        <v>-6.5156809008512756E-2</v>
      </c>
      <c r="V104" s="37">
        <f t="shared" si="50"/>
        <v>-3.0476571955594677E-2</v>
      </c>
      <c r="W104" s="37">
        <f t="shared" si="51"/>
        <v>-4.518939979622659E-2</v>
      </c>
      <c r="X104" s="37">
        <f t="shared" si="52"/>
        <v>-1.3661911566301062E-2</v>
      </c>
    </row>
    <row r="105" spans="1:24" ht="14.25" customHeight="1" thickBot="1" x14ac:dyDescent="0.3">
      <c r="A105" s="109"/>
      <c r="B105" s="117">
        <v>19</v>
      </c>
      <c r="C105" s="115">
        <f>IF($B105&lt;=10, INDEX(Data!$A:$A,40+$B105), INDEX(Data!$A:$A,80+$B105))</f>
        <v>5.0999999999999996</v>
      </c>
      <c r="D105" s="116">
        <f>IF($B105&lt;=10, INDEX(Data!$B:$B,40+$B105), INDEX(Data!$B:$B,80+$B105))</f>
        <v>2.5</v>
      </c>
      <c r="E105" s="116">
        <f>IF($B105&lt;=10, INDEX(Data!$C:$C,40+$B105), INDEX(Data!$C:$C,80+$B105))</f>
        <v>3</v>
      </c>
      <c r="F105" s="116">
        <f>IF($B105&lt;=10, INDEX(Data!$D:$D,40+$B105), INDEX(Data!$D:$D,80+$B105))</f>
        <v>1.1000000000000001</v>
      </c>
      <c r="G105" s="116">
        <f>IF(INDEX(Data!$E:$E,IF($B105&lt;=10,40+$B105,80+$B105))="Iris-setosa",0,1)</f>
        <v>1</v>
      </c>
      <c r="H105">
        <f t="shared" si="58"/>
        <v>1</v>
      </c>
      <c r="I105" s="38">
        <f t="shared" si="53"/>
        <v>0.22991523272753245</v>
      </c>
      <c r="J105" s="38">
        <f t="shared" si="54"/>
        <v>-0.35412212113420566</v>
      </c>
      <c r="K105" s="38">
        <f t="shared" si="55"/>
        <v>-0.51384138926542311</v>
      </c>
      <c r="L105" s="38">
        <f t="shared" si="56"/>
        <v>1.1501864786167226</v>
      </c>
      <c r="M105" s="38">
        <f t="shared" si="57"/>
        <v>0.83710273407962532</v>
      </c>
      <c r="N105" s="35">
        <f t="shared" si="59"/>
        <v>1.5106613851172814</v>
      </c>
      <c r="O105" s="35">
        <f t="shared" si="60"/>
        <v>0.81915920340367854</v>
      </c>
      <c r="P105" s="36">
        <f t="shared" si="61"/>
        <v>1</v>
      </c>
      <c r="Q105" s="36">
        <f t="shared" si="46"/>
        <v>-0.18084079659632146</v>
      </c>
      <c r="R105" s="37">
        <f t="shared" si="62"/>
        <v>3.2703393713592113E-2</v>
      </c>
      <c r="T105" s="37">
        <f t="shared" si="48"/>
        <v>-5.3578571886045971E-2</v>
      </c>
      <c r="U105" s="37">
        <f t="shared" si="49"/>
        <v>-0.27325071661883443</v>
      </c>
      <c r="V105" s="37">
        <f t="shared" si="50"/>
        <v>-0.13394642971511492</v>
      </c>
      <c r="W105" s="37">
        <f t="shared" si="51"/>
        <v>-0.16073571565813791</v>
      </c>
      <c r="X105" s="37">
        <f t="shared" si="52"/>
        <v>-5.8936429074650576E-2</v>
      </c>
    </row>
    <row r="106" spans="1:24" ht="14.25" customHeight="1" thickBot="1" x14ac:dyDescent="0.3">
      <c r="A106" s="109"/>
      <c r="B106" s="117">
        <v>20</v>
      </c>
      <c r="C106" s="115">
        <f>IF($B106&lt;=10, INDEX(Data!$A:$A,40+$B106), INDEX(Data!$A:$A,80+$B106))</f>
        <v>5.7</v>
      </c>
      <c r="D106" s="116">
        <f>IF($B106&lt;=10, INDEX(Data!$B:$B,40+$B106), INDEX(Data!$B:$B,80+$B106))</f>
        <v>2.8</v>
      </c>
      <c r="E106" s="116">
        <f>IF($B106&lt;=10, INDEX(Data!$C:$C,40+$B106), INDEX(Data!$C:$C,80+$B106))</f>
        <v>4.0999999999999996</v>
      </c>
      <c r="F106" s="116">
        <f>IF($B106&lt;=10, INDEX(Data!$D:$D,40+$B106), INDEX(Data!$D:$D,80+$B106))</f>
        <v>1.3</v>
      </c>
      <c r="G106" s="116">
        <f>IF(INDEX(Data!$E:$E,IF($B106&lt;=10,40+$B106,80+$B106))="Iris-setosa",0,1)</f>
        <v>1</v>
      </c>
      <c r="H106">
        <f t="shared" si="58"/>
        <v>1</v>
      </c>
      <c r="I106" s="38">
        <f t="shared" si="53"/>
        <v>0.23527308991613705</v>
      </c>
      <c r="J106" s="38">
        <f t="shared" si="54"/>
        <v>-0.32679704947232224</v>
      </c>
      <c r="K106" s="38">
        <f t="shared" si="55"/>
        <v>-0.50044674629391162</v>
      </c>
      <c r="L106" s="38">
        <f t="shared" si="56"/>
        <v>1.1662600501825364</v>
      </c>
      <c r="M106" s="38">
        <f t="shared" si="57"/>
        <v>0.8429963769870904</v>
      </c>
      <c r="N106" s="35">
        <f t="shared" si="59"/>
        <v>2.8488405141325641</v>
      </c>
      <c r="O106" s="35">
        <f t="shared" si="60"/>
        <v>0.94525871652983862</v>
      </c>
      <c r="P106" s="36">
        <f t="shared" si="61"/>
        <v>1</v>
      </c>
      <c r="Q106" s="36">
        <f t="shared" si="46"/>
        <v>-5.4741283470161384E-2</v>
      </c>
      <c r="R106" s="37">
        <f t="shared" si="62"/>
        <v>2.9966081159605641E-3</v>
      </c>
      <c r="S106">
        <f>AVERAGE(R87:R106)</f>
        <v>2.7713781881133541E-2</v>
      </c>
      <c r="T106" s="37">
        <f t="shared" si="48"/>
        <v>-5.6651398832715614E-3</v>
      </c>
      <c r="U106" s="37">
        <f t="shared" si="49"/>
        <v>-3.2291297334647903E-2</v>
      </c>
      <c r="V106" s="37">
        <f t="shared" si="50"/>
        <v>-1.5862391673160371E-2</v>
      </c>
      <c r="W106" s="37">
        <f t="shared" si="51"/>
        <v>-2.3227073521413399E-2</v>
      </c>
      <c r="X106" s="37">
        <f t="shared" si="52"/>
        <v>-7.36468184825303E-3</v>
      </c>
    </row>
    <row r="107" spans="1:24" ht="14.25" customHeight="1" thickBot="1" x14ac:dyDescent="0.3">
      <c r="B107" s="94"/>
      <c r="C107" s="83"/>
      <c r="D107" s="81"/>
      <c r="E107" s="81"/>
      <c r="F107" s="81"/>
      <c r="G107" s="84"/>
      <c r="H107" s="85"/>
      <c r="I107" s="86"/>
      <c r="J107" s="86"/>
      <c r="K107" s="86"/>
      <c r="L107" s="86"/>
      <c r="M107" s="86"/>
      <c r="N107" s="87"/>
      <c r="O107" s="87"/>
      <c r="P107" s="88"/>
      <c r="Q107" s="88"/>
      <c r="R107" s="89"/>
      <c r="S107" s="90"/>
      <c r="T107" s="82"/>
      <c r="U107" s="82"/>
      <c r="V107" s="82"/>
      <c r="W107" s="82"/>
      <c r="X107" s="82"/>
    </row>
    <row r="108" spans="1:24" ht="14.25" customHeight="1" thickBot="1" x14ac:dyDescent="0.3">
      <c r="B108" s="112" t="s">
        <v>49</v>
      </c>
      <c r="C108" s="112"/>
      <c r="D108" s="112"/>
      <c r="E108" s="72" t="s">
        <v>50</v>
      </c>
      <c r="F108" s="72"/>
      <c r="G108" s="93"/>
      <c r="H108" s="85"/>
      <c r="I108" s="86"/>
      <c r="J108" s="86"/>
      <c r="K108" s="86"/>
      <c r="L108" s="86"/>
      <c r="M108" s="86"/>
      <c r="N108" s="87"/>
      <c r="O108" s="87"/>
      <c r="P108" s="88"/>
      <c r="Q108" s="88"/>
      <c r="R108" s="89"/>
      <c r="S108" s="90"/>
      <c r="T108" s="82"/>
      <c r="U108" s="82"/>
      <c r="V108" s="82"/>
      <c r="W108" s="82"/>
      <c r="X108" s="82"/>
    </row>
    <row r="109" spans="1:24" ht="14.25" customHeight="1" thickBot="1" x14ac:dyDescent="0.3">
      <c r="B109" s="40" t="s">
        <v>39</v>
      </c>
      <c r="C109" s="68" t="s">
        <v>40</v>
      </c>
      <c r="D109" s="69"/>
      <c r="E109" s="69" t="s">
        <v>39</v>
      </c>
      <c r="F109" s="69" t="s">
        <v>41</v>
      </c>
      <c r="G109" s="84"/>
      <c r="H109" s="85"/>
      <c r="I109" s="86"/>
      <c r="J109" s="86"/>
      <c r="K109" s="86"/>
      <c r="L109" s="86"/>
      <c r="M109" s="86"/>
      <c r="N109" s="87"/>
      <c r="O109" s="87"/>
      <c r="P109" s="88"/>
      <c r="Q109" s="88"/>
      <c r="R109" s="89"/>
      <c r="S109" s="90"/>
      <c r="T109" s="82"/>
      <c r="U109" s="82"/>
      <c r="V109" s="82"/>
      <c r="W109" s="82"/>
      <c r="X109" s="82"/>
    </row>
    <row r="110" spans="1:24" ht="14.25" customHeight="1" thickBot="1" x14ac:dyDescent="0.3">
      <c r="B110" s="40" t="s">
        <v>42</v>
      </c>
      <c r="C110" s="68">
        <f>S26</f>
        <v>9.9677957708508874E-2</v>
      </c>
      <c r="D110" s="69"/>
      <c r="E110" s="69" t="s">
        <v>42</v>
      </c>
      <c r="F110" s="69">
        <f>SUM(H7:H26)/20</f>
        <v>0.85</v>
      </c>
      <c r="G110" s="93"/>
      <c r="H110" s="85"/>
      <c r="I110" s="86"/>
      <c r="J110" s="86"/>
      <c r="K110" s="86"/>
      <c r="L110" s="86"/>
      <c r="M110" s="86"/>
      <c r="N110" s="87"/>
      <c r="O110" s="87"/>
      <c r="P110" s="88"/>
      <c r="Q110" s="88"/>
      <c r="R110" s="89"/>
      <c r="S110" s="90"/>
      <c r="T110" s="82"/>
      <c r="U110" s="82"/>
      <c r="V110" s="82"/>
      <c r="W110" s="82"/>
      <c r="X110" s="82"/>
    </row>
    <row r="111" spans="1:24" ht="14.25" customHeight="1" thickBot="1" x14ac:dyDescent="0.3">
      <c r="B111" s="40" t="s">
        <v>43</v>
      </c>
      <c r="C111" s="68">
        <f>S46</f>
        <v>6.4850082207667872E-2</v>
      </c>
      <c r="D111" s="69"/>
      <c r="E111" s="69" t="s">
        <v>43</v>
      </c>
      <c r="F111" s="69">
        <f>SUM(H27:H46)/20</f>
        <v>0.9</v>
      </c>
      <c r="G111" s="84"/>
      <c r="H111" s="85"/>
      <c r="I111" s="86"/>
      <c r="J111" s="86"/>
      <c r="K111" s="86"/>
      <c r="L111" s="86"/>
      <c r="M111" s="86"/>
      <c r="N111" s="87"/>
      <c r="O111" s="87"/>
      <c r="P111" s="88"/>
      <c r="Q111" s="88"/>
      <c r="R111" s="89"/>
      <c r="S111" s="90"/>
      <c r="T111" s="82"/>
      <c r="U111" s="82"/>
      <c r="V111" s="82"/>
      <c r="W111" s="82"/>
      <c r="X111" s="82"/>
    </row>
    <row r="112" spans="1:24" ht="14.25" customHeight="1" thickBot="1" x14ac:dyDescent="0.3">
      <c r="B112" s="40" t="s">
        <v>44</v>
      </c>
      <c r="C112" s="68">
        <f>S66</f>
        <v>4.5647353934010045E-2</v>
      </c>
      <c r="D112" s="69"/>
      <c r="E112" s="69" t="s">
        <v>44</v>
      </c>
      <c r="F112" s="69">
        <f>SUM(H47:H66)/20</f>
        <v>0.95</v>
      </c>
      <c r="G112" s="93"/>
      <c r="H112" s="85"/>
      <c r="I112" s="86"/>
      <c r="J112" s="86"/>
      <c r="K112" s="86"/>
      <c r="L112" s="86"/>
      <c r="M112" s="86"/>
      <c r="N112" s="87"/>
      <c r="O112" s="87"/>
      <c r="P112" s="88"/>
      <c r="Q112" s="88"/>
      <c r="R112" s="89"/>
      <c r="S112" s="90"/>
      <c r="T112" s="82"/>
      <c r="U112" s="82"/>
      <c r="V112" s="82"/>
      <c r="W112" s="82"/>
      <c r="X112" s="82"/>
    </row>
    <row r="113" spans="2:24" ht="14.25" customHeight="1" thickBot="1" x14ac:dyDescent="0.3">
      <c r="B113" s="40" t="s">
        <v>45</v>
      </c>
      <c r="C113" s="68">
        <f>S86</f>
        <v>3.4515482728347466E-2</v>
      </c>
      <c r="D113" s="69"/>
      <c r="E113" s="69" t="s">
        <v>45</v>
      </c>
      <c r="F113" s="69">
        <f>SUM(H67:H86)/20</f>
        <v>1</v>
      </c>
      <c r="G113" s="84"/>
      <c r="H113" s="85"/>
      <c r="I113" s="86"/>
      <c r="J113" s="86"/>
      <c r="K113" s="86"/>
      <c r="L113" s="86"/>
      <c r="M113" s="86"/>
      <c r="N113" s="87"/>
      <c r="O113" s="87"/>
      <c r="P113" s="88"/>
      <c r="Q113" s="88"/>
      <c r="R113" s="89"/>
      <c r="S113" s="90"/>
      <c r="T113" s="82"/>
      <c r="U113" s="82"/>
      <c r="V113" s="82"/>
      <c r="W113" s="82"/>
      <c r="X113" s="82"/>
    </row>
    <row r="114" spans="2:24" ht="14.25" customHeight="1" thickBot="1" x14ac:dyDescent="0.3">
      <c r="B114" s="40" t="s">
        <v>46</v>
      </c>
      <c r="C114" s="68">
        <f>S106</f>
        <v>2.7713781881133541E-2</v>
      </c>
      <c r="D114" s="69"/>
      <c r="E114" s="69" t="s">
        <v>46</v>
      </c>
      <c r="F114" s="69">
        <f>SUM(H87:H106)/20</f>
        <v>1</v>
      </c>
      <c r="G114" s="93"/>
      <c r="H114" s="85"/>
      <c r="I114" s="86"/>
      <c r="J114" s="86"/>
      <c r="K114" s="86"/>
      <c r="L114" s="86"/>
      <c r="M114" s="86"/>
      <c r="N114" s="87"/>
      <c r="O114" s="87"/>
      <c r="P114" s="88"/>
      <c r="Q114" s="88"/>
      <c r="R114" s="89"/>
      <c r="S114" s="90"/>
      <c r="T114" s="82"/>
      <c r="U114" s="82"/>
      <c r="V114" s="82"/>
      <c r="W114" s="82"/>
      <c r="X114" s="82"/>
    </row>
    <row r="115" spans="2:24" ht="14.25" customHeight="1" thickBot="1" x14ac:dyDescent="0.3">
      <c r="B115" s="105"/>
      <c r="C115" s="110"/>
      <c r="D115" s="111"/>
      <c r="E115" s="111"/>
      <c r="F115" s="111"/>
      <c r="G115" s="84"/>
      <c r="H115" s="85"/>
      <c r="I115" s="86"/>
      <c r="J115" s="86"/>
      <c r="K115" s="86"/>
      <c r="L115" s="86"/>
      <c r="M115" s="86"/>
      <c r="N115" s="87"/>
      <c r="O115" s="87"/>
      <c r="P115" s="88"/>
      <c r="Q115" s="88"/>
      <c r="R115" s="89"/>
      <c r="S115" s="90"/>
      <c r="T115" s="82"/>
      <c r="U115" s="82"/>
      <c r="V115" s="82"/>
      <c r="W115" s="82"/>
      <c r="X115" s="82"/>
    </row>
    <row r="116" spans="2:24" ht="14.25" customHeight="1" thickBot="1" x14ac:dyDescent="0.3">
      <c r="B116" s="78"/>
      <c r="C116" s="91"/>
      <c r="D116" s="92"/>
      <c r="E116" s="92"/>
      <c r="F116" s="92"/>
      <c r="G116" s="93"/>
      <c r="H116" s="85"/>
      <c r="I116" s="86"/>
      <c r="J116" s="86"/>
      <c r="K116" s="86"/>
      <c r="L116" s="86"/>
      <c r="M116" s="86"/>
      <c r="N116" s="87"/>
      <c r="O116" s="87"/>
      <c r="P116" s="88"/>
      <c r="Q116" s="88"/>
      <c r="R116" s="89"/>
      <c r="S116" s="90"/>
      <c r="T116" s="82"/>
      <c r="U116" s="82"/>
      <c r="V116" s="82"/>
      <c r="W116" s="82"/>
      <c r="X116" s="82"/>
    </row>
    <row r="117" spans="2:24" ht="14.25" customHeight="1" x14ac:dyDescent="0.25">
      <c r="B117" s="94"/>
      <c r="C117" s="83"/>
      <c r="D117" s="81"/>
      <c r="E117" s="81"/>
      <c r="F117" s="81"/>
      <c r="G117" s="84"/>
      <c r="H117" s="85"/>
      <c r="I117" s="86"/>
      <c r="J117" s="86"/>
      <c r="K117" s="86"/>
      <c r="L117" s="86"/>
      <c r="M117" s="86"/>
      <c r="N117" s="87"/>
      <c r="O117" s="87"/>
      <c r="P117" s="88"/>
      <c r="Q117" s="88"/>
      <c r="R117" s="89"/>
      <c r="S117" s="90"/>
      <c r="T117" s="82"/>
      <c r="U117" s="82"/>
      <c r="V117" s="82"/>
      <c r="W117" s="82"/>
      <c r="X117" s="82"/>
    </row>
    <row r="118" spans="2:24" ht="14.25" customHeight="1" x14ac:dyDescent="0.25">
      <c r="B118" s="78"/>
      <c r="C118" s="91"/>
      <c r="D118" s="92"/>
      <c r="E118" s="92"/>
      <c r="F118" s="92"/>
      <c r="G118" s="93"/>
      <c r="H118" s="85"/>
      <c r="I118" s="86"/>
      <c r="J118" s="86"/>
      <c r="K118" s="86"/>
      <c r="L118" s="86"/>
      <c r="M118" s="86"/>
      <c r="N118" s="87"/>
      <c r="O118" s="87"/>
      <c r="P118" s="88"/>
      <c r="Q118" s="88"/>
      <c r="R118" s="89"/>
      <c r="S118" s="90"/>
      <c r="T118" s="82"/>
      <c r="U118" s="82"/>
      <c r="V118" s="82"/>
      <c r="W118" s="82"/>
      <c r="X118" s="82"/>
    </row>
    <row r="119" spans="2:24" ht="14.25" customHeight="1" x14ac:dyDescent="0.25">
      <c r="B119" s="78"/>
      <c r="C119" s="83"/>
      <c r="D119" s="81"/>
      <c r="E119" s="81"/>
      <c r="F119" s="81"/>
      <c r="G119" s="84"/>
      <c r="H119" s="85"/>
      <c r="I119" s="86"/>
      <c r="J119" s="86"/>
      <c r="K119" s="86"/>
      <c r="L119" s="86"/>
      <c r="M119" s="86"/>
      <c r="N119" s="87"/>
      <c r="O119" s="87"/>
      <c r="P119" s="88"/>
      <c r="Q119" s="88"/>
      <c r="R119" s="89"/>
      <c r="S119" s="90"/>
      <c r="T119" s="82"/>
      <c r="U119" s="82"/>
      <c r="V119" s="82"/>
      <c r="W119" s="82"/>
      <c r="X119" s="82"/>
    </row>
    <row r="120" spans="2:24" ht="14.25" customHeight="1" x14ac:dyDescent="0.25">
      <c r="B120" s="78"/>
      <c r="C120" s="91"/>
      <c r="D120" s="92"/>
      <c r="E120" s="92"/>
      <c r="F120" s="92"/>
      <c r="G120" s="93"/>
      <c r="H120" s="85"/>
      <c r="I120" s="86"/>
      <c r="J120" s="86"/>
      <c r="K120" s="86"/>
      <c r="L120" s="86"/>
      <c r="M120" s="86"/>
      <c r="N120" s="87"/>
      <c r="O120" s="87"/>
      <c r="P120" s="88"/>
      <c r="Q120" s="88"/>
      <c r="R120" s="89"/>
      <c r="S120" s="90"/>
      <c r="T120" s="82"/>
      <c r="U120" s="82"/>
      <c r="V120" s="82"/>
      <c r="W120" s="82"/>
      <c r="X120" s="82"/>
    </row>
    <row r="121" spans="2:24" ht="14.25" customHeight="1" x14ac:dyDescent="0.25">
      <c r="B121" s="78"/>
      <c r="C121" s="83"/>
      <c r="D121" s="81"/>
      <c r="E121" s="81"/>
      <c r="F121" s="81"/>
      <c r="G121" s="84"/>
      <c r="H121" s="85"/>
      <c r="I121" s="86"/>
      <c r="J121" s="86"/>
      <c r="K121" s="86"/>
      <c r="L121" s="86"/>
      <c r="M121" s="86"/>
      <c r="N121" s="87"/>
      <c r="O121" s="87"/>
      <c r="P121" s="88"/>
      <c r="Q121" s="88"/>
      <c r="R121" s="89"/>
      <c r="S121" s="90"/>
      <c r="T121" s="82"/>
      <c r="U121" s="82"/>
      <c r="V121" s="82"/>
      <c r="W121" s="82"/>
      <c r="X121" s="82"/>
    </row>
    <row r="122" spans="2:24" ht="14.25" customHeight="1" x14ac:dyDescent="0.25">
      <c r="B122" s="94"/>
      <c r="C122" s="91"/>
      <c r="D122" s="92"/>
      <c r="E122" s="92"/>
      <c r="F122" s="92"/>
      <c r="G122" s="93"/>
      <c r="H122" s="85"/>
      <c r="I122" s="86"/>
      <c r="J122" s="86"/>
      <c r="K122" s="86"/>
      <c r="L122" s="86"/>
      <c r="M122" s="86"/>
      <c r="N122" s="87"/>
      <c r="O122" s="87"/>
      <c r="P122" s="88"/>
      <c r="Q122" s="88"/>
      <c r="R122" s="89"/>
      <c r="S122" s="90"/>
      <c r="T122" s="82"/>
      <c r="U122" s="82"/>
      <c r="V122" s="82"/>
      <c r="W122" s="82"/>
      <c r="X122" s="82"/>
    </row>
    <row r="123" spans="2:24" ht="14.25" customHeight="1" x14ac:dyDescent="0.25">
      <c r="B123" s="78"/>
      <c r="C123" s="83"/>
      <c r="D123" s="81"/>
      <c r="E123" s="81"/>
      <c r="F123" s="81"/>
      <c r="G123" s="84"/>
      <c r="H123" s="85"/>
      <c r="I123" s="86"/>
      <c r="J123" s="86"/>
      <c r="K123" s="86"/>
      <c r="L123" s="86"/>
      <c r="M123" s="86"/>
      <c r="N123" s="87"/>
      <c r="O123" s="87"/>
      <c r="P123" s="88"/>
      <c r="Q123" s="88"/>
      <c r="R123" s="89"/>
      <c r="S123" s="90"/>
      <c r="T123" s="82"/>
      <c r="U123" s="82"/>
      <c r="V123" s="82"/>
      <c r="W123" s="82"/>
      <c r="X123" s="82"/>
    </row>
    <row r="124" spans="2:24" ht="14.25" customHeight="1" x14ac:dyDescent="0.25">
      <c r="B124" s="78"/>
      <c r="C124" s="91"/>
      <c r="D124" s="92"/>
      <c r="E124" s="92"/>
      <c r="F124" s="92"/>
      <c r="G124" s="93"/>
      <c r="H124" s="85"/>
      <c r="I124" s="86"/>
      <c r="J124" s="86"/>
      <c r="K124" s="86"/>
      <c r="L124" s="86"/>
      <c r="M124" s="86"/>
      <c r="N124" s="87"/>
      <c r="O124" s="87"/>
      <c r="P124" s="88"/>
      <c r="Q124" s="88"/>
      <c r="R124" s="89"/>
      <c r="S124" s="90"/>
      <c r="T124" s="82"/>
      <c r="U124" s="82"/>
      <c r="V124" s="82"/>
      <c r="W124" s="82"/>
      <c r="X124" s="82"/>
    </row>
    <row r="125" spans="2:24" ht="14.25" customHeight="1" x14ac:dyDescent="0.25">
      <c r="B125" s="78"/>
      <c r="C125" s="83"/>
      <c r="D125" s="81"/>
      <c r="E125" s="81"/>
      <c r="F125" s="81"/>
      <c r="G125" s="84"/>
      <c r="H125" s="85"/>
      <c r="I125" s="86"/>
      <c r="J125" s="86"/>
      <c r="K125" s="86"/>
      <c r="L125" s="86"/>
      <c r="M125" s="86"/>
      <c r="N125" s="87"/>
      <c r="O125" s="87"/>
      <c r="P125" s="88"/>
      <c r="Q125" s="88"/>
      <c r="R125" s="89"/>
      <c r="S125" s="90"/>
      <c r="T125" s="82"/>
      <c r="U125" s="82"/>
      <c r="V125" s="82"/>
      <c r="W125" s="82"/>
      <c r="X125" s="82"/>
    </row>
    <row r="126" spans="2:24" ht="14.25" customHeight="1" x14ac:dyDescent="0.25">
      <c r="B126" s="78"/>
      <c r="C126" s="91"/>
      <c r="D126" s="92"/>
      <c r="E126" s="92"/>
      <c r="F126" s="92"/>
      <c r="G126" s="93"/>
      <c r="H126" s="85"/>
      <c r="I126" s="86"/>
      <c r="J126" s="86"/>
      <c r="K126" s="86"/>
      <c r="L126" s="86"/>
      <c r="M126" s="86"/>
      <c r="N126" s="87"/>
      <c r="O126" s="87"/>
      <c r="P126" s="88"/>
      <c r="Q126" s="88"/>
      <c r="R126" s="89"/>
      <c r="S126" s="90"/>
      <c r="T126" s="82"/>
      <c r="U126" s="82"/>
      <c r="V126" s="82"/>
      <c r="W126" s="82"/>
      <c r="X126" s="82"/>
    </row>
    <row r="127" spans="2:24" ht="14.25" customHeight="1" x14ac:dyDescent="0.25">
      <c r="B127" s="94"/>
      <c r="C127" s="83"/>
      <c r="D127" s="81"/>
      <c r="E127" s="81"/>
      <c r="F127" s="81"/>
      <c r="G127" s="84"/>
      <c r="H127" s="85"/>
      <c r="I127" s="86"/>
      <c r="J127" s="86"/>
      <c r="K127" s="86"/>
      <c r="L127" s="86"/>
      <c r="M127" s="86"/>
      <c r="N127" s="87"/>
      <c r="O127" s="87"/>
      <c r="P127" s="88"/>
      <c r="Q127" s="88"/>
      <c r="R127" s="89"/>
      <c r="S127" s="90"/>
      <c r="T127" s="82"/>
      <c r="U127" s="82"/>
      <c r="V127" s="82"/>
      <c r="W127" s="82"/>
      <c r="X127" s="82"/>
    </row>
    <row r="128" spans="2:24" ht="14.25" customHeight="1" x14ac:dyDescent="0.25">
      <c r="B128" s="78"/>
      <c r="C128" s="91"/>
      <c r="D128" s="92"/>
      <c r="E128" s="92"/>
      <c r="F128" s="92"/>
      <c r="G128" s="93"/>
      <c r="H128" s="85"/>
      <c r="I128" s="86"/>
      <c r="J128" s="86"/>
      <c r="K128" s="86"/>
      <c r="L128" s="86"/>
      <c r="M128" s="86"/>
      <c r="N128" s="87"/>
      <c r="O128" s="87"/>
      <c r="P128" s="88"/>
      <c r="Q128" s="88"/>
      <c r="R128" s="89"/>
      <c r="S128" s="90"/>
      <c r="T128" s="82"/>
      <c r="U128" s="82"/>
      <c r="V128" s="82"/>
      <c r="W128" s="82"/>
      <c r="X128" s="82"/>
    </row>
    <row r="129" spans="2:24" ht="14.25" customHeight="1" x14ac:dyDescent="0.25">
      <c r="B129" s="78"/>
      <c r="C129" s="83"/>
      <c r="D129" s="81"/>
      <c r="E129" s="81"/>
      <c r="F129" s="81"/>
      <c r="G129" s="84"/>
      <c r="H129" s="85"/>
      <c r="I129" s="86"/>
      <c r="J129" s="86"/>
      <c r="K129" s="86"/>
      <c r="L129" s="86"/>
      <c r="M129" s="86"/>
      <c r="N129" s="87"/>
      <c r="O129" s="87"/>
      <c r="P129" s="88"/>
      <c r="Q129" s="88"/>
      <c r="R129" s="89"/>
      <c r="S129" s="90"/>
      <c r="T129" s="82"/>
      <c r="U129" s="82"/>
      <c r="V129" s="82"/>
      <c r="W129" s="82"/>
      <c r="X129" s="82"/>
    </row>
    <row r="130" spans="2:24" ht="14.25" customHeight="1" x14ac:dyDescent="0.25">
      <c r="B130" s="78"/>
      <c r="C130" s="91"/>
      <c r="D130" s="92"/>
      <c r="E130" s="92"/>
      <c r="F130" s="92"/>
      <c r="G130" s="93"/>
      <c r="H130" s="85"/>
      <c r="I130" s="86"/>
      <c r="J130" s="86"/>
      <c r="K130" s="86"/>
      <c r="L130" s="86"/>
      <c r="M130" s="86"/>
      <c r="N130" s="87"/>
      <c r="O130" s="87"/>
      <c r="P130" s="88"/>
      <c r="Q130" s="88"/>
      <c r="R130" s="89"/>
      <c r="S130" s="90"/>
      <c r="T130" s="82"/>
      <c r="U130" s="82"/>
      <c r="V130" s="82"/>
      <c r="W130" s="82"/>
      <c r="X130" s="82"/>
    </row>
    <row r="131" spans="2:24" ht="14.25" customHeight="1" x14ac:dyDescent="0.25">
      <c r="B131" s="78"/>
      <c r="C131" s="83"/>
      <c r="D131" s="81"/>
      <c r="E131" s="81"/>
      <c r="F131" s="81"/>
      <c r="G131" s="84"/>
      <c r="H131" s="85"/>
      <c r="I131" s="86"/>
      <c r="J131" s="86"/>
      <c r="K131" s="86"/>
      <c r="L131" s="86"/>
      <c r="M131" s="86"/>
      <c r="N131" s="87"/>
      <c r="O131" s="87"/>
      <c r="P131" s="88"/>
      <c r="Q131" s="88"/>
      <c r="R131" s="89"/>
      <c r="S131" s="90"/>
      <c r="T131" s="82"/>
      <c r="U131" s="82"/>
      <c r="V131" s="82"/>
      <c r="W131" s="82"/>
      <c r="X131" s="82"/>
    </row>
    <row r="132" spans="2:24" ht="14.25" customHeight="1" x14ac:dyDescent="0.25">
      <c r="B132" s="94"/>
      <c r="C132" s="91"/>
      <c r="D132" s="92"/>
      <c r="E132" s="92"/>
      <c r="F132" s="92"/>
      <c r="G132" s="93"/>
      <c r="H132" s="85"/>
      <c r="I132" s="86"/>
      <c r="J132" s="86"/>
      <c r="K132" s="86"/>
      <c r="L132" s="86"/>
      <c r="M132" s="86"/>
      <c r="N132" s="87"/>
      <c r="O132" s="87"/>
      <c r="P132" s="88"/>
      <c r="Q132" s="88"/>
      <c r="R132" s="89"/>
      <c r="S132" s="90"/>
      <c r="T132" s="82"/>
      <c r="U132" s="82"/>
      <c r="V132" s="82"/>
      <c r="W132" s="82"/>
      <c r="X132" s="82"/>
    </row>
    <row r="133" spans="2:24" ht="14.25" customHeight="1" x14ac:dyDescent="0.25">
      <c r="B133" s="78"/>
      <c r="C133" s="83"/>
      <c r="D133" s="81"/>
      <c r="E133" s="81"/>
      <c r="F133" s="81"/>
      <c r="G133" s="84"/>
      <c r="H133" s="85"/>
      <c r="I133" s="86"/>
      <c r="J133" s="86"/>
      <c r="K133" s="86"/>
      <c r="L133" s="86"/>
      <c r="M133" s="86"/>
      <c r="N133" s="87"/>
      <c r="O133" s="87"/>
      <c r="P133" s="88"/>
      <c r="Q133" s="88"/>
      <c r="R133" s="89"/>
      <c r="S133" s="90"/>
      <c r="T133" s="82"/>
      <c r="U133" s="82"/>
      <c r="V133" s="82"/>
      <c r="W133" s="82"/>
      <c r="X133" s="82"/>
    </row>
    <row r="134" spans="2:24" ht="14.25" customHeight="1" x14ac:dyDescent="0.25">
      <c r="B134" s="78"/>
      <c r="C134" s="91"/>
      <c r="D134" s="92"/>
      <c r="E134" s="92"/>
      <c r="F134" s="92"/>
      <c r="G134" s="93"/>
      <c r="H134" s="85"/>
      <c r="I134" s="86"/>
      <c r="J134" s="86"/>
      <c r="K134" s="86"/>
      <c r="L134" s="86"/>
      <c r="M134" s="86"/>
      <c r="N134" s="87"/>
      <c r="O134" s="87"/>
      <c r="P134" s="88"/>
      <c r="Q134" s="88"/>
      <c r="R134" s="89"/>
      <c r="S134" s="90"/>
      <c r="T134" s="82"/>
      <c r="U134" s="82"/>
      <c r="V134" s="82"/>
      <c r="W134" s="82"/>
      <c r="X134" s="82"/>
    </row>
    <row r="135" spans="2:24" ht="14.25" customHeight="1" x14ac:dyDescent="0.25">
      <c r="B135" s="78"/>
      <c r="C135" s="83"/>
      <c r="D135" s="81"/>
      <c r="E135" s="81"/>
      <c r="F135" s="81"/>
      <c r="G135" s="84"/>
      <c r="H135" s="85"/>
      <c r="I135" s="86"/>
      <c r="J135" s="86"/>
      <c r="K135" s="86"/>
      <c r="L135" s="86"/>
      <c r="M135" s="86"/>
      <c r="N135" s="87"/>
      <c r="O135" s="87"/>
      <c r="P135" s="88"/>
      <c r="Q135" s="88"/>
      <c r="R135" s="89"/>
      <c r="S135" s="90"/>
      <c r="T135" s="82"/>
      <c r="U135" s="82"/>
      <c r="V135" s="82"/>
      <c r="W135" s="82"/>
      <c r="X135" s="82"/>
    </row>
    <row r="136" spans="2:24" ht="14.25" customHeight="1" x14ac:dyDescent="0.25">
      <c r="B136" s="78"/>
      <c r="C136" s="91"/>
      <c r="D136" s="92"/>
      <c r="E136" s="92"/>
      <c r="F136" s="92"/>
      <c r="G136" s="93"/>
      <c r="H136" s="85"/>
      <c r="I136" s="86"/>
      <c r="J136" s="86"/>
      <c r="K136" s="86"/>
      <c r="L136" s="86"/>
      <c r="M136" s="86"/>
      <c r="N136" s="87"/>
      <c r="O136" s="87"/>
      <c r="P136" s="88"/>
      <c r="Q136" s="88"/>
      <c r="R136" s="89"/>
      <c r="S136" s="90"/>
      <c r="T136" s="82"/>
      <c r="U136" s="82"/>
      <c r="V136" s="82"/>
      <c r="W136" s="82"/>
      <c r="X136" s="82"/>
    </row>
    <row r="137" spans="2:24" ht="14.25" customHeight="1" x14ac:dyDescent="0.25">
      <c r="B137" s="94"/>
      <c r="C137" s="83"/>
      <c r="D137" s="81"/>
      <c r="E137" s="81"/>
      <c r="F137" s="81"/>
      <c r="G137" s="84"/>
      <c r="H137" s="85"/>
      <c r="I137" s="86"/>
      <c r="J137" s="86"/>
      <c r="K137" s="86"/>
      <c r="L137" s="86"/>
      <c r="M137" s="86"/>
      <c r="N137" s="87"/>
      <c r="O137" s="87"/>
      <c r="P137" s="88"/>
      <c r="Q137" s="88"/>
      <c r="R137" s="89"/>
      <c r="S137" s="90"/>
      <c r="T137" s="82"/>
      <c r="U137" s="82"/>
      <c r="V137" s="82"/>
      <c r="W137" s="82"/>
      <c r="X137" s="82"/>
    </row>
    <row r="138" spans="2:24" ht="14.25" customHeight="1" x14ac:dyDescent="0.25">
      <c r="B138" s="78"/>
      <c r="C138" s="91"/>
      <c r="D138" s="92"/>
      <c r="E138" s="92"/>
      <c r="F138" s="92"/>
      <c r="G138" s="93"/>
      <c r="H138" s="85"/>
      <c r="I138" s="86"/>
      <c r="J138" s="86"/>
      <c r="K138" s="86"/>
      <c r="L138" s="86"/>
      <c r="M138" s="86"/>
      <c r="N138" s="87"/>
      <c r="O138" s="87"/>
      <c r="P138" s="88"/>
      <c r="Q138" s="88"/>
      <c r="R138" s="89"/>
      <c r="S138" s="90"/>
      <c r="T138" s="82"/>
      <c r="U138" s="82"/>
      <c r="V138" s="82"/>
      <c r="W138" s="82"/>
      <c r="X138" s="82"/>
    </row>
    <row r="139" spans="2:24" ht="14.25" customHeight="1" x14ac:dyDescent="0.25">
      <c r="B139" s="78"/>
      <c r="C139" s="83"/>
      <c r="D139" s="81"/>
      <c r="E139" s="81"/>
      <c r="F139" s="81"/>
      <c r="G139" s="84"/>
      <c r="H139" s="85"/>
      <c r="I139" s="86"/>
      <c r="J139" s="86"/>
      <c r="K139" s="86"/>
      <c r="L139" s="86"/>
      <c r="M139" s="86"/>
      <c r="N139" s="87"/>
      <c r="O139" s="87"/>
      <c r="P139" s="88"/>
      <c r="Q139" s="88"/>
      <c r="R139" s="89"/>
      <c r="S139" s="90"/>
      <c r="T139" s="82"/>
      <c r="U139" s="82"/>
      <c r="V139" s="82"/>
      <c r="W139" s="82"/>
      <c r="X139" s="82"/>
    </row>
    <row r="140" spans="2:24" ht="14.25" customHeight="1" x14ac:dyDescent="0.25">
      <c r="B140" s="78"/>
      <c r="C140" s="91"/>
      <c r="D140" s="92"/>
      <c r="E140" s="92"/>
      <c r="F140" s="92"/>
      <c r="G140" s="93"/>
      <c r="H140" s="85"/>
      <c r="I140" s="86"/>
      <c r="J140" s="86"/>
      <c r="K140" s="86"/>
      <c r="L140" s="86"/>
      <c r="M140" s="86"/>
      <c r="N140" s="87"/>
      <c r="O140" s="87"/>
      <c r="P140" s="88"/>
      <c r="Q140" s="88"/>
      <c r="R140" s="89"/>
      <c r="S140" s="90"/>
      <c r="T140" s="82"/>
      <c r="U140" s="82"/>
      <c r="V140" s="82"/>
      <c r="W140" s="82"/>
      <c r="X140" s="82"/>
    </row>
    <row r="141" spans="2:24" ht="14.25" customHeight="1" x14ac:dyDescent="0.25">
      <c r="B141" s="78"/>
      <c r="C141" s="83"/>
      <c r="D141" s="81"/>
      <c r="E141" s="81"/>
      <c r="F141" s="81"/>
      <c r="G141" s="84"/>
      <c r="H141" s="85"/>
      <c r="I141" s="86"/>
      <c r="J141" s="86"/>
      <c r="K141" s="86"/>
      <c r="L141" s="86"/>
      <c r="M141" s="86"/>
      <c r="N141" s="87"/>
      <c r="O141" s="87"/>
      <c r="P141" s="88"/>
      <c r="Q141" s="88"/>
      <c r="R141" s="89"/>
      <c r="S141" s="90"/>
      <c r="T141" s="82"/>
      <c r="U141" s="82"/>
      <c r="V141" s="82"/>
      <c r="W141" s="82"/>
      <c r="X141" s="82"/>
    </row>
    <row r="142" spans="2:24" ht="14.25" customHeight="1" x14ac:dyDescent="0.25">
      <c r="B142" s="94"/>
      <c r="C142" s="91"/>
      <c r="D142" s="92"/>
      <c r="E142" s="92"/>
      <c r="F142" s="92"/>
      <c r="G142" s="93"/>
      <c r="H142" s="85"/>
      <c r="I142" s="86"/>
      <c r="J142" s="86"/>
      <c r="K142" s="86"/>
      <c r="L142" s="86"/>
      <c r="M142" s="86"/>
      <c r="N142" s="87"/>
      <c r="O142" s="87"/>
      <c r="P142" s="88"/>
      <c r="Q142" s="88"/>
      <c r="R142" s="89"/>
      <c r="S142" s="90"/>
      <c r="T142" s="82"/>
      <c r="U142" s="82"/>
      <c r="V142" s="82"/>
      <c r="W142" s="82"/>
      <c r="X142" s="82"/>
    </row>
    <row r="143" spans="2:24" ht="14.25" customHeight="1" x14ac:dyDescent="0.25">
      <c r="B143" s="78"/>
      <c r="C143" s="83"/>
      <c r="D143" s="81"/>
      <c r="E143" s="81"/>
      <c r="F143" s="81"/>
      <c r="G143" s="84"/>
      <c r="H143" s="85"/>
      <c r="I143" s="86"/>
      <c r="J143" s="86"/>
      <c r="K143" s="86"/>
      <c r="L143" s="86"/>
      <c r="M143" s="86"/>
      <c r="N143" s="87"/>
      <c r="O143" s="87"/>
      <c r="P143" s="88"/>
      <c r="Q143" s="88"/>
      <c r="R143" s="89"/>
      <c r="S143" s="90"/>
      <c r="T143" s="82"/>
      <c r="U143" s="82"/>
      <c r="V143" s="82"/>
      <c r="W143" s="82"/>
      <c r="X143" s="82"/>
    </row>
    <row r="144" spans="2:24" ht="14.25" customHeight="1" x14ac:dyDescent="0.25">
      <c r="B144" s="78"/>
      <c r="C144" s="91"/>
      <c r="D144" s="92"/>
      <c r="E144" s="92"/>
      <c r="F144" s="92"/>
      <c r="G144" s="93"/>
      <c r="H144" s="85"/>
      <c r="I144" s="86"/>
      <c r="J144" s="86"/>
      <c r="K144" s="86"/>
      <c r="L144" s="86"/>
      <c r="M144" s="86"/>
      <c r="N144" s="87"/>
      <c r="O144" s="87"/>
      <c r="P144" s="88"/>
      <c r="Q144" s="88"/>
      <c r="R144" s="89"/>
      <c r="S144" s="90"/>
      <c r="T144" s="82"/>
      <c r="U144" s="82"/>
      <c r="V144" s="82"/>
      <c r="W144" s="82"/>
      <c r="X144" s="82"/>
    </row>
    <row r="145" spans="1:24" ht="14.25" customHeight="1" x14ac:dyDescent="0.25">
      <c r="B145" s="78"/>
      <c r="C145" s="83"/>
      <c r="D145" s="81"/>
      <c r="E145" s="81"/>
      <c r="F145" s="81"/>
      <c r="G145" s="84"/>
      <c r="H145" s="85"/>
      <c r="I145" s="86"/>
      <c r="J145" s="86"/>
      <c r="K145" s="86"/>
      <c r="L145" s="86"/>
      <c r="M145" s="86"/>
      <c r="N145" s="87"/>
      <c r="O145" s="87"/>
      <c r="P145" s="88"/>
      <c r="Q145" s="88"/>
      <c r="R145" s="89"/>
      <c r="S145" s="90"/>
      <c r="T145" s="82"/>
      <c r="U145" s="82"/>
      <c r="V145" s="82"/>
      <c r="W145" s="82"/>
      <c r="X145" s="82"/>
    </row>
    <row r="146" spans="1:24" ht="14.25" customHeight="1" x14ac:dyDescent="0.25">
      <c r="B146" s="78"/>
      <c r="C146" s="91"/>
      <c r="D146" s="92"/>
      <c r="E146" s="92"/>
      <c r="F146" s="92"/>
      <c r="G146" s="93"/>
      <c r="H146" s="85"/>
      <c r="I146" s="86"/>
      <c r="J146" s="86"/>
      <c r="K146" s="86"/>
      <c r="L146" s="86"/>
      <c r="M146" s="86"/>
      <c r="N146" s="87"/>
      <c r="O146" s="87"/>
      <c r="P146" s="88"/>
      <c r="Q146" s="88"/>
      <c r="R146" s="89"/>
      <c r="S146" s="90"/>
      <c r="T146" s="82"/>
      <c r="U146" s="82"/>
      <c r="V146" s="82"/>
      <c r="W146" s="82"/>
      <c r="X146" s="82"/>
    </row>
    <row r="147" spans="1:24" ht="14.25" customHeight="1" x14ac:dyDescent="0.25">
      <c r="A147" s="57"/>
      <c r="B147" s="95"/>
      <c r="C147" s="83"/>
      <c r="D147" s="81"/>
      <c r="E147" s="81"/>
      <c r="F147" s="81"/>
      <c r="G147" s="84"/>
      <c r="H147" s="85"/>
      <c r="I147" s="95"/>
      <c r="J147" s="95"/>
      <c r="K147" s="95"/>
      <c r="L147" s="95"/>
      <c r="M147" s="95"/>
      <c r="N147" s="96"/>
      <c r="O147" s="96"/>
      <c r="P147" s="97"/>
      <c r="Q147" s="97"/>
      <c r="R147" s="98"/>
      <c r="S147" s="90"/>
      <c r="T147" s="82"/>
      <c r="U147" s="82"/>
      <c r="V147" s="82"/>
      <c r="W147" s="82"/>
      <c r="X147" s="82"/>
    </row>
    <row r="148" spans="1:24" ht="14.25" customHeight="1" x14ac:dyDescent="0.25">
      <c r="B148" s="99"/>
      <c r="C148" s="91"/>
      <c r="D148" s="92"/>
      <c r="E148" s="92"/>
      <c r="F148" s="92"/>
      <c r="G148" s="93"/>
      <c r="H148" s="85"/>
      <c r="I148" s="100"/>
      <c r="J148" s="100"/>
      <c r="K148" s="100"/>
      <c r="L148" s="100"/>
      <c r="M148" s="100"/>
      <c r="N148" s="96"/>
      <c r="O148" s="96"/>
      <c r="P148" s="97"/>
      <c r="Q148" s="97"/>
      <c r="R148" s="98"/>
      <c r="S148" s="90"/>
      <c r="T148" s="82"/>
      <c r="U148" s="82"/>
      <c r="V148" s="82"/>
      <c r="W148" s="82"/>
      <c r="X148" s="82"/>
    </row>
    <row r="149" spans="1:24" ht="14.25" customHeight="1" x14ac:dyDescent="0.25">
      <c r="B149" s="95"/>
      <c r="C149" s="83"/>
      <c r="D149" s="81"/>
      <c r="E149" s="81"/>
      <c r="F149" s="81"/>
      <c r="G149" s="84"/>
      <c r="H149" s="85"/>
      <c r="I149" s="100"/>
      <c r="J149" s="100"/>
      <c r="K149" s="100"/>
      <c r="L149" s="100"/>
      <c r="M149" s="100"/>
      <c r="N149" s="96"/>
      <c r="O149" s="96"/>
      <c r="P149" s="97"/>
      <c r="Q149" s="97"/>
      <c r="R149" s="98"/>
      <c r="S149" s="90"/>
      <c r="T149" s="82"/>
      <c r="U149" s="82"/>
      <c r="V149" s="82"/>
      <c r="W149" s="82"/>
      <c r="X149" s="82"/>
    </row>
    <row r="150" spans="1:24" ht="14.25" customHeight="1" x14ac:dyDescent="0.25">
      <c r="B150" s="99"/>
      <c r="C150" s="91"/>
      <c r="D150" s="92"/>
      <c r="E150" s="92"/>
      <c r="F150" s="92"/>
      <c r="G150" s="93"/>
      <c r="H150" s="85"/>
      <c r="I150" s="100"/>
      <c r="J150" s="100"/>
      <c r="K150" s="100"/>
      <c r="L150" s="100"/>
      <c r="M150" s="100"/>
      <c r="N150" s="96"/>
      <c r="O150" s="96"/>
      <c r="P150" s="97"/>
      <c r="Q150" s="97"/>
      <c r="R150" s="98"/>
      <c r="S150" s="90"/>
      <c r="T150" s="82"/>
      <c r="U150" s="82"/>
      <c r="V150" s="82"/>
      <c r="W150" s="82"/>
      <c r="X150" s="82"/>
    </row>
    <row r="151" spans="1:24" ht="14.25" customHeight="1" x14ac:dyDescent="0.25">
      <c r="B151" s="95"/>
      <c r="C151" s="83"/>
      <c r="D151" s="81"/>
      <c r="E151" s="81"/>
      <c r="F151" s="81"/>
      <c r="G151" s="84"/>
      <c r="H151" s="85"/>
      <c r="I151" s="100"/>
      <c r="J151" s="100"/>
      <c r="K151" s="100"/>
      <c r="L151" s="100"/>
      <c r="M151" s="100"/>
      <c r="N151" s="96"/>
      <c r="O151" s="96"/>
      <c r="P151" s="97"/>
      <c r="Q151" s="97"/>
      <c r="R151" s="98"/>
      <c r="S151" s="90"/>
      <c r="T151" s="82"/>
      <c r="U151" s="82"/>
      <c r="V151" s="82"/>
      <c r="W151" s="82"/>
      <c r="X151" s="82"/>
    </row>
    <row r="152" spans="1:24" ht="14.25" customHeight="1" x14ac:dyDescent="0.25">
      <c r="B152" s="99"/>
      <c r="C152" s="91"/>
      <c r="D152" s="92"/>
      <c r="E152" s="92"/>
      <c r="F152" s="92"/>
      <c r="G152" s="93"/>
      <c r="H152" s="85"/>
      <c r="I152" s="100"/>
      <c r="J152" s="100"/>
      <c r="K152" s="100"/>
      <c r="L152" s="100"/>
      <c r="M152" s="100"/>
      <c r="N152" s="96"/>
      <c r="O152" s="96"/>
      <c r="P152" s="97"/>
      <c r="Q152" s="97"/>
      <c r="R152" s="98"/>
      <c r="S152" s="90"/>
      <c r="T152" s="82"/>
      <c r="U152" s="82"/>
      <c r="V152" s="82"/>
      <c r="W152" s="82"/>
      <c r="X152" s="82"/>
    </row>
    <row r="153" spans="1:24" ht="14.25" customHeight="1" x14ac:dyDescent="0.25">
      <c r="B153" s="95"/>
      <c r="C153" s="83"/>
      <c r="D153" s="81"/>
      <c r="E153" s="81"/>
      <c r="F153" s="81"/>
      <c r="G153" s="84"/>
      <c r="H153" s="85"/>
      <c r="I153" s="100"/>
      <c r="J153" s="100"/>
      <c r="K153" s="100"/>
      <c r="L153" s="100"/>
      <c r="M153" s="100"/>
      <c r="N153" s="96"/>
      <c r="O153" s="96"/>
      <c r="P153" s="97"/>
      <c r="Q153" s="97"/>
      <c r="R153" s="98"/>
      <c r="S153" s="90"/>
      <c r="T153" s="82"/>
      <c r="U153" s="82"/>
      <c r="V153" s="82"/>
      <c r="W153" s="82"/>
      <c r="X153" s="82"/>
    </row>
    <row r="154" spans="1:24" ht="14.25" customHeight="1" x14ac:dyDescent="0.25">
      <c r="B154" s="99"/>
      <c r="C154" s="91"/>
      <c r="D154" s="92"/>
      <c r="E154" s="92"/>
      <c r="F154" s="92"/>
      <c r="G154" s="93"/>
      <c r="H154" s="85"/>
      <c r="I154" s="100"/>
      <c r="J154" s="100"/>
      <c r="K154" s="100"/>
      <c r="L154" s="100"/>
      <c r="M154" s="100"/>
      <c r="N154" s="96"/>
      <c r="O154" s="96"/>
      <c r="P154" s="97"/>
      <c r="Q154" s="97"/>
      <c r="R154" s="98"/>
      <c r="S154" s="90"/>
      <c r="T154" s="82"/>
      <c r="U154" s="82"/>
      <c r="V154" s="82"/>
      <c r="W154" s="82"/>
      <c r="X154" s="82"/>
    </row>
    <row r="155" spans="1:24" ht="14.25" customHeight="1" x14ac:dyDescent="0.25">
      <c r="B155" s="95"/>
      <c r="C155" s="83"/>
      <c r="D155" s="81"/>
      <c r="E155" s="81"/>
      <c r="F155" s="81"/>
      <c r="G155" s="84"/>
      <c r="H155" s="85"/>
      <c r="I155" s="100"/>
      <c r="J155" s="100"/>
      <c r="K155" s="100"/>
      <c r="L155" s="100"/>
      <c r="M155" s="100"/>
      <c r="N155" s="96"/>
      <c r="O155" s="96"/>
      <c r="P155" s="97"/>
      <c r="Q155" s="97"/>
      <c r="R155" s="98"/>
      <c r="S155" s="90"/>
      <c r="T155" s="82"/>
      <c r="U155" s="82"/>
      <c r="V155" s="82"/>
      <c r="W155" s="82"/>
      <c r="X155" s="82"/>
    </row>
    <row r="156" spans="1:24" ht="14.25" customHeight="1" x14ac:dyDescent="0.25">
      <c r="B156" s="99"/>
      <c r="C156" s="91"/>
      <c r="D156" s="92"/>
      <c r="E156" s="92"/>
      <c r="F156" s="92"/>
      <c r="G156" s="93"/>
      <c r="H156" s="85"/>
      <c r="I156" s="100"/>
      <c r="J156" s="100"/>
      <c r="K156" s="100"/>
      <c r="L156" s="100"/>
      <c r="M156" s="100"/>
      <c r="N156" s="96"/>
      <c r="O156" s="96"/>
      <c r="P156" s="97"/>
      <c r="Q156" s="97"/>
      <c r="R156" s="98"/>
      <c r="S156" s="90"/>
      <c r="T156" s="82"/>
      <c r="U156" s="82"/>
      <c r="V156" s="82"/>
      <c r="W156" s="82"/>
      <c r="X156" s="82"/>
    </row>
    <row r="157" spans="1:24" ht="14.25" customHeight="1" x14ac:dyDescent="0.25">
      <c r="B157" s="95"/>
      <c r="C157" s="83"/>
      <c r="D157" s="81"/>
      <c r="E157" s="81"/>
      <c r="F157" s="81"/>
      <c r="G157" s="84"/>
      <c r="H157" s="85"/>
      <c r="I157" s="100"/>
      <c r="J157" s="100"/>
      <c r="K157" s="100"/>
      <c r="L157" s="100"/>
      <c r="M157" s="100"/>
      <c r="N157" s="96"/>
      <c r="O157" s="96"/>
      <c r="P157" s="97"/>
      <c r="Q157" s="97"/>
      <c r="R157" s="98"/>
      <c r="S157" s="90"/>
      <c r="T157" s="82"/>
      <c r="U157" s="82"/>
      <c r="V157" s="82"/>
      <c r="W157" s="82"/>
      <c r="X157" s="82"/>
    </row>
    <row r="158" spans="1:24" ht="14.25" customHeight="1" x14ac:dyDescent="0.25">
      <c r="B158" s="99"/>
      <c r="C158" s="91"/>
      <c r="D158" s="92"/>
      <c r="E158" s="92"/>
      <c r="F158" s="92"/>
      <c r="G158" s="93"/>
      <c r="H158" s="85"/>
      <c r="I158" s="100"/>
      <c r="J158" s="100"/>
      <c r="K158" s="100"/>
      <c r="L158" s="100"/>
      <c r="M158" s="100"/>
      <c r="N158" s="96"/>
      <c r="O158" s="96"/>
      <c r="P158" s="97"/>
      <c r="Q158" s="97"/>
      <c r="R158" s="98"/>
      <c r="S158" s="90"/>
      <c r="T158" s="82"/>
      <c r="U158" s="82"/>
      <c r="V158" s="82"/>
      <c r="W158" s="82"/>
      <c r="X158" s="82"/>
    </row>
    <row r="159" spans="1:24" ht="14.25" customHeight="1" x14ac:dyDescent="0.25">
      <c r="B159" s="95"/>
      <c r="C159" s="83"/>
      <c r="D159" s="81"/>
      <c r="E159" s="81"/>
      <c r="F159" s="81"/>
      <c r="G159" s="84"/>
      <c r="H159" s="85"/>
      <c r="I159" s="100"/>
      <c r="J159" s="100"/>
      <c r="K159" s="100"/>
      <c r="L159" s="100"/>
      <c r="M159" s="100"/>
      <c r="N159" s="96"/>
      <c r="O159" s="96"/>
      <c r="P159" s="97"/>
      <c r="Q159" s="97"/>
      <c r="R159" s="98"/>
      <c r="S159" s="90"/>
      <c r="T159" s="82"/>
      <c r="U159" s="82"/>
      <c r="V159" s="82"/>
      <c r="W159" s="82"/>
      <c r="X159" s="82"/>
    </row>
    <row r="160" spans="1:24" ht="14.25" customHeight="1" x14ac:dyDescent="0.25">
      <c r="B160" s="99"/>
      <c r="C160" s="91"/>
      <c r="D160" s="92"/>
      <c r="E160" s="92"/>
      <c r="F160" s="92"/>
      <c r="G160" s="93"/>
      <c r="H160" s="85"/>
      <c r="I160" s="100"/>
      <c r="J160" s="100"/>
      <c r="K160" s="100"/>
      <c r="L160" s="100"/>
      <c r="M160" s="100"/>
      <c r="N160" s="96"/>
      <c r="O160" s="96"/>
      <c r="P160" s="97"/>
      <c r="Q160" s="97"/>
      <c r="R160" s="98"/>
      <c r="S160" s="90"/>
      <c r="T160" s="82"/>
      <c r="U160" s="82"/>
      <c r="V160" s="82"/>
      <c r="W160" s="82"/>
      <c r="X160" s="82"/>
    </row>
    <row r="161" spans="2:24" ht="14.25" customHeight="1" x14ac:dyDescent="0.25">
      <c r="B161" s="95"/>
      <c r="C161" s="83"/>
      <c r="D161" s="81"/>
      <c r="E161" s="81"/>
      <c r="F161" s="81"/>
      <c r="G161" s="84"/>
      <c r="H161" s="85"/>
      <c r="I161" s="100"/>
      <c r="J161" s="100"/>
      <c r="K161" s="100"/>
      <c r="L161" s="100"/>
      <c r="M161" s="100"/>
      <c r="N161" s="96"/>
      <c r="O161" s="96"/>
      <c r="P161" s="97"/>
      <c r="Q161" s="97"/>
      <c r="R161" s="98"/>
      <c r="S161" s="90"/>
      <c r="T161" s="82"/>
      <c r="U161" s="82"/>
      <c r="V161" s="82"/>
      <c r="W161" s="82"/>
      <c r="X161" s="82"/>
    </row>
    <row r="162" spans="2:24" ht="14.25" customHeight="1" x14ac:dyDescent="0.25">
      <c r="B162" s="99"/>
      <c r="C162" s="91"/>
      <c r="D162" s="92"/>
      <c r="E162" s="92"/>
      <c r="F162" s="92"/>
      <c r="G162" s="93"/>
      <c r="H162" s="85"/>
      <c r="I162" s="100"/>
      <c r="J162" s="100"/>
      <c r="K162" s="100"/>
      <c r="L162" s="100"/>
      <c r="M162" s="100"/>
      <c r="N162" s="96"/>
      <c r="O162" s="96"/>
      <c r="P162" s="97"/>
      <c r="Q162" s="97"/>
      <c r="R162" s="98"/>
      <c r="S162" s="90"/>
      <c r="T162" s="82"/>
      <c r="U162" s="82"/>
      <c r="V162" s="82"/>
      <c r="W162" s="82"/>
      <c r="X162" s="82"/>
    </row>
    <row r="163" spans="2:24" ht="14.25" customHeight="1" x14ac:dyDescent="0.25">
      <c r="B163" s="95"/>
      <c r="C163" s="83"/>
      <c r="D163" s="81"/>
      <c r="E163" s="81"/>
      <c r="F163" s="81"/>
      <c r="G163" s="84"/>
      <c r="H163" s="85"/>
      <c r="I163" s="100"/>
      <c r="J163" s="100"/>
      <c r="K163" s="100"/>
      <c r="L163" s="100"/>
      <c r="M163" s="100"/>
      <c r="N163" s="96"/>
      <c r="O163" s="96"/>
      <c r="P163" s="97"/>
      <c r="Q163" s="97"/>
      <c r="R163" s="98"/>
      <c r="S163" s="90"/>
      <c r="T163" s="82"/>
      <c r="U163" s="82"/>
      <c r="V163" s="82"/>
      <c r="W163" s="82"/>
      <c r="X163" s="82"/>
    </row>
    <row r="164" spans="2:24" ht="14.25" customHeight="1" x14ac:dyDescent="0.25">
      <c r="B164" s="99"/>
      <c r="C164" s="91"/>
      <c r="D164" s="92"/>
      <c r="E164" s="92"/>
      <c r="F164" s="92"/>
      <c r="G164" s="93"/>
      <c r="H164" s="85"/>
      <c r="I164" s="100"/>
      <c r="J164" s="100"/>
      <c r="K164" s="100"/>
      <c r="L164" s="100"/>
      <c r="M164" s="100"/>
      <c r="N164" s="96"/>
      <c r="O164" s="96"/>
      <c r="P164" s="97"/>
      <c r="Q164" s="97"/>
      <c r="R164" s="98"/>
      <c r="S164" s="90"/>
      <c r="T164" s="82"/>
      <c r="U164" s="82"/>
      <c r="V164" s="82"/>
      <c r="W164" s="82"/>
      <c r="X164" s="82"/>
    </row>
    <row r="165" spans="2:24" ht="14.25" customHeight="1" x14ac:dyDescent="0.25">
      <c r="B165" s="95"/>
      <c r="C165" s="83"/>
      <c r="D165" s="81"/>
      <c r="E165" s="81"/>
      <c r="F165" s="81"/>
      <c r="G165" s="84"/>
      <c r="H165" s="85"/>
      <c r="I165" s="100"/>
      <c r="J165" s="100"/>
      <c r="K165" s="100"/>
      <c r="L165" s="100"/>
      <c r="M165" s="100"/>
      <c r="N165" s="96"/>
      <c r="O165" s="96"/>
      <c r="P165" s="97"/>
      <c r="Q165" s="97"/>
      <c r="R165" s="98"/>
      <c r="S165" s="90"/>
      <c r="T165" s="82"/>
      <c r="U165" s="82"/>
      <c r="V165" s="82"/>
      <c r="W165" s="82"/>
      <c r="X165" s="82"/>
    </row>
    <row r="166" spans="2:24" ht="14.25" customHeight="1" x14ac:dyDescent="0.25">
      <c r="B166" s="99"/>
      <c r="C166" s="91"/>
      <c r="D166" s="92"/>
      <c r="E166" s="92"/>
      <c r="F166" s="92"/>
      <c r="G166" s="93"/>
      <c r="H166" s="85"/>
      <c r="I166" s="100"/>
      <c r="J166" s="100"/>
      <c r="K166" s="100"/>
      <c r="L166" s="100"/>
      <c r="M166" s="100"/>
      <c r="N166" s="96"/>
      <c r="O166" s="96"/>
      <c r="P166" s="97"/>
      <c r="Q166" s="97"/>
      <c r="R166" s="98"/>
      <c r="S166" s="90"/>
      <c r="T166" s="82"/>
      <c r="U166" s="82"/>
      <c r="V166" s="82"/>
      <c r="W166" s="82"/>
      <c r="X166" s="82"/>
    </row>
    <row r="167" spans="2:24" ht="14.25" customHeight="1" x14ac:dyDescent="0.25">
      <c r="B167" s="95"/>
      <c r="C167" s="83"/>
      <c r="D167" s="81"/>
      <c r="E167" s="81"/>
      <c r="F167" s="81"/>
      <c r="G167" s="84"/>
      <c r="H167" s="85"/>
      <c r="I167" s="100"/>
      <c r="J167" s="100"/>
      <c r="K167" s="100"/>
      <c r="L167" s="100"/>
      <c r="M167" s="100"/>
      <c r="N167" s="96"/>
      <c r="O167" s="96"/>
      <c r="P167" s="97"/>
      <c r="Q167" s="97"/>
      <c r="R167" s="98"/>
      <c r="S167" s="90"/>
      <c r="T167" s="82"/>
      <c r="U167" s="82"/>
      <c r="V167" s="82"/>
      <c r="W167" s="82"/>
      <c r="X167" s="82"/>
    </row>
    <row r="168" spans="2:24" ht="14.25" customHeight="1" x14ac:dyDescent="0.25">
      <c r="B168" s="99"/>
      <c r="C168" s="91"/>
      <c r="D168" s="92"/>
      <c r="E168" s="92"/>
      <c r="F168" s="92"/>
      <c r="G168" s="93"/>
      <c r="H168" s="85"/>
      <c r="I168" s="100"/>
      <c r="J168" s="100"/>
      <c r="K168" s="100"/>
      <c r="L168" s="100"/>
      <c r="M168" s="100"/>
      <c r="N168" s="96"/>
      <c r="O168" s="96"/>
      <c r="P168" s="97"/>
      <c r="Q168" s="97"/>
      <c r="R168" s="98"/>
      <c r="S168" s="90"/>
      <c r="T168" s="82"/>
      <c r="U168" s="82"/>
      <c r="V168" s="82"/>
      <c r="W168" s="82"/>
      <c r="X168" s="82"/>
    </row>
    <row r="169" spans="2:24" ht="14.25" customHeight="1" x14ac:dyDescent="0.25">
      <c r="B169" s="95"/>
      <c r="C169" s="83"/>
      <c r="D169" s="81"/>
      <c r="E169" s="81"/>
      <c r="F169" s="81"/>
      <c r="G169" s="84"/>
      <c r="H169" s="85"/>
      <c r="I169" s="100"/>
      <c r="J169" s="100"/>
      <c r="K169" s="100"/>
      <c r="L169" s="100"/>
      <c r="M169" s="100"/>
      <c r="N169" s="96"/>
      <c r="O169" s="96"/>
      <c r="P169" s="97"/>
      <c r="Q169" s="97"/>
      <c r="R169" s="98"/>
      <c r="S169" s="90"/>
      <c r="T169" s="82"/>
      <c r="U169" s="82"/>
      <c r="V169" s="82"/>
      <c r="W169" s="82"/>
      <c r="X169" s="82"/>
    </row>
    <row r="170" spans="2:24" ht="14.25" customHeight="1" x14ac:dyDescent="0.25">
      <c r="B170" s="99"/>
      <c r="C170" s="91"/>
      <c r="D170" s="92"/>
      <c r="E170" s="92"/>
      <c r="F170" s="92"/>
      <c r="G170" s="93"/>
      <c r="H170" s="85"/>
      <c r="I170" s="100"/>
      <c r="J170" s="100"/>
      <c r="K170" s="100"/>
      <c r="L170" s="100"/>
      <c r="M170" s="100"/>
      <c r="N170" s="96"/>
      <c r="O170" s="96"/>
      <c r="P170" s="97"/>
      <c r="Q170" s="97"/>
      <c r="R170" s="98"/>
      <c r="S170" s="90"/>
      <c r="T170" s="82"/>
      <c r="U170" s="82"/>
      <c r="V170" s="82"/>
      <c r="W170" s="82"/>
      <c r="X170" s="82"/>
    </row>
    <row r="171" spans="2:24" ht="14.25" customHeight="1" x14ac:dyDescent="0.25">
      <c r="B171" s="95"/>
      <c r="C171" s="83"/>
      <c r="D171" s="81"/>
      <c r="E171" s="81"/>
      <c r="F171" s="81"/>
      <c r="G171" s="84"/>
      <c r="H171" s="85"/>
      <c r="I171" s="100"/>
      <c r="J171" s="100"/>
      <c r="K171" s="100"/>
      <c r="L171" s="100"/>
      <c r="M171" s="100"/>
      <c r="N171" s="96"/>
      <c r="O171" s="96"/>
      <c r="P171" s="97"/>
      <c r="Q171" s="97"/>
      <c r="R171" s="98"/>
      <c r="S171" s="90"/>
      <c r="T171" s="82"/>
      <c r="U171" s="82"/>
      <c r="V171" s="82"/>
      <c r="W171" s="82"/>
      <c r="X171" s="82"/>
    </row>
    <row r="172" spans="2:24" ht="14.25" customHeight="1" x14ac:dyDescent="0.25">
      <c r="B172" s="99"/>
      <c r="C172" s="91"/>
      <c r="D172" s="92"/>
      <c r="E172" s="92"/>
      <c r="F172" s="92"/>
      <c r="G172" s="93"/>
      <c r="H172" s="85"/>
      <c r="I172" s="100"/>
      <c r="J172" s="100"/>
      <c r="K172" s="100"/>
      <c r="L172" s="100"/>
      <c r="M172" s="100"/>
      <c r="N172" s="96"/>
      <c r="O172" s="96"/>
      <c r="P172" s="97"/>
      <c r="Q172" s="97"/>
      <c r="R172" s="98"/>
      <c r="S172" s="90"/>
      <c r="T172" s="82"/>
      <c r="U172" s="82"/>
      <c r="V172" s="82"/>
      <c r="W172" s="82"/>
      <c r="X172" s="82"/>
    </row>
    <row r="173" spans="2:24" ht="14.25" customHeight="1" x14ac:dyDescent="0.25">
      <c r="B173" s="95"/>
      <c r="C173" s="83"/>
      <c r="D173" s="81"/>
      <c r="E173" s="81"/>
      <c r="F173" s="81"/>
      <c r="G173" s="84"/>
      <c r="H173" s="85"/>
      <c r="I173" s="100"/>
      <c r="J173" s="100"/>
      <c r="K173" s="100"/>
      <c r="L173" s="100"/>
      <c r="M173" s="100"/>
      <c r="N173" s="96"/>
      <c r="O173" s="96"/>
      <c r="P173" s="97"/>
      <c r="Q173" s="97"/>
      <c r="R173" s="98"/>
      <c r="S173" s="90"/>
      <c r="T173" s="82"/>
      <c r="U173" s="82"/>
      <c r="V173" s="82"/>
      <c r="W173" s="82"/>
      <c r="X173" s="82"/>
    </row>
    <row r="174" spans="2:24" ht="14.25" customHeight="1" x14ac:dyDescent="0.25">
      <c r="B174" s="99"/>
      <c r="C174" s="91"/>
      <c r="D174" s="92"/>
      <c r="E174" s="92"/>
      <c r="F174" s="92"/>
      <c r="G174" s="93"/>
      <c r="H174" s="85"/>
      <c r="I174" s="100"/>
      <c r="J174" s="100"/>
      <c r="K174" s="100"/>
      <c r="L174" s="100"/>
      <c r="M174" s="100"/>
      <c r="N174" s="96"/>
      <c r="O174" s="96"/>
      <c r="P174" s="97"/>
      <c r="Q174" s="97"/>
      <c r="R174" s="98"/>
      <c r="S174" s="90"/>
      <c r="T174" s="82"/>
      <c r="U174" s="82"/>
      <c r="V174" s="82"/>
      <c r="W174" s="82"/>
      <c r="X174" s="82"/>
    </row>
    <row r="175" spans="2:24" ht="14.25" customHeight="1" x14ac:dyDescent="0.25">
      <c r="B175" s="95"/>
      <c r="C175" s="83"/>
      <c r="D175" s="81"/>
      <c r="E175" s="81"/>
      <c r="F175" s="81"/>
      <c r="G175" s="84"/>
      <c r="H175" s="85"/>
      <c r="I175" s="100"/>
      <c r="J175" s="100"/>
      <c r="K175" s="100"/>
      <c r="L175" s="100"/>
      <c r="M175" s="100"/>
      <c r="N175" s="96"/>
      <c r="O175" s="96"/>
      <c r="P175" s="97"/>
      <c r="Q175" s="97"/>
      <c r="R175" s="98"/>
      <c r="S175" s="90"/>
      <c r="T175" s="82"/>
      <c r="U175" s="82"/>
      <c r="V175" s="82"/>
      <c r="W175" s="82"/>
      <c r="X175" s="82"/>
    </row>
    <row r="176" spans="2:24" ht="14.25" customHeight="1" x14ac:dyDescent="0.25">
      <c r="B176" s="99"/>
      <c r="C176" s="91"/>
      <c r="D176" s="92"/>
      <c r="E176" s="92"/>
      <c r="F176" s="92"/>
      <c r="G176" s="93"/>
      <c r="H176" s="85"/>
      <c r="I176" s="100"/>
      <c r="J176" s="100"/>
      <c r="K176" s="100"/>
      <c r="L176" s="100"/>
      <c r="M176" s="100"/>
      <c r="N176" s="96"/>
      <c r="O176" s="96"/>
      <c r="P176" s="97"/>
      <c r="Q176" s="97"/>
      <c r="R176" s="98"/>
      <c r="S176" s="90"/>
      <c r="T176" s="82"/>
      <c r="U176" s="82"/>
      <c r="V176" s="82"/>
      <c r="W176" s="82"/>
      <c r="X176" s="82"/>
    </row>
    <row r="177" spans="2:24" ht="14.25" customHeight="1" x14ac:dyDescent="0.25">
      <c r="B177" s="95"/>
      <c r="C177" s="83"/>
      <c r="D177" s="81"/>
      <c r="E177" s="81"/>
      <c r="F177" s="81"/>
      <c r="G177" s="84"/>
      <c r="H177" s="85"/>
      <c r="I177" s="100"/>
      <c r="J177" s="100"/>
      <c r="K177" s="100"/>
      <c r="L177" s="100"/>
      <c r="M177" s="100"/>
      <c r="N177" s="96"/>
      <c r="O177" s="96"/>
      <c r="P177" s="97"/>
      <c r="Q177" s="97"/>
      <c r="R177" s="98"/>
      <c r="S177" s="90"/>
      <c r="T177" s="82"/>
      <c r="U177" s="82"/>
      <c r="V177" s="82"/>
      <c r="W177" s="82"/>
      <c r="X177" s="82"/>
    </row>
    <row r="178" spans="2:24" ht="14.25" customHeight="1" x14ac:dyDescent="0.25">
      <c r="B178" s="99"/>
      <c r="C178" s="91"/>
      <c r="D178" s="92"/>
      <c r="E178" s="92"/>
      <c r="F178" s="92"/>
      <c r="G178" s="93"/>
      <c r="H178" s="85"/>
      <c r="I178" s="100"/>
      <c r="J178" s="100"/>
      <c r="K178" s="100"/>
      <c r="L178" s="100"/>
      <c r="M178" s="100"/>
      <c r="N178" s="96"/>
      <c r="O178" s="96"/>
      <c r="P178" s="97"/>
      <c r="Q178" s="97"/>
      <c r="R178" s="98"/>
      <c r="S178" s="90"/>
      <c r="T178" s="82"/>
      <c r="U178" s="82"/>
      <c r="V178" s="82"/>
      <c r="W178" s="82"/>
      <c r="X178" s="82"/>
    </row>
    <row r="179" spans="2:24" ht="14.25" customHeight="1" x14ac:dyDescent="0.25">
      <c r="B179" s="95"/>
      <c r="C179" s="83"/>
      <c r="D179" s="81"/>
      <c r="E179" s="81"/>
      <c r="F179" s="81"/>
      <c r="G179" s="84"/>
      <c r="H179" s="85"/>
      <c r="I179" s="100"/>
      <c r="J179" s="100"/>
      <c r="K179" s="100"/>
      <c r="L179" s="100"/>
      <c r="M179" s="100"/>
      <c r="N179" s="96"/>
      <c r="O179" s="96"/>
      <c r="P179" s="97"/>
      <c r="Q179" s="97"/>
      <c r="R179" s="98"/>
      <c r="S179" s="90"/>
      <c r="T179" s="82"/>
      <c r="U179" s="82"/>
      <c r="V179" s="82"/>
      <c r="W179" s="82"/>
      <c r="X179" s="82"/>
    </row>
    <row r="180" spans="2:24" ht="14.25" customHeight="1" x14ac:dyDescent="0.25">
      <c r="B180" s="99"/>
      <c r="C180" s="91"/>
      <c r="D180" s="92"/>
      <c r="E180" s="92"/>
      <c r="F180" s="92"/>
      <c r="G180" s="93"/>
      <c r="H180" s="85"/>
      <c r="I180" s="100"/>
      <c r="J180" s="100"/>
      <c r="K180" s="100"/>
      <c r="L180" s="100"/>
      <c r="M180" s="100"/>
      <c r="N180" s="96"/>
      <c r="O180" s="96"/>
      <c r="P180" s="97"/>
      <c r="Q180" s="97"/>
      <c r="R180" s="98"/>
      <c r="S180" s="90"/>
      <c r="T180" s="82"/>
      <c r="U180" s="82"/>
      <c r="V180" s="82"/>
      <c r="W180" s="82"/>
      <c r="X180" s="82"/>
    </row>
    <row r="181" spans="2:24" ht="14.25" customHeight="1" x14ac:dyDescent="0.25">
      <c r="B181" s="95"/>
      <c r="C181" s="83"/>
      <c r="D181" s="81"/>
      <c r="E181" s="81"/>
      <c r="F181" s="81"/>
      <c r="G181" s="84"/>
      <c r="H181" s="85"/>
      <c r="I181" s="100"/>
      <c r="J181" s="100"/>
      <c r="K181" s="100"/>
      <c r="L181" s="100"/>
      <c r="M181" s="100"/>
      <c r="N181" s="96"/>
      <c r="O181" s="96"/>
      <c r="P181" s="97"/>
      <c r="Q181" s="97"/>
      <c r="R181" s="98"/>
      <c r="S181" s="90"/>
      <c r="T181" s="82"/>
      <c r="U181" s="82"/>
      <c r="V181" s="82"/>
      <c r="W181" s="82"/>
      <c r="X181" s="82"/>
    </row>
    <row r="182" spans="2:24" ht="14.25" customHeight="1" x14ac:dyDescent="0.25">
      <c r="B182" s="99"/>
      <c r="C182" s="91"/>
      <c r="D182" s="92"/>
      <c r="E182" s="92"/>
      <c r="F182" s="92"/>
      <c r="G182" s="93"/>
      <c r="H182" s="85"/>
      <c r="I182" s="100"/>
      <c r="J182" s="100"/>
      <c r="K182" s="100"/>
      <c r="L182" s="100"/>
      <c r="M182" s="100"/>
      <c r="N182" s="96"/>
      <c r="O182" s="96"/>
      <c r="P182" s="97"/>
      <c r="Q182" s="97"/>
      <c r="R182" s="98"/>
      <c r="S182" s="90"/>
      <c r="T182" s="82"/>
      <c r="U182" s="82"/>
      <c r="V182" s="82"/>
      <c r="W182" s="82"/>
      <c r="X182" s="82"/>
    </row>
    <row r="183" spans="2:24" ht="14.25" customHeight="1" x14ac:dyDescent="0.25">
      <c r="B183" s="95"/>
      <c r="C183" s="83"/>
      <c r="D183" s="81"/>
      <c r="E183" s="81"/>
      <c r="F183" s="81"/>
      <c r="G183" s="84"/>
      <c r="H183" s="85"/>
      <c r="I183" s="100"/>
      <c r="J183" s="100"/>
      <c r="K183" s="100"/>
      <c r="L183" s="100"/>
      <c r="M183" s="100"/>
      <c r="N183" s="96"/>
      <c r="O183" s="96"/>
      <c r="P183" s="97"/>
      <c r="Q183" s="97"/>
      <c r="R183" s="98"/>
      <c r="S183" s="90"/>
      <c r="T183" s="82"/>
      <c r="U183" s="82"/>
      <c r="V183" s="82"/>
      <c r="W183" s="82"/>
      <c r="X183" s="82"/>
    </row>
    <row r="184" spans="2:24" ht="14.25" customHeight="1" x14ac:dyDescent="0.25">
      <c r="B184" s="99"/>
      <c r="C184" s="91"/>
      <c r="D184" s="92"/>
      <c r="E184" s="92"/>
      <c r="F184" s="92"/>
      <c r="G184" s="93"/>
      <c r="H184" s="85"/>
      <c r="I184" s="100"/>
      <c r="J184" s="100"/>
      <c r="K184" s="100"/>
      <c r="L184" s="100"/>
      <c r="M184" s="100"/>
      <c r="N184" s="96"/>
      <c r="O184" s="96"/>
      <c r="P184" s="97"/>
      <c r="Q184" s="97"/>
      <c r="R184" s="98"/>
      <c r="S184" s="90"/>
      <c r="T184" s="82"/>
      <c r="U184" s="82"/>
      <c r="V184" s="82"/>
      <c r="W184" s="82"/>
      <c r="X184" s="82"/>
    </row>
    <row r="185" spans="2:24" ht="14.25" customHeight="1" x14ac:dyDescent="0.25">
      <c r="B185" s="95"/>
      <c r="C185" s="83"/>
      <c r="D185" s="81"/>
      <c r="E185" s="81"/>
      <c r="F185" s="81"/>
      <c r="G185" s="84"/>
      <c r="H185" s="85"/>
      <c r="I185" s="100"/>
      <c r="J185" s="100"/>
      <c r="K185" s="100"/>
      <c r="L185" s="100"/>
      <c r="M185" s="100"/>
      <c r="N185" s="96"/>
      <c r="O185" s="96"/>
      <c r="P185" s="97"/>
      <c r="Q185" s="97"/>
      <c r="R185" s="98"/>
      <c r="S185" s="90"/>
      <c r="T185" s="82"/>
      <c r="U185" s="82"/>
      <c r="V185" s="82"/>
      <c r="W185" s="82"/>
      <c r="X185" s="82"/>
    </row>
    <row r="186" spans="2:24" ht="14.25" customHeight="1" x14ac:dyDescent="0.25">
      <c r="B186" s="99"/>
      <c r="C186" s="91"/>
      <c r="D186" s="92"/>
      <c r="E186" s="92"/>
      <c r="F186" s="92"/>
      <c r="G186" s="93"/>
      <c r="H186" s="85"/>
      <c r="I186" s="100"/>
      <c r="J186" s="100"/>
      <c r="K186" s="100"/>
      <c r="L186" s="100"/>
      <c r="M186" s="100"/>
      <c r="N186" s="96"/>
      <c r="O186" s="96"/>
      <c r="P186" s="97"/>
      <c r="Q186" s="97"/>
      <c r="R186" s="98"/>
      <c r="S186" s="90"/>
      <c r="T186" s="82"/>
      <c r="U186" s="82"/>
      <c r="V186" s="82"/>
      <c r="W186" s="82"/>
      <c r="X186" s="82"/>
    </row>
    <row r="187" spans="2:24" ht="14.25" customHeight="1" x14ac:dyDescent="0.25">
      <c r="B187" s="95"/>
      <c r="C187" s="83"/>
      <c r="D187" s="81"/>
      <c r="E187" s="81"/>
      <c r="F187" s="81"/>
      <c r="G187" s="84"/>
      <c r="H187" s="85"/>
      <c r="I187" s="100"/>
      <c r="J187" s="100"/>
      <c r="K187" s="100"/>
      <c r="L187" s="100"/>
      <c r="M187" s="100"/>
      <c r="N187" s="96"/>
      <c r="O187" s="96"/>
      <c r="P187" s="97"/>
      <c r="Q187" s="97"/>
      <c r="R187" s="98"/>
      <c r="S187" s="90"/>
      <c r="T187" s="82"/>
      <c r="U187" s="82"/>
      <c r="V187" s="82"/>
      <c r="W187" s="82"/>
      <c r="X187" s="82"/>
    </row>
    <row r="188" spans="2:24" ht="14.25" customHeight="1" x14ac:dyDescent="0.25">
      <c r="B188" s="99"/>
      <c r="C188" s="91"/>
      <c r="D188" s="92"/>
      <c r="E188" s="92"/>
      <c r="F188" s="92"/>
      <c r="G188" s="93"/>
      <c r="H188" s="85"/>
      <c r="I188" s="100"/>
      <c r="J188" s="100"/>
      <c r="K188" s="100"/>
      <c r="L188" s="100"/>
      <c r="M188" s="100"/>
      <c r="N188" s="96"/>
      <c r="O188" s="96"/>
      <c r="P188" s="97"/>
      <c r="Q188" s="97"/>
      <c r="R188" s="98"/>
      <c r="S188" s="90"/>
      <c r="T188" s="82"/>
      <c r="U188" s="82"/>
      <c r="V188" s="82"/>
      <c r="W188" s="82"/>
      <c r="X188" s="82"/>
    </row>
    <row r="189" spans="2:24" ht="14.25" customHeight="1" x14ac:dyDescent="0.25">
      <c r="B189" s="95"/>
      <c r="C189" s="83"/>
      <c r="D189" s="81"/>
      <c r="E189" s="81"/>
      <c r="F189" s="81"/>
      <c r="G189" s="84"/>
      <c r="H189" s="85"/>
      <c r="I189" s="100"/>
      <c r="J189" s="100"/>
      <c r="K189" s="100"/>
      <c r="L189" s="100"/>
      <c r="M189" s="100"/>
      <c r="N189" s="96"/>
      <c r="O189" s="96"/>
      <c r="P189" s="97"/>
      <c r="Q189" s="97"/>
      <c r="R189" s="98"/>
      <c r="S189" s="90"/>
      <c r="T189" s="82"/>
      <c r="U189" s="82"/>
      <c r="V189" s="82"/>
      <c r="W189" s="82"/>
      <c r="X189" s="82"/>
    </row>
    <row r="190" spans="2:24" ht="14.25" customHeight="1" x14ac:dyDescent="0.25">
      <c r="B190" s="99"/>
      <c r="C190" s="91"/>
      <c r="D190" s="92"/>
      <c r="E190" s="92"/>
      <c r="F190" s="92"/>
      <c r="G190" s="93"/>
      <c r="H190" s="85"/>
      <c r="I190" s="100"/>
      <c r="J190" s="100"/>
      <c r="K190" s="100"/>
      <c r="L190" s="100"/>
      <c r="M190" s="100"/>
      <c r="N190" s="96"/>
      <c r="O190" s="96"/>
      <c r="P190" s="97"/>
      <c r="Q190" s="97"/>
      <c r="R190" s="98"/>
      <c r="S190" s="90"/>
      <c r="T190" s="82"/>
      <c r="U190" s="82"/>
      <c r="V190" s="82"/>
      <c r="W190" s="82"/>
      <c r="X190" s="82"/>
    </row>
    <row r="191" spans="2:24" ht="14.25" customHeight="1" x14ac:dyDescent="0.25">
      <c r="B191" s="95"/>
      <c r="C191" s="83"/>
      <c r="D191" s="81"/>
      <c r="E191" s="81"/>
      <c r="F191" s="81"/>
      <c r="G191" s="84"/>
      <c r="H191" s="85"/>
      <c r="I191" s="100"/>
      <c r="J191" s="100"/>
      <c r="K191" s="100"/>
      <c r="L191" s="100"/>
      <c r="M191" s="100"/>
      <c r="N191" s="96"/>
      <c r="O191" s="96"/>
      <c r="P191" s="97"/>
      <c r="Q191" s="97"/>
      <c r="R191" s="98"/>
      <c r="S191" s="90"/>
      <c r="T191" s="82"/>
      <c r="U191" s="82"/>
      <c r="V191" s="82"/>
      <c r="W191" s="82"/>
      <c r="X191" s="82"/>
    </row>
    <row r="192" spans="2:24" ht="14.25" customHeight="1" x14ac:dyDescent="0.25">
      <c r="B192" s="99"/>
      <c r="C192" s="91"/>
      <c r="D192" s="92"/>
      <c r="E192" s="92"/>
      <c r="F192" s="92"/>
      <c r="G192" s="93"/>
      <c r="H192" s="85"/>
      <c r="I192" s="100"/>
      <c r="J192" s="100"/>
      <c r="K192" s="100"/>
      <c r="L192" s="100"/>
      <c r="M192" s="100"/>
      <c r="N192" s="96"/>
      <c r="O192" s="96"/>
      <c r="P192" s="97"/>
      <c r="Q192" s="97"/>
      <c r="R192" s="98"/>
      <c r="S192" s="90"/>
      <c r="T192" s="82"/>
      <c r="U192" s="82"/>
      <c r="V192" s="82"/>
      <c r="W192" s="82"/>
      <c r="X192" s="82"/>
    </row>
    <row r="193" spans="2:24" ht="14.25" customHeight="1" x14ac:dyDescent="0.25">
      <c r="B193" s="95"/>
      <c r="C193" s="83"/>
      <c r="D193" s="81"/>
      <c r="E193" s="81"/>
      <c r="F193" s="81"/>
      <c r="G193" s="84"/>
      <c r="H193" s="85"/>
      <c r="I193" s="100"/>
      <c r="J193" s="100"/>
      <c r="K193" s="100"/>
      <c r="L193" s="100"/>
      <c r="M193" s="100"/>
      <c r="N193" s="96"/>
      <c r="O193" s="96"/>
      <c r="P193" s="97"/>
      <c r="Q193" s="97"/>
      <c r="R193" s="98"/>
      <c r="S193" s="90"/>
      <c r="T193" s="82"/>
      <c r="U193" s="82"/>
      <c r="V193" s="82"/>
      <c r="W193" s="82"/>
      <c r="X193" s="82"/>
    </row>
    <row r="194" spans="2:24" ht="14.25" customHeight="1" x14ac:dyDescent="0.25">
      <c r="B194" s="99"/>
      <c r="C194" s="91"/>
      <c r="D194" s="92"/>
      <c r="E194" s="92"/>
      <c r="F194" s="92"/>
      <c r="G194" s="93"/>
      <c r="H194" s="85"/>
      <c r="I194" s="100"/>
      <c r="J194" s="100"/>
      <c r="K194" s="100"/>
      <c r="L194" s="100"/>
      <c r="M194" s="100"/>
      <c r="N194" s="96"/>
      <c r="O194" s="96"/>
      <c r="P194" s="97"/>
      <c r="Q194" s="97"/>
      <c r="R194" s="98"/>
      <c r="S194" s="90"/>
      <c r="T194" s="82"/>
      <c r="U194" s="82"/>
      <c r="V194" s="82"/>
      <c r="W194" s="82"/>
      <c r="X194" s="82"/>
    </row>
    <row r="195" spans="2:24" ht="14.25" customHeight="1" x14ac:dyDescent="0.25">
      <c r="B195" s="95"/>
      <c r="C195" s="83"/>
      <c r="D195" s="81"/>
      <c r="E195" s="81"/>
      <c r="F195" s="81"/>
      <c r="G195" s="84"/>
      <c r="H195" s="85"/>
      <c r="I195" s="100"/>
      <c r="J195" s="100"/>
      <c r="K195" s="100"/>
      <c r="L195" s="100"/>
      <c r="M195" s="100"/>
      <c r="N195" s="96"/>
      <c r="O195" s="96"/>
      <c r="P195" s="97"/>
      <c r="Q195" s="97"/>
      <c r="R195" s="98"/>
      <c r="S195" s="90"/>
      <c r="T195" s="82"/>
      <c r="U195" s="82"/>
      <c r="V195" s="82"/>
      <c r="W195" s="82"/>
      <c r="X195" s="82"/>
    </row>
    <row r="196" spans="2:24" ht="14.25" customHeight="1" x14ac:dyDescent="0.25">
      <c r="B196" s="99"/>
      <c r="C196" s="91"/>
      <c r="D196" s="92"/>
      <c r="E196" s="92"/>
      <c r="F196" s="92"/>
      <c r="G196" s="93"/>
      <c r="H196" s="85"/>
      <c r="I196" s="100"/>
      <c r="J196" s="100"/>
      <c r="K196" s="100"/>
      <c r="L196" s="100"/>
      <c r="M196" s="100"/>
      <c r="N196" s="96"/>
      <c r="O196" s="96"/>
      <c r="P196" s="97"/>
      <c r="Q196" s="97"/>
      <c r="R196" s="98"/>
      <c r="S196" s="90"/>
      <c r="T196" s="82"/>
      <c r="U196" s="82"/>
      <c r="V196" s="82"/>
      <c r="W196" s="82"/>
      <c r="X196" s="82"/>
    </row>
    <row r="197" spans="2:24" ht="14.25" customHeight="1" x14ac:dyDescent="0.25">
      <c r="B197" s="95"/>
      <c r="C197" s="83"/>
      <c r="D197" s="81"/>
      <c r="E197" s="81"/>
      <c r="F197" s="81"/>
      <c r="G197" s="84"/>
      <c r="H197" s="85"/>
      <c r="I197" s="100"/>
      <c r="J197" s="100"/>
      <c r="K197" s="100"/>
      <c r="L197" s="100"/>
      <c r="M197" s="100"/>
      <c r="N197" s="96"/>
      <c r="O197" s="96"/>
      <c r="P197" s="97"/>
      <c r="Q197" s="97"/>
      <c r="R197" s="98"/>
      <c r="S197" s="90"/>
      <c r="T197" s="82"/>
      <c r="U197" s="82"/>
      <c r="V197" s="82"/>
      <c r="W197" s="82"/>
      <c r="X197" s="82"/>
    </row>
    <row r="198" spans="2:24" ht="14.25" customHeight="1" x14ac:dyDescent="0.25">
      <c r="B198" s="99"/>
      <c r="C198" s="91"/>
      <c r="D198" s="92"/>
      <c r="E198" s="92"/>
      <c r="F198" s="92"/>
      <c r="G198" s="93"/>
      <c r="H198" s="85"/>
      <c r="I198" s="100"/>
      <c r="J198" s="100"/>
      <c r="K198" s="100"/>
      <c r="L198" s="100"/>
      <c r="M198" s="100"/>
      <c r="N198" s="96"/>
      <c r="O198" s="96"/>
      <c r="P198" s="97"/>
      <c r="Q198" s="97"/>
      <c r="R198" s="98"/>
      <c r="S198" s="90"/>
      <c r="T198" s="82"/>
      <c r="U198" s="82"/>
      <c r="V198" s="82"/>
      <c r="W198" s="82"/>
      <c r="X198" s="82"/>
    </row>
    <row r="199" spans="2:24" ht="14.25" customHeight="1" x14ac:dyDescent="0.25">
      <c r="B199" s="95"/>
      <c r="C199" s="83"/>
      <c r="D199" s="81"/>
      <c r="E199" s="81"/>
      <c r="F199" s="81"/>
      <c r="G199" s="84"/>
      <c r="H199" s="85"/>
      <c r="I199" s="100"/>
      <c r="J199" s="100"/>
      <c r="K199" s="100"/>
      <c r="L199" s="100"/>
      <c r="M199" s="100"/>
      <c r="N199" s="96"/>
      <c r="O199" s="96"/>
      <c r="P199" s="97"/>
      <c r="Q199" s="97"/>
      <c r="R199" s="98"/>
      <c r="S199" s="90"/>
      <c r="T199" s="82"/>
      <c r="U199" s="82"/>
      <c r="V199" s="82"/>
      <c r="W199" s="82"/>
      <c r="X199" s="82"/>
    </row>
    <row r="200" spans="2:24" ht="14.25" customHeight="1" x14ac:dyDescent="0.25">
      <c r="B200" s="99"/>
      <c r="C200" s="91"/>
      <c r="D200" s="92"/>
      <c r="E200" s="92"/>
      <c r="F200" s="92"/>
      <c r="G200" s="93"/>
      <c r="H200" s="85"/>
      <c r="I200" s="100"/>
      <c r="J200" s="100"/>
      <c r="K200" s="100"/>
      <c r="L200" s="100"/>
      <c r="M200" s="100"/>
      <c r="N200" s="96"/>
      <c r="O200" s="96"/>
      <c r="P200" s="97"/>
      <c r="Q200" s="97"/>
      <c r="R200" s="98"/>
      <c r="S200" s="90"/>
      <c r="T200" s="82"/>
      <c r="U200" s="82"/>
      <c r="V200" s="82"/>
      <c r="W200" s="82"/>
      <c r="X200" s="82"/>
    </row>
    <row r="201" spans="2:24" ht="14.25" customHeight="1" x14ac:dyDescent="0.25">
      <c r="B201" s="95"/>
      <c r="C201" s="83"/>
      <c r="D201" s="81"/>
      <c r="E201" s="81"/>
      <c r="F201" s="81"/>
      <c r="G201" s="84"/>
      <c r="H201" s="85"/>
      <c r="I201" s="100"/>
      <c r="J201" s="100"/>
      <c r="K201" s="100"/>
      <c r="L201" s="100"/>
      <c r="M201" s="100"/>
      <c r="N201" s="96"/>
      <c r="O201" s="96"/>
      <c r="P201" s="97"/>
      <c r="Q201" s="97"/>
      <c r="R201" s="98"/>
      <c r="S201" s="90"/>
      <c r="T201" s="82"/>
      <c r="U201" s="82"/>
      <c r="V201" s="82"/>
      <c r="W201" s="82"/>
      <c r="X201" s="82"/>
    </row>
    <row r="202" spans="2:24" ht="14.25" customHeight="1" x14ac:dyDescent="0.25">
      <c r="B202" s="99"/>
      <c r="C202" s="91"/>
      <c r="D202" s="92"/>
      <c r="E202" s="92"/>
      <c r="F202" s="92"/>
      <c r="G202" s="93"/>
      <c r="H202" s="85"/>
      <c r="I202" s="100"/>
      <c r="J202" s="100"/>
      <c r="K202" s="100"/>
      <c r="L202" s="100"/>
      <c r="M202" s="100"/>
      <c r="N202" s="96"/>
      <c r="O202" s="96"/>
      <c r="P202" s="97"/>
      <c r="Q202" s="97"/>
      <c r="R202" s="98"/>
      <c r="S202" s="90"/>
      <c r="T202" s="82"/>
      <c r="U202" s="82"/>
      <c r="V202" s="82"/>
      <c r="W202" s="82"/>
      <c r="X202" s="82"/>
    </row>
    <row r="203" spans="2:24" ht="14.25" customHeight="1" x14ac:dyDescent="0.25">
      <c r="B203" s="95"/>
      <c r="C203" s="83"/>
      <c r="D203" s="81"/>
      <c r="E203" s="81"/>
      <c r="F203" s="81"/>
      <c r="G203" s="84"/>
      <c r="H203" s="85"/>
      <c r="I203" s="100"/>
      <c r="J203" s="100"/>
      <c r="K203" s="100"/>
      <c r="L203" s="100"/>
      <c r="M203" s="100"/>
      <c r="N203" s="96"/>
      <c r="O203" s="96"/>
      <c r="P203" s="97"/>
      <c r="Q203" s="97"/>
      <c r="R203" s="98"/>
      <c r="S203" s="90"/>
      <c r="T203" s="82"/>
      <c r="U203" s="82"/>
      <c r="V203" s="82"/>
      <c r="W203" s="82"/>
      <c r="X203" s="82"/>
    </row>
    <row r="204" spans="2:24" ht="14.25" customHeight="1" x14ac:dyDescent="0.25">
      <c r="B204" s="99"/>
      <c r="C204" s="91"/>
      <c r="D204" s="92"/>
      <c r="E204" s="92"/>
      <c r="F204" s="92"/>
      <c r="G204" s="93"/>
      <c r="H204" s="85"/>
      <c r="I204" s="100"/>
      <c r="J204" s="100"/>
      <c r="K204" s="100"/>
      <c r="L204" s="100"/>
      <c r="M204" s="100"/>
      <c r="N204" s="96"/>
      <c r="O204" s="96"/>
      <c r="P204" s="97"/>
      <c r="Q204" s="97"/>
      <c r="R204" s="98"/>
      <c r="S204" s="90"/>
      <c r="T204" s="82"/>
      <c r="U204" s="82"/>
      <c r="V204" s="82"/>
      <c r="W204" s="82"/>
      <c r="X204" s="82"/>
    </row>
    <row r="205" spans="2:24" ht="14.25" customHeight="1" x14ac:dyDescent="0.25">
      <c r="B205" s="95"/>
      <c r="C205" s="83"/>
      <c r="D205" s="81"/>
      <c r="E205" s="81"/>
      <c r="F205" s="81"/>
      <c r="G205" s="84"/>
      <c r="H205" s="85"/>
      <c r="I205" s="100"/>
      <c r="J205" s="100"/>
      <c r="K205" s="100"/>
      <c r="L205" s="100"/>
      <c r="M205" s="100"/>
      <c r="N205" s="96"/>
      <c r="O205" s="96"/>
      <c r="P205" s="97"/>
      <c r="Q205" s="97"/>
      <c r="R205" s="98"/>
      <c r="S205" s="90"/>
      <c r="T205" s="82"/>
      <c r="U205" s="82"/>
      <c r="V205" s="82"/>
      <c r="W205" s="82"/>
      <c r="X205" s="82"/>
    </row>
    <row r="206" spans="2:24" ht="14.25" customHeight="1" x14ac:dyDescent="0.25">
      <c r="B206" s="99"/>
      <c r="C206" s="91"/>
      <c r="D206" s="92"/>
      <c r="E206" s="92"/>
      <c r="F206" s="92"/>
      <c r="G206" s="93"/>
      <c r="H206" s="85"/>
      <c r="I206" s="100"/>
      <c r="J206" s="100"/>
      <c r="K206" s="100"/>
      <c r="L206" s="100"/>
      <c r="M206" s="100"/>
      <c r="N206" s="96"/>
      <c r="O206" s="96"/>
      <c r="P206" s="97"/>
      <c r="Q206" s="97"/>
      <c r="R206" s="98"/>
      <c r="S206" s="90"/>
      <c r="T206" s="82"/>
      <c r="U206" s="82"/>
      <c r="V206" s="82"/>
      <c r="W206" s="82"/>
      <c r="X206" s="82"/>
    </row>
    <row r="207" spans="2:24" ht="14.25" customHeight="1" x14ac:dyDescent="0.25">
      <c r="B207" s="95"/>
      <c r="C207" s="83"/>
      <c r="D207" s="81"/>
      <c r="E207" s="81"/>
      <c r="F207" s="81"/>
      <c r="G207" s="84"/>
      <c r="H207" s="85"/>
      <c r="I207" s="100"/>
      <c r="J207" s="100"/>
      <c r="K207" s="100"/>
      <c r="L207" s="100"/>
      <c r="M207" s="100"/>
      <c r="N207" s="96"/>
      <c r="O207" s="96"/>
      <c r="P207" s="97"/>
      <c r="Q207" s="97"/>
      <c r="R207" s="98"/>
      <c r="S207" s="90"/>
      <c r="T207" s="82"/>
      <c r="U207" s="82"/>
      <c r="V207" s="82"/>
      <c r="W207" s="82"/>
      <c r="X207" s="82"/>
    </row>
    <row r="208" spans="2:24" ht="14.25" customHeight="1" x14ac:dyDescent="0.25">
      <c r="B208" s="99"/>
      <c r="C208" s="91"/>
      <c r="D208" s="92"/>
      <c r="E208" s="92"/>
      <c r="F208" s="92"/>
      <c r="G208" s="93"/>
      <c r="H208" s="85"/>
      <c r="I208" s="100"/>
      <c r="J208" s="100"/>
      <c r="K208" s="100"/>
      <c r="L208" s="100"/>
      <c r="M208" s="100"/>
      <c r="N208" s="96"/>
      <c r="O208" s="96"/>
      <c r="P208" s="97"/>
      <c r="Q208" s="97"/>
      <c r="R208" s="98"/>
      <c r="S208" s="90"/>
      <c r="T208" s="82"/>
      <c r="U208" s="82"/>
      <c r="V208" s="82"/>
      <c r="W208" s="82"/>
      <c r="X208" s="82"/>
    </row>
    <row r="209" spans="2:24" ht="14.25" customHeight="1" x14ac:dyDescent="0.25">
      <c r="B209" s="95"/>
      <c r="C209" s="83"/>
      <c r="D209" s="81"/>
      <c r="E209" s="81"/>
      <c r="F209" s="81"/>
      <c r="G209" s="84"/>
      <c r="H209" s="85"/>
      <c r="I209" s="100"/>
      <c r="J209" s="100"/>
      <c r="K209" s="100"/>
      <c r="L209" s="100"/>
      <c r="M209" s="100"/>
      <c r="N209" s="96"/>
      <c r="O209" s="96"/>
      <c r="P209" s="97"/>
      <c r="Q209" s="97"/>
      <c r="R209" s="98"/>
      <c r="S209" s="90"/>
      <c r="T209" s="82"/>
      <c r="U209" s="82"/>
      <c r="V209" s="82"/>
      <c r="W209" s="82"/>
      <c r="X209" s="82"/>
    </row>
    <row r="210" spans="2:24" ht="14.25" customHeight="1" x14ac:dyDescent="0.25">
      <c r="B210" s="99"/>
      <c r="C210" s="91"/>
      <c r="D210" s="92"/>
      <c r="E210" s="92"/>
      <c r="F210" s="92"/>
      <c r="G210" s="93"/>
      <c r="H210" s="85"/>
      <c r="I210" s="100"/>
      <c r="J210" s="100"/>
      <c r="K210" s="100"/>
      <c r="L210" s="100"/>
      <c r="M210" s="100"/>
      <c r="N210" s="96"/>
      <c r="O210" s="96"/>
      <c r="P210" s="97"/>
      <c r="Q210" s="97"/>
      <c r="R210" s="98"/>
      <c r="S210" s="90"/>
      <c r="T210" s="82"/>
      <c r="U210" s="82"/>
      <c r="V210" s="82"/>
      <c r="W210" s="82"/>
      <c r="X210" s="82"/>
    </row>
    <row r="211" spans="2:24" ht="14.25" customHeight="1" x14ac:dyDescent="0.25">
      <c r="B211" s="95"/>
      <c r="C211" s="83"/>
      <c r="D211" s="81"/>
      <c r="E211" s="81"/>
      <c r="F211" s="81"/>
      <c r="G211" s="84"/>
      <c r="H211" s="85"/>
      <c r="I211" s="100"/>
      <c r="J211" s="100"/>
      <c r="K211" s="100"/>
      <c r="L211" s="100"/>
      <c r="M211" s="100"/>
      <c r="N211" s="96"/>
      <c r="O211" s="96"/>
      <c r="P211" s="97"/>
      <c r="Q211" s="97"/>
      <c r="R211" s="98"/>
      <c r="S211" s="90"/>
      <c r="T211" s="82"/>
      <c r="U211" s="82"/>
      <c r="V211" s="82"/>
      <c r="W211" s="82"/>
      <c r="X211" s="82"/>
    </row>
    <row r="212" spans="2:24" ht="14.25" customHeight="1" x14ac:dyDescent="0.25">
      <c r="B212" s="99"/>
      <c r="C212" s="91"/>
      <c r="D212" s="92"/>
      <c r="E212" s="92"/>
      <c r="F212" s="92"/>
      <c r="G212" s="93"/>
      <c r="H212" s="85"/>
      <c r="I212" s="100"/>
      <c r="J212" s="100"/>
      <c r="K212" s="100"/>
      <c r="L212" s="100"/>
      <c r="M212" s="100"/>
      <c r="N212" s="96"/>
      <c r="O212" s="96"/>
      <c r="P212" s="97"/>
      <c r="Q212" s="97"/>
      <c r="R212" s="98"/>
      <c r="S212" s="90"/>
      <c r="T212" s="82"/>
      <c r="U212" s="82"/>
      <c r="V212" s="82"/>
      <c r="W212" s="82"/>
      <c r="X212" s="82"/>
    </row>
    <row r="213" spans="2:24" ht="14.25" customHeight="1" x14ac:dyDescent="0.25">
      <c r="B213" s="95"/>
      <c r="C213" s="83"/>
      <c r="D213" s="81"/>
      <c r="E213" s="81"/>
      <c r="F213" s="81"/>
      <c r="G213" s="84"/>
      <c r="H213" s="85"/>
      <c r="I213" s="100"/>
      <c r="J213" s="100"/>
      <c r="K213" s="100"/>
      <c r="L213" s="100"/>
      <c r="M213" s="100"/>
      <c r="N213" s="96"/>
      <c r="O213" s="96"/>
      <c r="P213" s="97"/>
      <c r="Q213" s="97"/>
      <c r="R213" s="98"/>
      <c r="S213" s="90"/>
      <c r="T213" s="82"/>
      <c r="U213" s="82"/>
      <c r="V213" s="82"/>
      <c r="W213" s="82"/>
      <c r="X213" s="82"/>
    </row>
    <row r="214" spans="2:24" ht="14.25" customHeight="1" x14ac:dyDescent="0.25">
      <c r="B214" s="99"/>
      <c r="C214" s="91"/>
      <c r="D214" s="92"/>
      <c r="E214" s="92"/>
      <c r="F214" s="92"/>
      <c r="G214" s="93"/>
      <c r="H214" s="85"/>
      <c r="I214" s="100"/>
      <c r="J214" s="100"/>
      <c r="K214" s="100"/>
      <c r="L214" s="100"/>
      <c r="M214" s="100"/>
      <c r="N214" s="96"/>
      <c r="O214" s="96"/>
      <c r="P214" s="97"/>
      <c r="Q214" s="97"/>
      <c r="R214" s="98"/>
      <c r="S214" s="90"/>
      <c r="T214" s="82"/>
      <c r="U214" s="82"/>
      <c r="V214" s="82"/>
      <c r="W214" s="82"/>
      <c r="X214" s="82"/>
    </row>
    <row r="215" spans="2:24" ht="14.25" customHeight="1" x14ac:dyDescent="0.25">
      <c r="B215" s="95"/>
      <c r="C215" s="83"/>
      <c r="D215" s="81"/>
      <c r="E215" s="81"/>
      <c r="F215" s="81"/>
      <c r="G215" s="84"/>
      <c r="H215" s="85"/>
      <c r="I215" s="100"/>
      <c r="J215" s="100"/>
      <c r="K215" s="100"/>
      <c r="L215" s="100"/>
      <c r="M215" s="100"/>
      <c r="N215" s="96"/>
      <c r="O215" s="96"/>
      <c r="P215" s="97"/>
      <c r="Q215" s="97"/>
      <c r="R215" s="98"/>
      <c r="S215" s="90"/>
      <c r="T215" s="82"/>
      <c r="U215" s="82"/>
      <c r="V215" s="82"/>
      <c r="W215" s="82"/>
      <c r="X215" s="82"/>
    </row>
    <row r="216" spans="2:24" ht="14.25" customHeight="1" x14ac:dyDescent="0.25">
      <c r="B216" s="99"/>
      <c r="C216" s="91"/>
      <c r="D216" s="92"/>
      <c r="E216" s="92"/>
      <c r="F216" s="92"/>
      <c r="G216" s="93"/>
      <c r="H216" s="85"/>
      <c r="I216" s="100"/>
      <c r="J216" s="100"/>
      <c r="K216" s="100"/>
      <c r="L216" s="100"/>
      <c r="M216" s="100"/>
      <c r="N216" s="96"/>
      <c r="O216" s="96"/>
      <c r="P216" s="97"/>
      <c r="Q216" s="97"/>
      <c r="R216" s="98"/>
      <c r="S216" s="90"/>
      <c r="T216" s="82"/>
      <c r="U216" s="82"/>
      <c r="V216" s="82"/>
      <c r="W216" s="82"/>
      <c r="X216" s="82"/>
    </row>
    <row r="217" spans="2:24" ht="14.25" customHeight="1" x14ac:dyDescent="0.25">
      <c r="B217" s="95"/>
      <c r="C217" s="83"/>
      <c r="D217" s="81"/>
      <c r="E217" s="81"/>
      <c r="F217" s="81"/>
      <c r="G217" s="84"/>
      <c r="H217" s="85"/>
      <c r="I217" s="100"/>
      <c r="J217" s="100"/>
      <c r="K217" s="100"/>
      <c r="L217" s="100"/>
      <c r="M217" s="100"/>
      <c r="N217" s="96"/>
      <c r="O217" s="96"/>
      <c r="P217" s="97"/>
      <c r="Q217" s="97"/>
      <c r="R217" s="98"/>
      <c r="S217" s="90"/>
      <c r="T217" s="82"/>
      <c r="U217" s="82"/>
      <c r="V217" s="82"/>
      <c r="W217" s="82"/>
      <c r="X217" s="82"/>
    </row>
    <row r="218" spans="2:24" ht="14.25" customHeight="1" x14ac:dyDescent="0.25">
      <c r="B218" s="99"/>
      <c r="C218" s="91"/>
      <c r="D218" s="92"/>
      <c r="E218" s="92"/>
      <c r="F218" s="92"/>
      <c r="G218" s="93"/>
      <c r="H218" s="85"/>
      <c r="I218" s="100"/>
      <c r="J218" s="100"/>
      <c r="K218" s="100"/>
      <c r="L218" s="100"/>
      <c r="M218" s="100"/>
      <c r="N218" s="96"/>
      <c r="O218" s="96"/>
      <c r="P218" s="97"/>
      <c r="Q218" s="97"/>
      <c r="R218" s="98"/>
      <c r="S218" s="90"/>
      <c r="T218" s="82"/>
      <c r="U218" s="82"/>
      <c r="V218" s="82"/>
      <c r="W218" s="82"/>
      <c r="X218" s="82"/>
    </row>
    <row r="219" spans="2:24" ht="14.25" customHeight="1" x14ac:dyDescent="0.25">
      <c r="B219" s="95"/>
      <c r="C219" s="83"/>
      <c r="D219" s="81"/>
      <c r="E219" s="81"/>
      <c r="F219" s="81"/>
      <c r="G219" s="84"/>
      <c r="H219" s="85"/>
      <c r="I219" s="100"/>
      <c r="J219" s="100"/>
      <c r="K219" s="100"/>
      <c r="L219" s="100"/>
      <c r="M219" s="100"/>
      <c r="N219" s="96"/>
      <c r="O219" s="96"/>
      <c r="P219" s="97"/>
      <c r="Q219" s="97"/>
      <c r="R219" s="98"/>
      <c r="S219" s="90"/>
      <c r="T219" s="82"/>
      <c r="U219" s="82"/>
      <c r="V219" s="82"/>
      <c r="W219" s="82"/>
      <c r="X219" s="82"/>
    </row>
    <row r="220" spans="2:24" ht="14.25" customHeight="1" x14ac:dyDescent="0.25">
      <c r="B220" s="99"/>
      <c r="C220" s="91"/>
      <c r="D220" s="92"/>
      <c r="E220" s="92"/>
      <c r="F220" s="92"/>
      <c r="G220" s="93"/>
      <c r="H220" s="85"/>
      <c r="I220" s="100"/>
      <c r="J220" s="100"/>
      <c r="K220" s="100"/>
      <c r="L220" s="100"/>
      <c r="M220" s="100"/>
      <c r="N220" s="96"/>
      <c r="O220" s="96"/>
      <c r="P220" s="97"/>
      <c r="Q220" s="97"/>
      <c r="R220" s="98"/>
      <c r="S220" s="90"/>
      <c r="T220" s="82"/>
      <c r="U220" s="82"/>
      <c r="V220" s="82"/>
      <c r="W220" s="82"/>
      <c r="X220" s="82"/>
    </row>
    <row r="221" spans="2:24" ht="14.25" customHeight="1" x14ac:dyDescent="0.25">
      <c r="B221" s="95"/>
      <c r="C221" s="83"/>
      <c r="D221" s="81"/>
      <c r="E221" s="81"/>
      <c r="F221" s="81"/>
      <c r="G221" s="84"/>
      <c r="H221" s="85"/>
      <c r="I221" s="100"/>
      <c r="J221" s="100"/>
      <c r="K221" s="100"/>
      <c r="L221" s="100"/>
      <c r="M221" s="100"/>
      <c r="N221" s="96"/>
      <c r="O221" s="96"/>
      <c r="P221" s="97"/>
      <c r="Q221" s="97"/>
      <c r="R221" s="98"/>
      <c r="S221" s="90"/>
      <c r="T221" s="82"/>
      <c r="U221" s="82"/>
      <c r="V221" s="82"/>
      <c r="W221" s="82"/>
      <c r="X221" s="82"/>
    </row>
    <row r="222" spans="2:24" ht="14.25" customHeight="1" x14ac:dyDescent="0.25">
      <c r="B222" s="99"/>
      <c r="C222" s="91"/>
      <c r="D222" s="92"/>
      <c r="E222" s="92"/>
      <c r="F222" s="92"/>
      <c r="G222" s="93"/>
      <c r="H222" s="85"/>
      <c r="I222" s="100"/>
      <c r="J222" s="100"/>
      <c r="K222" s="100"/>
      <c r="L222" s="100"/>
      <c r="M222" s="100"/>
      <c r="N222" s="96"/>
      <c r="O222" s="96"/>
      <c r="P222" s="97"/>
      <c r="Q222" s="97"/>
      <c r="R222" s="98"/>
      <c r="S222" s="90"/>
      <c r="T222" s="82"/>
      <c r="U222" s="82"/>
      <c r="V222" s="82"/>
      <c r="W222" s="82"/>
      <c r="X222" s="82"/>
    </row>
    <row r="223" spans="2:24" ht="14.25" customHeight="1" x14ac:dyDescent="0.25">
      <c r="B223" s="95"/>
      <c r="C223" s="83"/>
      <c r="D223" s="81"/>
      <c r="E223" s="81"/>
      <c r="F223" s="81"/>
      <c r="G223" s="84"/>
      <c r="H223" s="85"/>
      <c r="I223" s="100"/>
      <c r="J223" s="100"/>
      <c r="K223" s="100"/>
      <c r="L223" s="100"/>
      <c r="M223" s="100"/>
      <c r="N223" s="96"/>
      <c r="O223" s="96"/>
      <c r="P223" s="97"/>
      <c r="Q223" s="97"/>
      <c r="R223" s="98"/>
      <c r="S223" s="90"/>
      <c r="T223" s="82"/>
      <c r="U223" s="82"/>
      <c r="V223" s="82"/>
      <c r="W223" s="82"/>
      <c r="X223" s="82"/>
    </row>
    <row r="224" spans="2:24" ht="14.25" customHeight="1" x14ac:dyDescent="0.25">
      <c r="B224" s="99"/>
      <c r="C224" s="91"/>
      <c r="D224" s="92"/>
      <c r="E224" s="92"/>
      <c r="F224" s="92"/>
      <c r="G224" s="93"/>
      <c r="H224" s="85"/>
      <c r="I224" s="100"/>
      <c r="J224" s="100"/>
      <c r="K224" s="100"/>
      <c r="L224" s="100"/>
      <c r="M224" s="100"/>
      <c r="N224" s="96"/>
      <c r="O224" s="96"/>
      <c r="P224" s="97"/>
      <c r="Q224" s="97"/>
      <c r="R224" s="98"/>
      <c r="S224" s="90"/>
      <c r="T224" s="82"/>
      <c r="U224" s="82"/>
      <c r="V224" s="82"/>
      <c r="W224" s="82"/>
      <c r="X224" s="82"/>
    </row>
    <row r="225" spans="2:24" ht="14.25" customHeight="1" x14ac:dyDescent="0.25">
      <c r="B225" s="95"/>
      <c r="C225" s="83"/>
      <c r="D225" s="81"/>
      <c r="E225" s="81"/>
      <c r="F225" s="81"/>
      <c r="G225" s="84"/>
      <c r="H225" s="85"/>
      <c r="I225" s="100"/>
      <c r="J225" s="100"/>
      <c r="K225" s="100"/>
      <c r="L225" s="100"/>
      <c r="M225" s="100"/>
      <c r="N225" s="96"/>
      <c r="O225" s="96"/>
      <c r="P225" s="97"/>
      <c r="Q225" s="97"/>
      <c r="R225" s="98"/>
      <c r="S225" s="90"/>
      <c r="T225" s="82"/>
      <c r="U225" s="82"/>
      <c r="V225" s="82"/>
      <c r="W225" s="82"/>
      <c r="X225" s="82"/>
    </row>
    <row r="226" spans="2:24" ht="14.25" customHeight="1" x14ac:dyDescent="0.25">
      <c r="B226" s="99"/>
      <c r="C226" s="91"/>
      <c r="D226" s="92"/>
      <c r="E226" s="92"/>
      <c r="F226" s="92"/>
      <c r="G226" s="93"/>
      <c r="H226" s="85"/>
      <c r="I226" s="100"/>
      <c r="J226" s="100"/>
      <c r="K226" s="100"/>
      <c r="L226" s="100"/>
      <c r="M226" s="100"/>
      <c r="N226" s="96"/>
      <c r="O226" s="96"/>
      <c r="P226" s="97"/>
      <c r="Q226" s="97"/>
      <c r="R226" s="98"/>
      <c r="S226" s="90"/>
      <c r="T226" s="82"/>
      <c r="U226" s="82"/>
      <c r="V226" s="82"/>
      <c r="W226" s="82"/>
      <c r="X226" s="82"/>
    </row>
    <row r="227" spans="2:24" ht="14.25" customHeight="1" x14ac:dyDescent="0.25">
      <c r="B227" s="95"/>
      <c r="C227" s="83"/>
      <c r="D227" s="81"/>
      <c r="E227" s="81"/>
      <c r="F227" s="81"/>
      <c r="G227" s="84"/>
      <c r="H227" s="85"/>
      <c r="I227" s="100"/>
      <c r="J227" s="100"/>
      <c r="K227" s="100"/>
      <c r="L227" s="100"/>
      <c r="M227" s="100"/>
      <c r="N227" s="96"/>
      <c r="O227" s="96"/>
      <c r="P227" s="97"/>
      <c r="Q227" s="97"/>
      <c r="R227" s="98"/>
      <c r="S227" s="90"/>
      <c r="T227" s="82"/>
      <c r="U227" s="82"/>
      <c r="V227" s="82"/>
      <c r="W227" s="82"/>
      <c r="X227" s="82"/>
    </row>
    <row r="228" spans="2:24" ht="14.25" customHeight="1" x14ac:dyDescent="0.25">
      <c r="B228" s="99"/>
      <c r="C228" s="91"/>
      <c r="D228" s="92"/>
      <c r="E228" s="92"/>
      <c r="F228" s="92"/>
      <c r="G228" s="93"/>
      <c r="H228" s="85"/>
      <c r="I228" s="100"/>
      <c r="J228" s="100"/>
      <c r="K228" s="100"/>
      <c r="L228" s="100"/>
      <c r="M228" s="100"/>
      <c r="N228" s="96"/>
      <c r="O228" s="96"/>
      <c r="P228" s="97"/>
      <c r="Q228" s="97"/>
      <c r="R228" s="98"/>
      <c r="S228" s="90"/>
      <c r="T228" s="82"/>
      <c r="U228" s="82"/>
      <c r="V228" s="82"/>
      <c r="W228" s="82"/>
      <c r="X228" s="82"/>
    </row>
    <row r="229" spans="2:24" ht="14.25" customHeight="1" x14ac:dyDescent="0.25">
      <c r="B229" s="95"/>
      <c r="C229" s="83"/>
      <c r="D229" s="81"/>
      <c r="E229" s="81"/>
      <c r="F229" s="81"/>
      <c r="G229" s="84"/>
      <c r="H229" s="85"/>
      <c r="I229" s="100"/>
      <c r="J229" s="100"/>
      <c r="K229" s="100"/>
      <c r="L229" s="100"/>
      <c r="M229" s="100"/>
      <c r="N229" s="96"/>
      <c r="O229" s="96"/>
      <c r="P229" s="97"/>
      <c r="Q229" s="97"/>
      <c r="R229" s="98"/>
      <c r="S229" s="90"/>
      <c r="T229" s="82"/>
      <c r="U229" s="82"/>
      <c r="V229" s="82"/>
      <c r="W229" s="82"/>
      <c r="X229" s="82"/>
    </row>
    <row r="230" spans="2:24" ht="14.25" customHeight="1" x14ac:dyDescent="0.25">
      <c r="B230" s="99"/>
      <c r="C230" s="91"/>
      <c r="D230" s="92"/>
      <c r="E230" s="92"/>
      <c r="F230" s="92"/>
      <c r="G230" s="93"/>
      <c r="H230" s="85"/>
      <c r="I230" s="100"/>
      <c r="J230" s="100"/>
      <c r="K230" s="100"/>
      <c r="L230" s="100"/>
      <c r="M230" s="100"/>
      <c r="N230" s="96"/>
      <c r="O230" s="96"/>
      <c r="P230" s="97"/>
      <c r="Q230" s="97"/>
      <c r="R230" s="98"/>
      <c r="S230" s="90"/>
      <c r="T230" s="82"/>
      <c r="U230" s="82"/>
      <c r="V230" s="82"/>
      <c r="W230" s="82"/>
      <c r="X230" s="82"/>
    </row>
    <row r="231" spans="2:24" ht="14.25" customHeight="1" x14ac:dyDescent="0.25">
      <c r="B231" s="95"/>
      <c r="C231" s="83"/>
      <c r="D231" s="81"/>
      <c r="E231" s="81"/>
      <c r="F231" s="81"/>
      <c r="G231" s="84"/>
      <c r="H231" s="85"/>
      <c r="I231" s="100"/>
      <c r="J231" s="100"/>
      <c r="K231" s="100"/>
      <c r="L231" s="100"/>
      <c r="M231" s="100"/>
      <c r="N231" s="96"/>
      <c r="O231" s="96"/>
      <c r="P231" s="97"/>
      <c r="Q231" s="97"/>
      <c r="R231" s="98"/>
      <c r="S231" s="90"/>
      <c r="T231" s="82"/>
      <c r="U231" s="82"/>
      <c r="V231" s="82"/>
      <c r="W231" s="82"/>
      <c r="X231" s="82"/>
    </row>
    <row r="232" spans="2:24" ht="14.25" customHeight="1" x14ac:dyDescent="0.25">
      <c r="B232" s="99"/>
      <c r="C232" s="91"/>
      <c r="D232" s="92"/>
      <c r="E232" s="92"/>
      <c r="F232" s="92"/>
      <c r="G232" s="93"/>
      <c r="H232" s="85"/>
      <c r="I232" s="100"/>
      <c r="J232" s="100"/>
      <c r="K232" s="100"/>
      <c r="L232" s="100"/>
      <c r="M232" s="100"/>
      <c r="N232" s="96"/>
      <c r="O232" s="96"/>
      <c r="P232" s="97"/>
      <c r="Q232" s="97"/>
      <c r="R232" s="98"/>
      <c r="S232" s="90"/>
      <c r="T232" s="82"/>
      <c r="U232" s="82"/>
      <c r="V232" s="82"/>
      <c r="W232" s="82"/>
      <c r="X232" s="82"/>
    </row>
    <row r="233" spans="2:24" ht="14.25" customHeight="1" x14ac:dyDescent="0.25">
      <c r="B233" s="95"/>
      <c r="C233" s="83"/>
      <c r="D233" s="81"/>
      <c r="E233" s="81"/>
      <c r="F233" s="81"/>
      <c r="G233" s="84"/>
      <c r="H233" s="85"/>
      <c r="I233" s="100"/>
      <c r="J233" s="100"/>
      <c r="K233" s="100"/>
      <c r="L233" s="100"/>
      <c r="M233" s="100"/>
      <c r="N233" s="96"/>
      <c r="O233" s="96"/>
      <c r="P233" s="97"/>
      <c r="Q233" s="97"/>
      <c r="R233" s="98"/>
      <c r="S233" s="90"/>
      <c r="T233" s="82"/>
      <c r="U233" s="82"/>
      <c r="V233" s="82"/>
      <c r="W233" s="82"/>
      <c r="X233" s="82"/>
    </row>
    <row r="234" spans="2:24" ht="14.25" customHeight="1" x14ac:dyDescent="0.25">
      <c r="B234" s="99"/>
      <c r="C234" s="91"/>
      <c r="D234" s="92"/>
      <c r="E234" s="92"/>
      <c r="F234" s="92"/>
      <c r="G234" s="93"/>
      <c r="H234" s="85"/>
      <c r="I234" s="100"/>
      <c r="J234" s="100"/>
      <c r="K234" s="100"/>
      <c r="L234" s="100"/>
      <c r="M234" s="100"/>
      <c r="N234" s="96"/>
      <c r="O234" s="96"/>
      <c r="P234" s="97"/>
      <c r="Q234" s="97"/>
      <c r="R234" s="98"/>
      <c r="S234" s="90"/>
      <c r="T234" s="82"/>
      <c r="U234" s="82"/>
      <c r="V234" s="82"/>
      <c r="W234" s="82"/>
      <c r="X234" s="82"/>
    </row>
    <row r="235" spans="2:24" ht="14.25" customHeight="1" x14ac:dyDescent="0.25">
      <c r="B235" s="95"/>
      <c r="C235" s="83"/>
      <c r="D235" s="81"/>
      <c r="E235" s="81"/>
      <c r="F235" s="81"/>
      <c r="G235" s="84"/>
      <c r="H235" s="85"/>
      <c r="I235" s="100"/>
      <c r="J235" s="100"/>
      <c r="K235" s="100"/>
      <c r="L235" s="100"/>
      <c r="M235" s="100"/>
      <c r="N235" s="96"/>
      <c r="O235" s="96"/>
      <c r="P235" s="97"/>
      <c r="Q235" s="97"/>
      <c r="R235" s="98"/>
      <c r="S235" s="90"/>
      <c r="T235" s="82"/>
      <c r="U235" s="82"/>
      <c r="V235" s="82"/>
      <c r="W235" s="82"/>
      <c r="X235" s="82"/>
    </row>
    <row r="236" spans="2:24" ht="14.25" customHeight="1" x14ac:dyDescent="0.25">
      <c r="B236" s="99"/>
      <c r="C236" s="91"/>
      <c r="D236" s="92"/>
      <c r="E236" s="92"/>
      <c r="F236" s="92"/>
      <c r="G236" s="93"/>
      <c r="H236" s="85"/>
      <c r="I236" s="100"/>
      <c r="J236" s="100"/>
      <c r="K236" s="100"/>
      <c r="L236" s="100"/>
      <c r="M236" s="100"/>
      <c r="N236" s="96"/>
      <c r="O236" s="96"/>
      <c r="P236" s="97"/>
      <c r="Q236" s="97"/>
      <c r="R236" s="98"/>
      <c r="S236" s="90"/>
      <c r="T236" s="82"/>
      <c r="U236" s="82"/>
      <c r="V236" s="82"/>
      <c r="W236" s="82"/>
      <c r="X236" s="82"/>
    </row>
    <row r="237" spans="2:24" ht="14.25" customHeight="1" x14ac:dyDescent="0.25">
      <c r="B237" s="95"/>
      <c r="C237" s="83"/>
      <c r="D237" s="81"/>
      <c r="E237" s="81"/>
      <c r="F237" s="81"/>
      <c r="G237" s="84"/>
      <c r="H237" s="85"/>
      <c r="I237" s="100"/>
      <c r="J237" s="100"/>
      <c r="K237" s="100"/>
      <c r="L237" s="100"/>
      <c r="M237" s="100"/>
      <c r="N237" s="96"/>
      <c r="O237" s="96"/>
      <c r="P237" s="97"/>
      <c r="Q237" s="97"/>
      <c r="R237" s="98"/>
      <c r="S237" s="90"/>
      <c r="T237" s="82"/>
      <c r="U237" s="82"/>
      <c r="V237" s="82"/>
      <c r="W237" s="82"/>
      <c r="X237" s="82"/>
    </row>
    <row r="238" spans="2:24" ht="14.25" customHeight="1" x14ac:dyDescent="0.25">
      <c r="B238" s="99"/>
      <c r="C238" s="91"/>
      <c r="D238" s="92"/>
      <c r="E238" s="92"/>
      <c r="F238" s="92"/>
      <c r="G238" s="93"/>
      <c r="H238" s="85"/>
      <c r="I238" s="100"/>
      <c r="J238" s="100"/>
      <c r="K238" s="100"/>
      <c r="L238" s="100"/>
      <c r="M238" s="100"/>
      <c r="N238" s="96"/>
      <c r="O238" s="96"/>
      <c r="P238" s="97"/>
      <c r="Q238" s="97"/>
      <c r="R238" s="98"/>
      <c r="S238" s="90"/>
      <c r="T238" s="82"/>
      <c r="U238" s="82"/>
      <c r="V238" s="82"/>
      <c r="W238" s="82"/>
      <c r="X238" s="82"/>
    </row>
    <row r="239" spans="2:24" ht="14.25" customHeight="1" x14ac:dyDescent="0.25">
      <c r="B239" s="95"/>
      <c r="C239" s="83"/>
      <c r="D239" s="81"/>
      <c r="E239" s="81"/>
      <c r="F239" s="81"/>
      <c r="G239" s="84"/>
      <c r="H239" s="85"/>
      <c r="I239" s="100"/>
      <c r="J239" s="100"/>
      <c r="K239" s="100"/>
      <c r="L239" s="100"/>
      <c r="M239" s="100"/>
      <c r="N239" s="96"/>
      <c r="O239" s="96"/>
      <c r="P239" s="97"/>
      <c r="Q239" s="97"/>
      <c r="R239" s="98"/>
      <c r="S239" s="90"/>
      <c r="T239" s="82"/>
      <c r="U239" s="82"/>
      <c r="V239" s="82"/>
      <c r="W239" s="82"/>
      <c r="X239" s="82"/>
    </row>
    <row r="240" spans="2:24" ht="14.25" customHeight="1" x14ac:dyDescent="0.25">
      <c r="B240" s="99"/>
      <c r="C240" s="91"/>
      <c r="D240" s="92"/>
      <c r="E240" s="92"/>
      <c r="F240" s="92"/>
      <c r="G240" s="93"/>
      <c r="H240" s="85"/>
      <c r="I240" s="100"/>
      <c r="J240" s="100"/>
      <c r="K240" s="100"/>
      <c r="L240" s="100"/>
      <c r="M240" s="100"/>
      <c r="N240" s="96"/>
      <c r="O240" s="96"/>
      <c r="P240" s="97"/>
      <c r="Q240" s="97"/>
      <c r="R240" s="98"/>
      <c r="S240" s="90"/>
      <c r="T240" s="82"/>
      <c r="U240" s="82"/>
      <c r="V240" s="82"/>
      <c r="W240" s="82"/>
      <c r="X240" s="82"/>
    </row>
    <row r="241" spans="1:24" ht="14.25" customHeight="1" x14ac:dyDescent="0.25">
      <c r="B241" s="95"/>
      <c r="C241" s="83"/>
      <c r="D241" s="81"/>
      <c r="E241" s="81"/>
      <c r="F241" s="81"/>
      <c r="G241" s="84"/>
      <c r="H241" s="85"/>
      <c r="I241" s="100"/>
      <c r="J241" s="100"/>
      <c r="K241" s="100"/>
      <c r="L241" s="100"/>
      <c r="M241" s="100"/>
      <c r="N241" s="96"/>
      <c r="O241" s="96"/>
      <c r="P241" s="97"/>
      <c r="Q241" s="97"/>
      <c r="R241" s="98"/>
      <c r="S241" s="90"/>
      <c r="T241" s="82"/>
      <c r="U241" s="82"/>
      <c r="V241" s="82"/>
      <c r="W241" s="82"/>
      <c r="X241" s="82"/>
    </row>
    <row r="242" spans="1:24" ht="14.25" customHeight="1" x14ac:dyDescent="0.25">
      <c r="B242" s="99"/>
      <c r="C242" s="91"/>
      <c r="D242" s="92"/>
      <c r="E242" s="92"/>
      <c r="F242" s="92"/>
      <c r="G242" s="93"/>
      <c r="H242" s="85"/>
      <c r="I242" s="100"/>
      <c r="J242" s="100"/>
      <c r="K242" s="100"/>
      <c r="L242" s="100"/>
      <c r="M242" s="100"/>
      <c r="N242" s="96"/>
      <c r="O242" s="96"/>
      <c r="P242" s="97"/>
      <c r="Q242" s="97"/>
      <c r="R242" s="98"/>
      <c r="S242" s="90"/>
      <c r="T242" s="82"/>
      <c r="U242" s="82"/>
      <c r="V242" s="82"/>
      <c r="W242" s="82"/>
      <c r="X242" s="82"/>
    </row>
    <row r="243" spans="1:24" ht="14.25" customHeight="1" x14ac:dyDescent="0.25">
      <c r="B243" s="95"/>
      <c r="C243" s="83"/>
      <c r="D243" s="81"/>
      <c r="E243" s="81"/>
      <c r="F243" s="81"/>
      <c r="G243" s="84"/>
      <c r="H243" s="85"/>
      <c r="I243" s="100"/>
      <c r="J243" s="100"/>
      <c r="K243" s="100"/>
      <c r="L243" s="100"/>
      <c r="M243" s="100"/>
      <c r="N243" s="96"/>
      <c r="O243" s="96"/>
      <c r="P243" s="97"/>
      <c r="Q243" s="97"/>
      <c r="R243" s="98"/>
      <c r="S243" s="90"/>
      <c r="T243" s="82"/>
      <c r="U243" s="82"/>
      <c r="V243" s="82"/>
      <c r="W243" s="82"/>
      <c r="X243" s="82"/>
    </row>
    <row r="244" spans="1:24" ht="14.25" customHeight="1" x14ac:dyDescent="0.25">
      <c r="B244" s="99"/>
      <c r="C244" s="91"/>
      <c r="D244" s="92"/>
      <c r="E244" s="92"/>
      <c r="F244" s="92"/>
      <c r="G244" s="93"/>
      <c r="H244" s="85"/>
      <c r="I244" s="100"/>
      <c r="J244" s="100"/>
      <c r="K244" s="100"/>
      <c r="L244" s="100"/>
      <c r="M244" s="100"/>
      <c r="N244" s="96"/>
      <c r="O244" s="96"/>
      <c r="P244" s="97"/>
      <c r="Q244" s="97"/>
      <c r="R244" s="98"/>
      <c r="S244" s="90"/>
      <c r="T244" s="82"/>
      <c r="U244" s="82"/>
      <c r="V244" s="82"/>
      <c r="W244" s="82"/>
      <c r="X244" s="82"/>
    </row>
    <row r="245" spans="1:24" ht="14.25" customHeight="1" x14ac:dyDescent="0.25">
      <c r="B245" s="95"/>
      <c r="C245" s="83"/>
      <c r="D245" s="81"/>
      <c r="E245" s="81"/>
      <c r="F245" s="81"/>
      <c r="G245" s="84"/>
      <c r="H245" s="85"/>
      <c r="I245" s="100"/>
      <c r="J245" s="100"/>
      <c r="K245" s="100"/>
      <c r="L245" s="100"/>
      <c r="M245" s="100"/>
      <c r="N245" s="101"/>
      <c r="O245" s="101"/>
      <c r="P245" s="102"/>
      <c r="Q245" s="102"/>
      <c r="R245" s="103"/>
      <c r="S245" s="90"/>
      <c r="T245" s="82"/>
      <c r="U245" s="82"/>
      <c r="V245" s="82"/>
      <c r="W245" s="82"/>
      <c r="X245" s="82"/>
    </row>
    <row r="246" spans="1:24" ht="14.25" customHeight="1" x14ac:dyDescent="0.25">
      <c r="B246" s="99"/>
      <c r="C246" s="91"/>
      <c r="D246" s="92"/>
      <c r="E246" s="92"/>
      <c r="F246" s="92"/>
      <c r="G246" s="93"/>
      <c r="H246" s="85"/>
      <c r="I246" s="100"/>
      <c r="J246" s="100"/>
      <c r="K246" s="100"/>
      <c r="L246" s="100"/>
      <c r="M246" s="100"/>
      <c r="N246" s="100"/>
      <c r="O246" s="100"/>
      <c r="P246" s="104"/>
      <c r="Q246" s="104"/>
      <c r="R246" s="104"/>
      <c r="S246" s="90"/>
      <c r="T246" s="82"/>
      <c r="U246" s="82"/>
      <c r="V246" s="82"/>
      <c r="W246" s="82"/>
      <c r="X246" s="82"/>
    </row>
    <row r="247" spans="1:24" ht="14.25" customHeight="1" x14ac:dyDescent="0.25">
      <c r="A247" s="70"/>
      <c r="B247" s="94"/>
      <c r="C247" s="83"/>
      <c r="D247" s="81"/>
      <c r="E247" s="81"/>
      <c r="F247" s="81"/>
      <c r="G247" s="84"/>
      <c r="H247" s="85"/>
      <c r="I247" s="105"/>
      <c r="J247" s="105"/>
      <c r="K247" s="105"/>
      <c r="L247" s="105"/>
      <c r="M247" s="105"/>
      <c r="N247" s="106"/>
      <c r="O247" s="106"/>
      <c r="P247" s="107"/>
      <c r="Q247" s="107"/>
      <c r="R247" s="107"/>
      <c r="S247" s="90"/>
      <c r="T247" s="82"/>
      <c r="U247" s="82"/>
      <c r="V247" s="82"/>
      <c r="W247" s="82"/>
      <c r="X247" s="82"/>
    </row>
    <row r="248" spans="1:24" ht="14.25" customHeight="1" x14ac:dyDescent="0.25">
      <c r="B248" s="78"/>
      <c r="C248" s="91"/>
      <c r="D248" s="92"/>
      <c r="E248" s="92"/>
      <c r="F248" s="92"/>
      <c r="G248" s="93"/>
      <c r="H248" s="85"/>
      <c r="I248" s="78"/>
      <c r="J248" s="78"/>
      <c r="K248" s="78"/>
      <c r="L248" s="78"/>
      <c r="M248" s="78"/>
      <c r="N248" s="106"/>
      <c r="O248" s="106"/>
      <c r="P248" s="107"/>
      <c r="Q248" s="107"/>
      <c r="R248" s="107"/>
      <c r="S248" s="90"/>
      <c r="T248" s="82"/>
      <c r="U248" s="82"/>
      <c r="V248" s="82"/>
      <c r="W248" s="82"/>
      <c r="X248" s="82"/>
    </row>
    <row r="249" spans="1:24" ht="14.25" customHeight="1" x14ac:dyDescent="0.25">
      <c r="B249" s="94"/>
      <c r="C249" s="83"/>
      <c r="D249" s="81"/>
      <c r="E249" s="81"/>
      <c r="F249" s="81"/>
      <c r="G249" s="84"/>
      <c r="H249" s="85"/>
      <c r="I249" s="78"/>
      <c r="J249" s="78"/>
      <c r="K249" s="78"/>
      <c r="L249" s="78"/>
      <c r="M249" s="78"/>
      <c r="N249" s="106"/>
      <c r="O249" s="106"/>
      <c r="P249" s="107"/>
      <c r="Q249" s="107"/>
      <c r="R249" s="107"/>
      <c r="S249" s="90"/>
      <c r="T249" s="82"/>
      <c r="U249" s="82"/>
      <c r="V249" s="82"/>
      <c r="W249" s="82"/>
      <c r="X249" s="82"/>
    </row>
    <row r="250" spans="1:24" ht="14.25" customHeight="1" x14ac:dyDescent="0.25">
      <c r="B250" s="78"/>
      <c r="C250" s="91"/>
      <c r="D250" s="92"/>
      <c r="E250" s="92"/>
      <c r="F250" s="92"/>
      <c r="G250" s="93"/>
      <c r="H250" s="85"/>
      <c r="I250" s="78"/>
      <c r="J250" s="78"/>
      <c r="K250" s="78"/>
      <c r="L250" s="78"/>
      <c r="M250" s="78"/>
      <c r="N250" s="106"/>
      <c r="O250" s="106"/>
      <c r="P250" s="107"/>
      <c r="Q250" s="107"/>
      <c r="R250" s="107"/>
      <c r="S250" s="90"/>
      <c r="T250" s="82"/>
      <c r="U250" s="82"/>
      <c r="V250" s="82"/>
      <c r="W250" s="82"/>
      <c r="X250" s="82"/>
    </row>
    <row r="251" spans="1:24" ht="14.25" customHeight="1" x14ac:dyDescent="0.25">
      <c r="B251" s="94"/>
      <c r="C251" s="83"/>
      <c r="D251" s="81"/>
      <c r="E251" s="81"/>
      <c r="F251" s="81"/>
      <c r="G251" s="84"/>
      <c r="H251" s="85"/>
      <c r="I251" s="78"/>
      <c r="J251" s="78"/>
      <c r="K251" s="78"/>
      <c r="L251" s="78"/>
      <c r="M251" s="78"/>
      <c r="N251" s="106"/>
      <c r="O251" s="106"/>
      <c r="P251" s="107"/>
      <c r="Q251" s="107"/>
      <c r="R251" s="107"/>
      <c r="S251" s="90"/>
      <c r="T251" s="82"/>
      <c r="U251" s="82"/>
      <c r="V251" s="82"/>
      <c r="W251" s="82"/>
      <c r="X251" s="82"/>
    </row>
    <row r="252" spans="1:24" ht="14.25" customHeight="1" x14ac:dyDescent="0.25">
      <c r="B252" s="78"/>
      <c r="C252" s="91"/>
      <c r="D252" s="92"/>
      <c r="E252" s="92"/>
      <c r="F252" s="92"/>
      <c r="G252" s="93"/>
      <c r="H252" s="85"/>
      <c r="I252" s="78"/>
      <c r="J252" s="78"/>
      <c r="K252" s="78"/>
      <c r="L252" s="78"/>
      <c r="M252" s="78"/>
      <c r="N252" s="106"/>
      <c r="O252" s="106"/>
      <c r="P252" s="107"/>
      <c r="Q252" s="107"/>
      <c r="R252" s="107"/>
      <c r="S252" s="90"/>
      <c r="T252" s="82"/>
      <c r="U252" s="82"/>
      <c r="V252" s="82"/>
      <c r="W252" s="82"/>
      <c r="X252" s="82"/>
    </row>
    <row r="253" spans="1:24" ht="14.25" customHeight="1" x14ac:dyDescent="0.25">
      <c r="B253" s="94"/>
      <c r="C253" s="83"/>
      <c r="D253" s="81"/>
      <c r="E253" s="81"/>
      <c r="F253" s="81"/>
      <c r="G253" s="84"/>
      <c r="H253" s="85"/>
      <c r="I253" s="78"/>
      <c r="J253" s="78"/>
      <c r="K253" s="78"/>
      <c r="L253" s="78"/>
      <c r="M253" s="78"/>
      <c r="N253" s="106"/>
      <c r="O253" s="106"/>
      <c r="P253" s="107"/>
      <c r="Q253" s="107"/>
      <c r="R253" s="107"/>
      <c r="S253" s="90"/>
      <c r="T253" s="82"/>
      <c r="U253" s="82"/>
      <c r="V253" s="82"/>
      <c r="W253" s="82"/>
      <c r="X253" s="82"/>
    </row>
    <row r="254" spans="1:24" ht="14.25" customHeight="1" x14ac:dyDescent="0.25">
      <c r="B254" s="78"/>
      <c r="C254" s="91"/>
      <c r="D254" s="92"/>
      <c r="E254" s="92"/>
      <c r="F254" s="92"/>
      <c r="G254" s="93"/>
      <c r="H254" s="85"/>
      <c r="I254" s="78"/>
      <c r="J254" s="78"/>
      <c r="K254" s="78"/>
      <c r="L254" s="78"/>
      <c r="M254" s="78"/>
      <c r="N254" s="106"/>
      <c r="O254" s="106"/>
      <c r="P254" s="107"/>
      <c r="Q254" s="107"/>
      <c r="R254" s="107"/>
      <c r="S254" s="90"/>
      <c r="T254" s="82"/>
      <c r="U254" s="82"/>
      <c r="V254" s="82"/>
      <c r="W254" s="82"/>
      <c r="X254" s="82"/>
    </row>
    <row r="255" spans="1:24" ht="14.25" customHeight="1" x14ac:dyDescent="0.25">
      <c r="B255" s="94"/>
      <c r="C255" s="83"/>
      <c r="D255" s="81"/>
      <c r="E255" s="81"/>
      <c r="F255" s="81"/>
      <c r="G255" s="84"/>
      <c r="H255" s="85"/>
      <c r="I255" s="78"/>
      <c r="J255" s="78"/>
      <c r="K255" s="78"/>
      <c r="L255" s="78"/>
      <c r="M255" s="78"/>
      <c r="N255" s="106"/>
      <c r="O255" s="106"/>
      <c r="P255" s="107"/>
      <c r="Q255" s="107"/>
      <c r="R255" s="107"/>
      <c r="S255" s="90"/>
      <c r="T255" s="82"/>
      <c r="U255" s="82"/>
      <c r="V255" s="82"/>
      <c r="W255" s="82"/>
      <c r="X255" s="82"/>
    </row>
    <row r="256" spans="1:24" ht="14.25" customHeight="1" x14ac:dyDescent="0.25">
      <c r="B256" s="78"/>
      <c r="C256" s="91"/>
      <c r="D256" s="92"/>
      <c r="E256" s="92"/>
      <c r="F256" s="92"/>
      <c r="G256" s="93"/>
      <c r="H256" s="85"/>
      <c r="I256" s="78"/>
      <c r="J256" s="78"/>
      <c r="K256" s="78"/>
      <c r="L256" s="78"/>
      <c r="M256" s="78"/>
      <c r="N256" s="106"/>
      <c r="O256" s="106"/>
      <c r="P256" s="107"/>
      <c r="Q256" s="107"/>
      <c r="R256" s="107"/>
      <c r="S256" s="90"/>
      <c r="T256" s="82"/>
      <c r="U256" s="82"/>
      <c r="V256" s="82"/>
      <c r="W256" s="82"/>
      <c r="X256" s="82"/>
    </row>
    <row r="257" spans="2:24" ht="14.25" customHeight="1" x14ac:dyDescent="0.25">
      <c r="B257" s="94"/>
      <c r="C257" s="83"/>
      <c r="D257" s="81"/>
      <c r="E257" s="81"/>
      <c r="F257" s="81"/>
      <c r="G257" s="84"/>
      <c r="H257" s="85"/>
      <c r="I257" s="78"/>
      <c r="J257" s="78"/>
      <c r="K257" s="78"/>
      <c r="L257" s="78"/>
      <c r="M257" s="78"/>
      <c r="N257" s="106"/>
      <c r="O257" s="106"/>
      <c r="P257" s="107"/>
      <c r="Q257" s="107"/>
      <c r="R257" s="107"/>
      <c r="S257" s="90"/>
      <c r="T257" s="82"/>
      <c r="U257" s="82"/>
      <c r="V257" s="82"/>
      <c r="W257" s="82"/>
      <c r="X257" s="82"/>
    </row>
    <row r="258" spans="2:24" ht="14.25" customHeight="1" x14ac:dyDescent="0.25">
      <c r="B258" s="78"/>
      <c r="C258" s="91"/>
      <c r="D258" s="92"/>
      <c r="E258" s="92"/>
      <c r="F258" s="92"/>
      <c r="G258" s="93"/>
      <c r="H258" s="85"/>
      <c r="I258" s="78"/>
      <c r="J258" s="78"/>
      <c r="K258" s="78"/>
      <c r="L258" s="78"/>
      <c r="M258" s="78"/>
      <c r="N258" s="106"/>
      <c r="O258" s="106"/>
      <c r="P258" s="107"/>
      <c r="Q258" s="107"/>
      <c r="R258" s="107"/>
      <c r="S258" s="90"/>
      <c r="T258" s="82"/>
      <c r="U258" s="82"/>
      <c r="V258" s="82"/>
      <c r="W258" s="82"/>
      <c r="X258" s="82"/>
    </row>
    <row r="259" spans="2:24" ht="14.25" customHeight="1" x14ac:dyDescent="0.25">
      <c r="B259" s="94"/>
      <c r="C259" s="83"/>
      <c r="D259" s="81"/>
      <c r="E259" s="81"/>
      <c r="F259" s="81"/>
      <c r="G259" s="84"/>
      <c r="H259" s="85"/>
      <c r="I259" s="78"/>
      <c r="J259" s="78"/>
      <c r="K259" s="78"/>
      <c r="L259" s="78"/>
      <c r="M259" s="78"/>
      <c r="N259" s="106"/>
      <c r="O259" s="106"/>
      <c r="P259" s="107"/>
      <c r="Q259" s="107"/>
      <c r="R259" s="107"/>
      <c r="S259" s="90"/>
      <c r="T259" s="82"/>
      <c r="U259" s="82"/>
      <c r="V259" s="82"/>
      <c r="W259" s="82"/>
      <c r="X259" s="82"/>
    </row>
    <row r="260" spans="2:24" ht="14.25" customHeight="1" x14ac:dyDescent="0.25">
      <c r="B260" s="78"/>
      <c r="C260" s="91"/>
      <c r="D260" s="92"/>
      <c r="E260" s="92"/>
      <c r="F260" s="92"/>
      <c r="G260" s="93"/>
      <c r="H260" s="85"/>
      <c r="I260" s="78"/>
      <c r="J260" s="78"/>
      <c r="K260" s="78"/>
      <c r="L260" s="78"/>
      <c r="M260" s="78"/>
      <c r="N260" s="106"/>
      <c r="O260" s="106"/>
      <c r="P260" s="107"/>
      <c r="Q260" s="107"/>
      <c r="R260" s="107"/>
      <c r="S260" s="90"/>
      <c r="T260" s="82"/>
      <c r="U260" s="82"/>
      <c r="V260" s="82"/>
      <c r="W260" s="82"/>
      <c r="X260" s="82"/>
    </row>
    <row r="261" spans="2:24" ht="14.25" customHeight="1" x14ac:dyDescent="0.25">
      <c r="B261" s="94"/>
      <c r="C261" s="83"/>
      <c r="D261" s="81"/>
      <c r="E261" s="81"/>
      <c r="F261" s="81"/>
      <c r="G261" s="84"/>
      <c r="H261" s="85"/>
      <c r="I261" s="78"/>
      <c r="J261" s="78"/>
      <c r="K261" s="78"/>
      <c r="L261" s="78"/>
      <c r="M261" s="78"/>
      <c r="N261" s="106"/>
      <c r="O261" s="106"/>
      <c r="P261" s="107"/>
      <c r="Q261" s="107"/>
      <c r="R261" s="107"/>
      <c r="S261" s="90"/>
      <c r="T261" s="82"/>
      <c r="U261" s="82"/>
      <c r="V261" s="82"/>
      <c r="W261" s="82"/>
      <c r="X261" s="82"/>
    </row>
    <row r="262" spans="2:24" ht="14.25" customHeight="1" x14ac:dyDescent="0.25">
      <c r="B262" s="78"/>
      <c r="C262" s="91"/>
      <c r="D262" s="92"/>
      <c r="E262" s="92"/>
      <c r="F262" s="92"/>
      <c r="G262" s="93"/>
      <c r="H262" s="85"/>
      <c r="I262" s="78"/>
      <c r="J262" s="78"/>
      <c r="K262" s="78"/>
      <c r="L262" s="78"/>
      <c r="M262" s="78"/>
      <c r="N262" s="106"/>
      <c r="O262" s="106"/>
      <c r="P262" s="107"/>
      <c r="Q262" s="107"/>
      <c r="R262" s="107"/>
      <c r="S262" s="90"/>
      <c r="T262" s="82"/>
      <c r="U262" s="82"/>
      <c r="V262" s="82"/>
      <c r="W262" s="82"/>
      <c r="X262" s="82"/>
    </row>
    <row r="263" spans="2:24" ht="14.25" customHeight="1" x14ac:dyDescent="0.25">
      <c r="B263" s="94"/>
      <c r="C263" s="83"/>
      <c r="D263" s="81"/>
      <c r="E263" s="81"/>
      <c r="F263" s="81"/>
      <c r="G263" s="84"/>
      <c r="H263" s="85"/>
      <c r="I263" s="78"/>
      <c r="J263" s="78"/>
      <c r="K263" s="78"/>
      <c r="L263" s="78"/>
      <c r="M263" s="78"/>
      <c r="N263" s="106"/>
      <c r="O263" s="106"/>
      <c r="P263" s="107"/>
      <c r="Q263" s="107"/>
      <c r="R263" s="107"/>
      <c r="S263" s="90"/>
      <c r="T263" s="82"/>
      <c r="U263" s="82"/>
      <c r="V263" s="82"/>
      <c r="W263" s="82"/>
      <c r="X263" s="82"/>
    </row>
    <row r="264" spans="2:24" ht="14.25" customHeight="1" x14ac:dyDescent="0.25">
      <c r="B264" s="78"/>
      <c r="C264" s="91"/>
      <c r="D264" s="92"/>
      <c r="E264" s="92"/>
      <c r="F264" s="92"/>
      <c r="G264" s="93"/>
      <c r="H264" s="85"/>
      <c r="I264" s="78"/>
      <c r="J264" s="78"/>
      <c r="K264" s="78"/>
      <c r="L264" s="78"/>
      <c r="M264" s="78"/>
      <c r="N264" s="106"/>
      <c r="O264" s="106"/>
      <c r="P264" s="107"/>
      <c r="Q264" s="107"/>
      <c r="R264" s="107"/>
      <c r="S264" s="90"/>
      <c r="T264" s="82"/>
      <c r="U264" s="82"/>
      <c r="V264" s="82"/>
      <c r="W264" s="82"/>
      <c r="X264" s="82"/>
    </row>
    <row r="265" spans="2:24" ht="14.25" customHeight="1" x14ac:dyDescent="0.25">
      <c r="B265" s="94"/>
      <c r="C265" s="83"/>
      <c r="D265" s="81"/>
      <c r="E265" s="81"/>
      <c r="F265" s="81"/>
      <c r="G265" s="84"/>
      <c r="H265" s="85"/>
      <c r="I265" s="78"/>
      <c r="J265" s="78"/>
      <c r="K265" s="78"/>
      <c r="L265" s="78"/>
      <c r="M265" s="78"/>
      <c r="N265" s="106"/>
      <c r="O265" s="106"/>
      <c r="P265" s="107"/>
      <c r="Q265" s="107"/>
      <c r="R265" s="107"/>
      <c r="S265" s="90"/>
      <c r="T265" s="82"/>
      <c r="U265" s="82"/>
      <c r="V265" s="82"/>
      <c r="W265" s="82"/>
      <c r="X265" s="82"/>
    </row>
    <row r="266" spans="2:24" ht="14.25" customHeight="1" x14ac:dyDescent="0.25">
      <c r="B266" s="78"/>
      <c r="C266" s="91"/>
      <c r="D266" s="92"/>
      <c r="E266" s="92"/>
      <c r="F266" s="92"/>
      <c r="G266" s="93"/>
      <c r="H266" s="85"/>
      <c r="I266" s="78"/>
      <c r="J266" s="78"/>
      <c r="K266" s="78"/>
      <c r="L266" s="78"/>
      <c r="M266" s="78"/>
      <c r="N266" s="106"/>
      <c r="O266" s="106"/>
      <c r="P266" s="107"/>
      <c r="Q266" s="107"/>
      <c r="R266" s="107"/>
      <c r="S266" s="90"/>
      <c r="T266" s="82"/>
      <c r="U266" s="82"/>
      <c r="V266" s="82"/>
      <c r="W266" s="82"/>
      <c r="X266" s="82"/>
    </row>
    <row r="267" spans="2:24" ht="14.25" customHeight="1" x14ac:dyDescent="0.25">
      <c r="B267" s="94"/>
      <c r="C267" s="83"/>
      <c r="D267" s="81"/>
      <c r="E267" s="81"/>
      <c r="F267" s="81"/>
      <c r="G267" s="84"/>
      <c r="H267" s="85"/>
      <c r="I267" s="78"/>
      <c r="J267" s="78"/>
      <c r="K267" s="78"/>
      <c r="L267" s="78"/>
      <c r="M267" s="78"/>
      <c r="N267" s="106"/>
      <c r="O267" s="106"/>
      <c r="P267" s="107"/>
      <c r="Q267" s="107"/>
      <c r="R267" s="107"/>
      <c r="S267" s="90"/>
      <c r="T267" s="82"/>
      <c r="U267" s="82"/>
      <c r="V267" s="82"/>
      <c r="W267" s="82"/>
      <c r="X267" s="82"/>
    </row>
    <row r="268" spans="2:24" ht="14.25" customHeight="1" x14ac:dyDescent="0.25">
      <c r="B268" s="78"/>
      <c r="C268" s="91"/>
      <c r="D268" s="92"/>
      <c r="E268" s="92"/>
      <c r="F268" s="92"/>
      <c r="G268" s="93"/>
      <c r="H268" s="85"/>
      <c r="I268" s="78"/>
      <c r="J268" s="78"/>
      <c r="K268" s="78"/>
      <c r="L268" s="78"/>
      <c r="M268" s="78"/>
      <c r="N268" s="106"/>
      <c r="O268" s="106"/>
      <c r="P268" s="107"/>
      <c r="Q268" s="107"/>
      <c r="R268" s="107"/>
      <c r="S268" s="90"/>
      <c r="T268" s="82"/>
      <c r="U268" s="82"/>
      <c r="V268" s="82"/>
      <c r="W268" s="82"/>
      <c r="X268" s="82"/>
    </row>
    <row r="269" spans="2:24" ht="14.25" customHeight="1" x14ac:dyDescent="0.25">
      <c r="B269" s="94"/>
      <c r="C269" s="83"/>
      <c r="D269" s="81"/>
      <c r="E269" s="81"/>
      <c r="F269" s="81"/>
      <c r="G269" s="84"/>
      <c r="H269" s="85"/>
      <c r="I269" s="78"/>
      <c r="J269" s="78"/>
      <c r="K269" s="78"/>
      <c r="L269" s="78"/>
      <c r="M269" s="78"/>
      <c r="N269" s="106"/>
      <c r="O269" s="106"/>
      <c r="P269" s="107"/>
      <c r="Q269" s="107"/>
      <c r="R269" s="107"/>
      <c r="S269" s="90"/>
      <c r="T269" s="82"/>
      <c r="U269" s="82"/>
      <c r="V269" s="82"/>
      <c r="W269" s="82"/>
      <c r="X269" s="82"/>
    </row>
    <row r="270" spans="2:24" ht="14.25" customHeight="1" x14ac:dyDescent="0.25">
      <c r="B270" s="78"/>
      <c r="C270" s="91"/>
      <c r="D270" s="92"/>
      <c r="E270" s="92"/>
      <c r="F270" s="92"/>
      <c r="G270" s="93"/>
      <c r="H270" s="85"/>
      <c r="I270" s="78"/>
      <c r="J270" s="78"/>
      <c r="K270" s="78"/>
      <c r="L270" s="78"/>
      <c r="M270" s="78"/>
      <c r="N270" s="106"/>
      <c r="O270" s="106"/>
      <c r="P270" s="107"/>
      <c r="Q270" s="107"/>
      <c r="R270" s="107"/>
      <c r="S270" s="90"/>
      <c r="T270" s="82"/>
      <c r="U270" s="82"/>
      <c r="V270" s="82"/>
      <c r="W270" s="82"/>
      <c r="X270" s="82"/>
    </row>
    <row r="271" spans="2:24" ht="14.25" customHeight="1" x14ac:dyDescent="0.25">
      <c r="B271" s="94"/>
      <c r="C271" s="83"/>
      <c r="D271" s="81"/>
      <c r="E271" s="81"/>
      <c r="F271" s="81"/>
      <c r="G271" s="84"/>
      <c r="H271" s="85"/>
      <c r="I271" s="78"/>
      <c r="J271" s="78"/>
      <c r="K271" s="78"/>
      <c r="L271" s="78"/>
      <c r="M271" s="78"/>
      <c r="N271" s="106"/>
      <c r="O271" s="106"/>
      <c r="P271" s="107"/>
      <c r="Q271" s="107"/>
      <c r="R271" s="107"/>
      <c r="S271" s="90"/>
      <c r="T271" s="82"/>
      <c r="U271" s="82"/>
      <c r="V271" s="82"/>
      <c r="W271" s="82"/>
      <c r="X271" s="82"/>
    </row>
    <row r="272" spans="2:24" ht="14.25" customHeight="1" x14ac:dyDescent="0.25">
      <c r="B272" s="78"/>
      <c r="C272" s="91"/>
      <c r="D272" s="92"/>
      <c r="E272" s="92"/>
      <c r="F272" s="92"/>
      <c r="G272" s="93"/>
      <c r="H272" s="85"/>
      <c r="I272" s="78"/>
      <c r="J272" s="78"/>
      <c r="K272" s="78"/>
      <c r="L272" s="78"/>
      <c r="M272" s="78"/>
      <c r="N272" s="106"/>
      <c r="O272" s="106"/>
      <c r="P272" s="107"/>
      <c r="Q272" s="107"/>
      <c r="R272" s="107"/>
      <c r="S272" s="90"/>
      <c r="T272" s="82"/>
      <c r="U272" s="82"/>
      <c r="V272" s="82"/>
      <c r="W272" s="82"/>
      <c r="X272" s="82"/>
    </row>
    <row r="273" spans="2:24" ht="14.25" customHeight="1" x14ac:dyDescent="0.25">
      <c r="B273" s="94"/>
      <c r="C273" s="83"/>
      <c r="D273" s="81"/>
      <c r="E273" s="81"/>
      <c r="F273" s="81"/>
      <c r="G273" s="84"/>
      <c r="H273" s="85"/>
      <c r="I273" s="78"/>
      <c r="J273" s="78"/>
      <c r="K273" s="78"/>
      <c r="L273" s="78"/>
      <c r="M273" s="78"/>
      <c r="N273" s="106"/>
      <c r="O273" s="106"/>
      <c r="P273" s="107"/>
      <c r="Q273" s="107"/>
      <c r="R273" s="107"/>
      <c r="S273" s="90"/>
      <c r="T273" s="82"/>
      <c r="U273" s="82"/>
      <c r="V273" s="82"/>
      <c r="W273" s="82"/>
      <c r="X273" s="82"/>
    </row>
    <row r="274" spans="2:24" ht="14.25" customHeight="1" x14ac:dyDescent="0.25">
      <c r="B274" s="78"/>
      <c r="C274" s="91"/>
      <c r="D274" s="92"/>
      <c r="E274" s="92"/>
      <c r="F274" s="92"/>
      <c r="G274" s="93"/>
      <c r="H274" s="85"/>
      <c r="I274" s="78"/>
      <c r="J274" s="78"/>
      <c r="K274" s="78"/>
      <c r="L274" s="78"/>
      <c r="M274" s="78"/>
      <c r="N274" s="106"/>
      <c r="O274" s="106"/>
      <c r="P274" s="107"/>
      <c r="Q274" s="107"/>
      <c r="R274" s="107"/>
      <c r="S274" s="90"/>
      <c r="T274" s="82"/>
      <c r="U274" s="82"/>
      <c r="V274" s="82"/>
      <c r="W274" s="82"/>
      <c r="X274" s="82"/>
    </row>
    <row r="275" spans="2:24" ht="14.25" customHeight="1" x14ac:dyDescent="0.25">
      <c r="B275" s="94"/>
      <c r="C275" s="83"/>
      <c r="D275" s="81"/>
      <c r="E275" s="81"/>
      <c r="F275" s="81"/>
      <c r="G275" s="84"/>
      <c r="H275" s="85"/>
      <c r="I275" s="78"/>
      <c r="J275" s="78"/>
      <c r="K275" s="78"/>
      <c r="L275" s="78"/>
      <c r="M275" s="78"/>
      <c r="N275" s="106"/>
      <c r="O275" s="106"/>
      <c r="P275" s="107"/>
      <c r="Q275" s="107"/>
      <c r="R275" s="107"/>
      <c r="S275" s="90"/>
      <c r="T275" s="82"/>
      <c r="U275" s="82"/>
      <c r="V275" s="82"/>
      <c r="W275" s="82"/>
      <c r="X275" s="82"/>
    </row>
    <row r="276" spans="2:24" ht="14.25" customHeight="1" x14ac:dyDescent="0.25">
      <c r="B276" s="78"/>
      <c r="C276" s="91"/>
      <c r="D276" s="92"/>
      <c r="E276" s="92"/>
      <c r="F276" s="92"/>
      <c r="G276" s="93"/>
      <c r="H276" s="85"/>
      <c r="I276" s="78"/>
      <c r="J276" s="78"/>
      <c r="K276" s="78"/>
      <c r="L276" s="78"/>
      <c r="M276" s="78"/>
      <c r="N276" s="106"/>
      <c r="O276" s="106"/>
      <c r="P276" s="107"/>
      <c r="Q276" s="107"/>
      <c r="R276" s="107"/>
      <c r="S276" s="90"/>
      <c r="T276" s="82"/>
      <c r="U276" s="82"/>
      <c r="V276" s="82"/>
      <c r="W276" s="82"/>
      <c r="X276" s="82"/>
    </row>
    <row r="277" spans="2:24" ht="14.25" customHeight="1" x14ac:dyDescent="0.25">
      <c r="B277" s="94"/>
      <c r="C277" s="83"/>
      <c r="D277" s="81"/>
      <c r="E277" s="81"/>
      <c r="F277" s="81"/>
      <c r="G277" s="84"/>
      <c r="H277" s="85"/>
      <c r="I277" s="78"/>
      <c r="J277" s="78"/>
      <c r="K277" s="78"/>
      <c r="L277" s="78"/>
      <c r="M277" s="78"/>
      <c r="N277" s="106"/>
      <c r="O277" s="106"/>
      <c r="P277" s="107"/>
      <c r="Q277" s="107"/>
      <c r="R277" s="107"/>
      <c r="S277" s="90"/>
      <c r="T277" s="82"/>
      <c r="U277" s="82"/>
      <c r="V277" s="82"/>
      <c r="W277" s="82"/>
      <c r="X277" s="82"/>
    </row>
    <row r="278" spans="2:24" ht="14.25" customHeight="1" x14ac:dyDescent="0.25">
      <c r="B278" s="78"/>
      <c r="C278" s="91"/>
      <c r="D278" s="92"/>
      <c r="E278" s="92"/>
      <c r="F278" s="92"/>
      <c r="G278" s="93"/>
      <c r="H278" s="85"/>
      <c r="I278" s="78"/>
      <c r="J278" s="78"/>
      <c r="K278" s="78"/>
      <c r="L278" s="78"/>
      <c r="M278" s="78"/>
      <c r="N278" s="106"/>
      <c r="O278" s="106"/>
      <c r="P278" s="107"/>
      <c r="Q278" s="107"/>
      <c r="R278" s="107"/>
      <c r="S278" s="90"/>
      <c r="T278" s="82"/>
      <c r="U278" s="82"/>
      <c r="V278" s="82"/>
      <c r="W278" s="82"/>
      <c r="X278" s="82"/>
    </row>
    <row r="279" spans="2:24" ht="14.25" customHeight="1" x14ac:dyDescent="0.25">
      <c r="B279" s="94"/>
      <c r="C279" s="83"/>
      <c r="D279" s="81"/>
      <c r="E279" s="81"/>
      <c r="F279" s="81"/>
      <c r="G279" s="84"/>
      <c r="H279" s="85"/>
      <c r="I279" s="78"/>
      <c r="J279" s="78"/>
      <c r="K279" s="78"/>
      <c r="L279" s="78"/>
      <c r="M279" s="78"/>
      <c r="N279" s="106"/>
      <c r="O279" s="106"/>
      <c r="P279" s="107"/>
      <c r="Q279" s="107"/>
      <c r="R279" s="107"/>
      <c r="S279" s="90"/>
      <c r="T279" s="82"/>
      <c r="U279" s="82"/>
      <c r="V279" s="82"/>
      <c r="W279" s="82"/>
      <c r="X279" s="82"/>
    </row>
    <row r="280" spans="2:24" ht="14.25" customHeight="1" x14ac:dyDescent="0.25">
      <c r="B280" s="78"/>
      <c r="C280" s="91"/>
      <c r="D280" s="92"/>
      <c r="E280" s="92"/>
      <c r="F280" s="92"/>
      <c r="G280" s="93"/>
      <c r="H280" s="85"/>
      <c r="I280" s="78"/>
      <c r="J280" s="78"/>
      <c r="K280" s="78"/>
      <c r="L280" s="78"/>
      <c r="M280" s="78"/>
      <c r="N280" s="106"/>
      <c r="O280" s="106"/>
      <c r="P280" s="107"/>
      <c r="Q280" s="107"/>
      <c r="R280" s="107"/>
      <c r="S280" s="90"/>
      <c r="T280" s="82"/>
      <c r="U280" s="82"/>
      <c r="V280" s="82"/>
      <c r="W280" s="82"/>
      <c r="X280" s="82"/>
    </row>
    <row r="281" spans="2:24" ht="14.25" customHeight="1" x14ac:dyDescent="0.25">
      <c r="B281" s="94"/>
      <c r="C281" s="83"/>
      <c r="D281" s="81"/>
      <c r="E281" s="81"/>
      <c r="F281" s="81"/>
      <c r="G281" s="84"/>
      <c r="H281" s="85"/>
      <c r="I281" s="78"/>
      <c r="J281" s="78"/>
      <c r="K281" s="78"/>
      <c r="L281" s="78"/>
      <c r="M281" s="78"/>
      <c r="N281" s="106"/>
      <c r="O281" s="106"/>
      <c r="P281" s="107"/>
      <c r="Q281" s="107"/>
      <c r="R281" s="107"/>
      <c r="S281" s="90"/>
      <c r="T281" s="82"/>
      <c r="U281" s="82"/>
      <c r="V281" s="82"/>
      <c r="W281" s="82"/>
      <c r="X281" s="82"/>
    </row>
    <row r="282" spans="2:24" ht="14.25" customHeight="1" x14ac:dyDescent="0.25">
      <c r="B282" s="78"/>
      <c r="C282" s="91"/>
      <c r="D282" s="92"/>
      <c r="E282" s="92"/>
      <c r="F282" s="92"/>
      <c r="G282" s="93"/>
      <c r="H282" s="85"/>
      <c r="I282" s="78"/>
      <c r="J282" s="78"/>
      <c r="K282" s="78"/>
      <c r="L282" s="78"/>
      <c r="M282" s="78"/>
      <c r="N282" s="106"/>
      <c r="O282" s="106"/>
      <c r="P282" s="107"/>
      <c r="Q282" s="107"/>
      <c r="R282" s="107"/>
      <c r="S282" s="90"/>
      <c r="T282" s="82"/>
      <c r="U282" s="82"/>
      <c r="V282" s="82"/>
      <c r="W282" s="82"/>
      <c r="X282" s="82"/>
    </row>
    <row r="283" spans="2:24" ht="14.25" customHeight="1" x14ac:dyDescent="0.25">
      <c r="B283" s="94"/>
      <c r="C283" s="83"/>
      <c r="D283" s="81"/>
      <c r="E283" s="81"/>
      <c r="F283" s="81"/>
      <c r="G283" s="84"/>
      <c r="H283" s="85"/>
      <c r="I283" s="78"/>
      <c r="J283" s="78"/>
      <c r="K283" s="78"/>
      <c r="L283" s="78"/>
      <c r="M283" s="78"/>
      <c r="N283" s="106"/>
      <c r="O283" s="106"/>
      <c r="P283" s="107"/>
      <c r="Q283" s="107"/>
      <c r="R283" s="107"/>
      <c r="S283" s="90"/>
      <c r="T283" s="82"/>
      <c r="U283" s="82"/>
      <c r="V283" s="82"/>
      <c r="W283" s="82"/>
      <c r="X283" s="82"/>
    </row>
    <row r="284" spans="2:24" ht="14.25" customHeight="1" x14ac:dyDescent="0.25">
      <c r="B284" s="78"/>
      <c r="C284" s="91"/>
      <c r="D284" s="92"/>
      <c r="E284" s="92"/>
      <c r="F284" s="92"/>
      <c r="G284" s="93"/>
      <c r="H284" s="85"/>
      <c r="I284" s="78"/>
      <c r="J284" s="78"/>
      <c r="K284" s="78"/>
      <c r="L284" s="78"/>
      <c r="M284" s="78"/>
      <c r="N284" s="106"/>
      <c r="O284" s="106"/>
      <c r="P284" s="107"/>
      <c r="Q284" s="107"/>
      <c r="R284" s="107"/>
      <c r="S284" s="90"/>
      <c r="T284" s="82"/>
      <c r="U284" s="82"/>
      <c r="V284" s="82"/>
      <c r="W284" s="82"/>
      <c r="X284" s="82"/>
    </row>
    <row r="285" spans="2:24" ht="14.25" customHeight="1" x14ac:dyDescent="0.25">
      <c r="B285" s="94"/>
      <c r="C285" s="83"/>
      <c r="D285" s="81"/>
      <c r="E285" s="81"/>
      <c r="F285" s="81"/>
      <c r="G285" s="84"/>
      <c r="H285" s="85"/>
      <c r="I285" s="78"/>
      <c r="J285" s="78"/>
      <c r="K285" s="78"/>
      <c r="L285" s="78"/>
      <c r="M285" s="78"/>
      <c r="N285" s="106"/>
      <c r="O285" s="106"/>
      <c r="P285" s="107"/>
      <c r="Q285" s="107"/>
      <c r="R285" s="107"/>
      <c r="S285" s="90"/>
      <c r="T285" s="82"/>
      <c r="U285" s="82"/>
      <c r="V285" s="82"/>
      <c r="W285" s="82"/>
      <c r="X285" s="82"/>
    </row>
    <row r="286" spans="2:24" ht="14.25" customHeight="1" x14ac:dyDescent="0.25">
      <c r="B286" s="78"/>
      <c r="C286" s="91"/>
      <c r="D286" s="92"/>
      <c r="E286" s="92"/>
      <c r="F286" s="92"/>
      <c r="G286" s="93"/>
      <c r="H286" s="85"/>
      <c r="I286" s="78"/>
      <c r="J286" s="78"/>
      <c r="K286" s="78"/>
      <c r="L286" s="78"/>
      <c r="M286" s="78"/>
      <c r="N286" s="106"/>
      <c r="O286" s="106"/>
      <c r="P286" s="107"/>
      <c r="Q286" s="107"/>
      <c r="R286" s="107"/>
      <c r="S286" s="90"/>
      <c r="T286" s="82"/>
      <c r="U286" s="82"/>
      <c r="V286" s="82"/>
      <c r="W286" s="82"/>
      <c r="X286" s="82"/>
    </row>
    <row r="287" spans="2:24" ht="14.25" customHeight="1" x14ac:dyDescent="0.25">
      <c r="B287" s="94"/>
      <c r="C287" s="83"/>
      <c r="D287" s="81"/>
      <c r="E287" s="81"/>
      <c r="F287" s="81"/>
      <c r="G287" s="84"/>
      <c r="H287" s="85"/>
      <c r="I287" s="78"/>
      <c r="J287" s="78"/>
      <c r="K287" s="78"/>
      <c r="L287" s="78"/>
      <c r="M287" s="78"/>
      <c r="N287" s="106"/>
      <c r="O287" s="106"/>
      <c r="P287" s="107"/>
      <c r="Q287" s="107"/>
      <c r="R287" s="107"/>
      <c r="S287" s="90"/>
      <c r="T287" s="82"/>
      <c r="U287" s="82"/>
      <c r="V287" s="82"/>
      <c r="W287" s="82"/>
      <c r="X287" s="82"/>
    </row>
    <row r="288" spans="2:24" ht="14.25" customHeight="1" x14ac:dyDescent="0.25">
      <c r="B288" s="78"/>
      <c r="C288" s="91"/>
      <c r="D288" s="92"/>
      <c r="E288" s="92"/>
      <c r="F288" s="92"/>
      <c r="G288" s="93"/>
      <c r="H288" s="85"/>
      <c r="I288" s="78"/>
      <c r="J288" s="78"/>
      <c r="K288" s="78"/>
      <c r="L288" s="78"/>
      <c r="M288" s="78"/>
      <c r="N288" s="106"/>
      <c r="O288" s="106"/>
      <c r="P288" s="107"/>
      <c r="Q288" s="107"/>
      <c r="R288" s="107"/>
      <c r="S288" s="90"/>
      <c r="T288" s="82"/>
      <c r="U288" s="82"/>
      <c r="V288" s="82"/>
      <c r="W288" s="82"/>
      <c r="X288" s="82"/>
    </row>
    <row r="289" spans="2:24" ht="14.25" customHeight="1" x14ac:dyDescent="0.25">
      <c r="B289" s="94"/>
      <c r="C289" s="83"/>
      <c r="D289" s="81"/>
      <c r="E289" s="81"/>
      <c r="F289" s="81"/>
      <c r="G289" s="84"/>
      <c r="H289" s="85"/>
      <c r="I289" s="78"/>
      <c r="J289" s="78"/>
      <c r="K289" s="78"/>
      <c r="L289" s="78"/>
      <c r="M289" s="78"/>
      <c r="N289" s="106"/>
      <c r="O289" s="106"/>
      <c r="P289" s="107"/>
      <c r="Q289" s="107"/>
      <c r="R289" s="107"/>
      <c r="S289" s="90"/>
      <c r="T289" s="82"/>
      <c r="U289" s="82"/>
      <c r="V289" s="82"/>
      <c r="W289" s="82"/>
      <c r="X289" s="82"/>
    </row>
    <row r="290" spans="2:24" ht="14.25" customHeight="1" x14ac:dyDescent="0.25">
      <c r="B290" s="78"/>
      <c r="C290" s="91"/>
      <c r="D290" s="92"/>
      <c r="E290" s="92"/>
      <c r="F290" s="92"/>
      <c r="G290" s="93"/>
      <c r="H290" s="85"/>
      <c r="I290" s="78"/>
      <c r="J290" s="78"/>
      <c r="K290" s="78"/>
      <c r="L290" s="78"/>
      <c r="M290" s="78"/>
      <c r="N290" s="106"/>
      <c r="O290" s="106"/>
      <c r="P290" s="107"/>
      <c r="Q290" s="107"/>
      <c r="R290" s="107"/>
      <c r="S290" s="90"/>
      <c r="T290" s="82"/>
      <c r="U290" s="82"/>
      <c r="V290" s="82"/>
      <c r="W290" s="82"/>
      <c r="X290" s="82"/>
    </row>
    <row r="291" spans="2:24" ht="14.25" customHeight="1" x14ac:dyDescent="0.25">
      <c r="B291" s="94"/>
      <c r="C291" s="83"/>
      <c r="D291" s="81"/>
      <c r="E291" s="81"/>
      <c r="F291" s="81"/>
      <c r="G291" s="84"/>
      <c r="H291" s="85"/>
      <c r="I291" s="78"/>
      <c r="J291" s="78"/>
      <c r="K291" s="78"/>
      <c r="L291" s="78"/>
      <c r="M291" s="78"/>
      <c r="N291" s="106"/>
      <c r="O291" s="106"/>
      <c r="P291" s="107"/>
      <c r="Q291" s="107"/>
      <c r="R291" s="107"/>
      <c r="S291" s="90"/>
      <c r="T291" s="82"/>
      <c r="U291" s="82"/>
      <c r="V291" s="82"/>
      <c r="W291" s="82"/>
      <c r="X291" s="82"/>
    </row>
    <row r="292" spans="2:24" ht="14.25" customHeight="1" x14ac:dyDescent="0.25">
      <c r="B292" s="78"/>
      <c r="C292" s="91"/>
      <c r="D292" s="92"/>
      <c r="E292" s="92"/>
      <c r="F292" s="92"/>
      <c r="G292" s="93"/>
      <c r="H292" s="85"/>
      <c r="I292" s="78"/>
      <c r="J292" s="78"/>
      <c r="K292" s="78"/>
      <c r="L292" s="78"/>
      <c r="M292" s="78"/>
      <c r="N292" s="106"/>
      <c r="O292" s="106"/>
      <c r="P292" s="107"/>
      <c r="Q292" s="107"/>
      <c r="R292" s="107"/>
      <c r="S292" s="90"/>
      <c r="T292" s="82"/>
      <c r="U292" s="82"/>
      <c r="V292" s="82"/>
      <c r="W292" s="82"/>
      <c r="X292" s="82"/>
    </row>
    <row r="293" spans="2:24" ht="14.25" customHeight="1" x14ac:dyDescent="0.25">
      <c r="B293" s="94"/>
      <c r="C293" s="83"/>
      <c r="D293" s="81"/>
      <c r="E293" s="81"/>
      <c r="F293" s="81"/>
      <c r="G293" s="84"/>
      <c r="H293" s="85"/>
      <c r="I293" s="78"/>
      <c r="J293" s="78"/>
      <c r="K293" s="78"/>
      <c r="L293" s="78"/>
      <c r="M293" s="78"/>
      <c r="N293" s="106"/>
      <c r="O293" s="106"/>
      <c r="P293" s="107"/>
      <c r="Q293" s="107"/>
      <c r="R293" s="107"/>
      <c r="S293" s="90"/>
      <c r="T293" s="82"/>
      <c r="U293" s="82"/>
      <c r="V293" s="82"/>
      <c r="W293" s="82"/>
      <c r="X293" s="82"/>
    </row>
    <row r="294" spans="2:24" ht="14.25" customHeight="1" x14ac:dyDescent="0.25">
      <c r="B294" s="78"/>
      <c r="C294" s="91"/>
      <c r="D294" s="92"/>
      <c r="E294" s="92"/>
      <c r="F294" s="92"/>
      <c r="G294" s="93"/>
      <c r="H294" s="85"/>
      <c r="I294" s="78"/>
      <c r="J294" s="78"/>
      <c r="K294" s="78"/>
      <c r="L294" s="78"/>
      <c r="M294" s="78"/>
      <c r="N294" s="106"/>
      <c r="O294" s="106"/>
      <c r="P294" s="107"/>
      <c r="Q294" s="107"/>
      <c r="R294" s="107"/>
      <c r="S294" s="90"/>
      <c r="T294" s="82"/>
      <c r="U294" s="82"/>
      <c r="V294" s="82"/>
      <c r="W294" s="82"/>
      <c r="X294" s="82"/>
    </row>
    <row r="295" spans="2:24" ht="14.25" customHeight="1" x14ac:dyDescent="0.25">
      <c r="B295" s="94"/>
      <c r="C295" s="83"/>
      <c r="D295" s="81"/>
      <c r="E295" s="81"/>
      <c r="F295" s="81"/>
      <c r="G295" s="84"/>
      <c r="H295" s="85"/>
      <c r="I295" s="78"/>
      <c r="J295" s="78"/>
      <c r="K295" s="78"/>
      <c r="L295" s="78"/>
      <c r="M295" s="78"/>
      <c r="N295" s="106"/>
      <c r="O295" s="106"/>
      <c r="P295" s="107"/>
      <c r="Q295" s="107"/>
      <c r="R295" s="107"/>
      <c r="S295" s="90"/>
      <c r="T295" s="82"/>
      <c r="U295" s="82"/>
      <c r="V295" s="82"/>
      <c r="W295" s="82"/>
      <c r="X295" s="82"/>
    </row>
    <row r="296" spans="2:24" ht="14.25" customHeight="1" x14ac:dyDescent="0.25">
      <c r="B296" s="78"/>
      <c r="C296" s="91"/>
      <c r="D296" s="92"/>
      <c r="E296" s="92"/>
      <c r="F296" s="92"/>
      <c r="G296" s="93"/>
      <c r="H296" s="85"/>
      <c r="I296" s="78"/>
      <c r="J296" s="78"/>
      <c r="K296" s="78"/>
      <c r="L296" s="78"/>
      <c r="M296" s="78"/>
      <c r="N296" s="106"/>
      <c r="O296" s="106"/>
      <c r="P296" s="107"/>
      <c r="Q296" s="107"/>
      <c r="R296" s="107"/>
      <c r="S296" s="90"/>
      <c r="T296" s="82"/>
      <c r="U296" s="82"/>
      <c r="V296" s="82"/>
      <c r="W296" s="82"/>
      <c r="X296" s="82"/>
    </row>
    <row r="297" spans="2:24" ht="14.25" customHeight="1" x14ac:dyDescent="0.25">
      <c r="B297" s="94"/>
      <c r="C297" s="83"/>
      <c r="D297" s="81"/>
      <c r="E297" s="81"/>
      <c r="F297" s="81"/>
      <c r="G297" s="84"/>
      <c r="H297" s="85"/>
      <c r="I297" s="78"/>
      <c r="J297" s="78"/>
      <c r="K297" s="78"/>
      <c r="L297" s="78"/>
      <c r="M297" s="78"/>
      <c r="N297" s="106"/>
      <c r="O297" s="106"/>
      <c r="P297" s="107"/>
      <c r="Q297" s="107"/>
      <c r="R297" s="107"/>
      <c r="S297" s="90"/>
      <c r="T297" s="82"/>
      <c r="U297" s="82"/>
      <c r="V297" s="82"/>
      <c r="W297" s="82"/>
      <c r="X297" s="82"/>
    </row>
    <row r="298" spans="2:24" ht="14.25" customHeight="1" x14ac:dyDescent="0.25">
      <c r="B298" s="78"/>
      <c r="C298" s="91"/>
      <c r="D298" s="92"/>
      <c r="E298" s="92"/>
      <c r="F298" s="92"/>
      <c r="G298" s="93"/>
      <c r="H298" s="85"/>
      <c r="I298" s="78"/>
      <c r="J298" s="78"/>
      <c r="K298" s="78"/>
      <c r="L298" s="78"/>
      <c r="M298" s="78"/>
      <c r="N298" s="106"/>
      <c r="O298" s="106"/>
      <c r="P298" s="107"/>
      <c r="Q298" s="107"/>
      <c r="R298" s="107"/>
      <c r="S298" s="90"/>
      <c r="T298" s="82"/>
      <c r="U298" s="82"/>
      <c r="V298" s="82"/>
      <c r="W298" s="82"/>
      <c r="X298" s="82"/>
    </row>
    <row r="299" spans="2:24" ht="14.25" customHeight="1" x14ac:dyDescent="0.25">
      <c r="B299" s="94"/>
      <c r="C299" s="83"/>
      <c r="D299" s="81"/>
      <c r="E299" s="81"/>
      <c r="F299" s="81"/>
      <c r="G299" s="84"/>
      <c r="H299" s="85"/>
      <c r="I299" s="78"/>
      <c r="J299" s="78"/>
      <c r="K299" s="78"/>
      <c r="L299" s="78"/>
      <c r="M299" s="78"/>
      <c r="N299" s="106"/>
      <c r="O299" s="106"/>
      <c r="P299" s="107"/>
      <c r="Q299" s="107"/>
      <c r="R299" s="107"/>
      <c r="S299" s="90"/>
      <c r="T299" s="82"/>
      <c r="U299" s="82"/>
      <c r="V299" s="82"/>
      <c r="W299" s="82"/>
      <c r="X299" s="82"/>
    </row>
    <row r="300" spans="2:24" ht="14.25" customHeight="1" x14ac:dyDescent="0.25">
      <c r="B300" s="78"/>
      <c r="C300" s="91"/>
      <c r="D300" s="92"/>
      <c r="E300" s="92"/>
      <c r="F300" s="92"/>
      <c r="G300" s="93"/>
      <c r="H300" s="85"/>
      <c r="I300" s="78"/>
      <c r="J300" s="78"/>
      <c r="K300" s="78"/>
      <c r="L300" s="78"/>
      <c r="M300" s="78"/>
      <c r="N300" s="106"/>
      <c r="O300" s="106"/>
      <c r="P300" s="107"/>
      <c r="Q300" s="107"/>
      <c r="R300" s="107"/>
      <c r="S300" s="90"/>
      <c r="T300" s="82"/>
      <c r="U300" s="82"/>
      <c r="V300" s="82"/>
      <c r="W300" s="82"/>
      <c r="X300" s="82"/>
    </row>
    <row r="301" spans="2:24" ht="14.25" customHeight="1" x14ac:dyDescent="0.25">
      <c r="B301" s="94"/>
      <c r="C301" s="83"/>
      <c r="D301" s="81"/>
      <c r="E301" s="81"/>
      <c r="F301" s="81"/>
      <c r="G301" s="84"/>
      <c r="H301" s="85"/>
      <c r="I301" s="78"/>
      <c r="J301" s="78"/>
      <c r="K301" s="78"/>
      <c r="L301" s="78"/>
      <c r="M301" s="78"/>
      <c r="N301" s="106"/>
      <c r="O301" s="106"/>
      <c r="P301" s="107"/>
      <c r="Q301" s="107"/>
      <c r="R301" s="107"/>
      <c r="S301" s="90"/>
      <c r="T301" s="82"/>
      <c r="U301" s="82"/>
      <c r="V301" s="82"/>
      <c r="W301" s="82"/>
      <c r="X301" s="82"/>
    </row>
    <row r="302" spans="2:24" ht="14.25" customHeight="1" x14ac:dyDescent="0.25">
      <c r="B302" s="78"/>
      <c r="C302" s="91"/>
      <c r="D302" s="92"/>
      <c r="E302" s="92"/>
      <c r="F302" s="92"/>
      <c r="G302" s="93"/>
      <c r="H302" s="85"/>
      <c r="I302" s="78"/>
      <c r="J302" s="78"/>
      <c r="K302" s="78"/>
      <c r="L302" s="78"/>
      <c r="M302" s="78"/>
      <c r="N302" s="106"/>
      <c r="O302" s="106"/>
      <c r="P302" s="107"/>
      <c r="Q302" s="107"/>
      <c r="R302" s="107"/>
      <c r="S302" s="90"/>
      <c r="T302" s="82"/>
      <c r="U302" s="82"/>
      <c r="V302" s="82"/>
      <c r="W302" s="82"/>
      <c r="X302" s="82"/>
    </row>
    <row r="303" spans="2:24" ht="14.25" customHeight="1" x14ac:dyDescent="0.25">
      <c r="B303" s="94"/>
      <c r="C303" s="83"/>
      <c r="D303" s="81"/>
      <c r="E303" s="81"/>
      <c r="F303" s="81"/>
      <c r="G303" s="84"/>
      <c r="H303" s="85"/>
      <c r="I303" s="78"/>
      <c r="J303" s="78"/>
      <c r="K303" s="78"/>
      <c r="L303" s="78"/>
      <c r="M303" s="78"/>
      <c r="N303" s="106"/>
      <c r="O303" s="106"/>
      <c r="P303" s="107"/>
      <c r="Q303" s="107"/>
      <c r="R303" s="107"/>
      <c r="S303" s="90"/>
      <c r="T303" s="82"/>
      <c r="U303" s="82"/>
      <c r="V303" s="82"/>
      <c r="W303" s="82"/>
      <c r="X303" s="82"/>
    </row>
    <row r="304" spans="2:24" ht="14.25" customHeight="1" x14ac:dyDescent="0.25">
      <c r="B304" s="78"/>
      <c r="C304" s="91"/>
      <c r="D304" s="92"/>
      <c r="E304" s="92"/>
      <c r="F304" s="92"/>
      <c r="G304" s="93"/>
      <c r="H304" s="85"/>
      <c r="I304" s="78"/>
      <c r="J304" s="78"/>
      <c r="K304" s="78"/>
      <c r="L304" s="78"/>
      <c r="M304" s="78"/>
      <c r="N304" s="106"/>
      <c r="O304" s="106"/>
      <c r="P304" s="107"/>
      <c r="Q304" s="107"/>
      <c r="R304" s="107"/>
      <c r="S304" s="90"/>
      <c r="T304" s="82"/>
      <c r="U304" s="82"/>
      <c r="V304" s="82"/>
      <c r="W304" s="82"/>
      <c r="X304" s="82"/>
    </row>
    <row r="305" spans="2:24" ht="14.25" customHeight="1" x14ac:dyDescent="0.25">
      <c r="B305" s="94"/>
      <c r="C305" s="83"/>
      <c r="D305" s="81"/>
      <c r="E305" s="81"/>
      <c r="F305" s="81"/>
      <c r="G305" s="84"/>
      <c r="H305" s="85"/>
      <c r="I305" s="78"/>
      <c r="J305" s="78"/>
      <c r="K305" s="78"/>
      <c r="L305" s="78"/>
      <c r="M305" s="78"/>
      <c r="N305" s="106"/>
      <c r="O305" s="106"/>
      <c r="P305" s="107"/>
      <c r="Q305" s="107"/>
      <c r="R305" s="107"/>
      <c r="S305" s="90"/>
      <c r="T305" s="82"/>
      <c r="U305" s="82"/>
      <c r="V305" s="82"/>
      <c r="W305" s="82"/>
      <c r="X305" s="82"/>
    </row>
    <row r="306" spans="2:24" ht="14.25" customHeight="1" x14ac:dyDescent="0.25">
      <c r="B306" s="78"/>
      <c r="C306" s="91"/>
      <c r="D306" s="92"/>
      <c r="E306" s="92"/>
      <c r="F306" s="92"/>
      <c r="G306" s="93"/>
      <c r="H306" s="85"/>
      <c r="I306" s="78"/>
      <c r="J306" s="78"/>
      <c r="K306" s="78"/>
      <c r="L306" s="78"/>
      <c r="M306" s="78"/>
      <c r="N306" s="106"/>
      <c r="O306" s="106"/>
      <c r="P306" s="107"/>
      <c r="Q306" s="107"/>
      <c r="R306" s="107"/>
      <c r="S306" s="90"/>
      <c r="T306" s="82"/>
      <c r="U306" s="82"/>
      <c r="V306" s="82"/>
      <c r="W306" s="82"/>
      <c r="X306" s="82"/>
    </row>
    <row r="307" spans="2:24" ht="14.25" customHeight="1" x14ac:dyDescent="0.25">
      <c r="B307" s="94"/>
      <c r="C307" s="83"/>
      <c r="D307" s="81"/>
      <c r="E307" s="81"/>
      <c r="F307" s="81"/>
      <c r="G307" s="84"/>
      <c r="H307" s="85"/>
      <c r="I307" s="78"/>
      <c r="J307" s="78"/>
      <c r="K307" s="78"/>
      <c r="L307" s="78"/>
      <c r="M307" s="78"/>
      <c r="N307" s="106"/>
      <c r="O307" s="106"/>
      <c r="P307" s="107"/>
      <c r="Q307" s="107"/>
      <c r="R307" s="107"/>
      <c r="S307" s="90"/>
      <c r="T307" s="82"/>
      <c r="U307" s="82"/>
      <c r="V307" s="82"/>
      <c r="W307" s="82"/>
      <c r="X307" s="82"/>
    </row>
    <row r="308" spans="2:24" ht="14.25" customHeight="1" x14ac:dyDescent="0.25">
      <c r="B308" s="78"/>
      <c r="C308" s="91"/>
      <c r="D308" s="92"/>
      <c r="E308" s="92"/>
      <c r="F308" s="92"/>
      <c r="G308" s="93"/>
      <c r="H308" s="85"/>
      <c r="I308" s="78"/>
      <c r="J308" s="78"/>
      <c r="K308" s="78"/>
      <c r="L308" s="78"/>
      <c r="M308" s="78"/>
      <c r="N308" s="106"/>
      <c r="O308" s="106"/>
      <c r="P308" s="107"/>
      <c r="Q308" s="107"/>
      <c r="R308" s="107"/>
      <c r="S308" s="90"/>
      <c r="T308" s="82"/>
      <c r="U308" s="82"/>
      <c r="V308" s="82"/>
      <c r="W308" s="82"/>
      <c r="X308" s="82"/>
    </row>
    <row r="309" spans="2:24" ht="14.25" customHeight="1" x14ac:dyDescent="0.25">
      <c r="B309" s="94"/>
      <c r="C309" s="83"/>
      <c r="D309" s="81"/>
      <c r="E309" s="81"/>
      <c r="F309" s="81"/>
      <c r="G309" s="84"/>
      <c r="H309" s="85"/>
      <c r="I309" s="78"/>
      <c r="J309" s="78"/>
      <c r="K309" s="78"/>
      <c r="L309" s="78"/>
      <c r="M309" s="78"/>
      <c r="N309" s="106"/>
      <c r="O309" s="106"/>
      <c r="P309" s="107"/>
      <c r="Q309" s="107"/>
      <c r="R309" s="107"/>
      <c r="S309" s="90"/>
      <c r="T309" s="82"/>
      <c r="U309" s="82"/>
      <c r="V309" s="82"/>
      <c r="W309" s="82"/>
      <c r="X309" s="82"/>
    </row>
    <row r="310" spans="2:24" ht="14.25" customHeight="1" x14ac:dyDescent="0.25">
      <c r="B310" s="78"/>
      <c r="C310" s="91"/>
      <c r="D310" s="92"/>
      <c r="E310" s="92"/>
      <c r="F310" s="92"/>
      <c r="G310" s="93"/>
      <c r="H310" s="85"/>
      <c r="I310" s="78"/>
      <c r="J310" s="78"/>
      <c r="K310" s="78"/>
      <c r="L310" s="78"/>
      <c r="M310" s="78"/>
      <c r="N310" s="106"/>
      <c r="O310" s="106"/>
      <c r="P310" s="107"/>
      <c r="Q310" s="107"/>
      <c r="R310" s="107"/>
      <c r="S310" s="90"/>
      <c r="T310" s="82"/>
      <c r="U310" s="82"/>
      <c r="V310" s="82"/>
      <c r="W310" s="82"/>
      <c r="X310" s="82"/>
    </row>
    <row r="311" spans="2:24" ht="14.25" customHeight="1" x14ac:dyDescent="0.25">
      <c r="B311" s="94"/>
      <c r="C311" s="83"/>
      <c r="D311" s="81"/>
      <c r="E311" s="81"/>
      <c r="F311" s="81"/>
      <c r="G311" s="84"/>
      <c r="H311" s="85"/>
      <c r="I311" s="78"/>
      <c r="J311" s="78"/>
      <c r="K311" s="78"/>
      <c r="L311" s="78"/>
      <c r="M311" s="78"/>
      <c r="N311" s="106"/>
      <c r="O311" s="106"/>
      <c r="P311" s="107"/>
      <c r="Q311" s="107"/>
      <c r="R311" s="107"/>
      <c r="S311" s="90"/>
      <c r="T311" s="82"/>
      <c r="U311" s="82"/>
      <c r="V311" s="82"/>
      <c r="W311" s="82"/>
      <c r="X311" s="82"/>
    </row>
    <row r="312" spans="2:24" ht="14.25" customHeight="1" x14ac:dyDescent="0.25">
      <c r="B312" s="78"/>
      <c r="C312" s="91"/>
      <c r="D312" s="92"/>
      <c r="E312" s="92"/>
      <c r="F312" s="92"/>
      <c r="G312" s="93"/>
      <c r="H312" s="85"/>
      <c r="I312" s="78"/>
      <c r="J312" s="78"/>
      <c r="K312" s="78"/>
      <c r="L312" s="78"/>
      <c r="M312" s="78"/>
      <c r="N312" s="106"/>
      <c r="O312" s="106"/>
      <c r="P312" s="107"/>
      <c r="Q312" s="107"/>
      <c r="R312" s="107"/>
      <c r="S312" s="90"/>
      <c r="T312" s="82"/>
      <c r="U312" s="82"/>
      <c r="V312" s="82"/>
      <c r="W312" s="82"/>
      <c r="X312" s="82"/>
    </row>
    <row r="313" spans="2:24" ht="14.25" customHeight="1" x14ac:dyDescent="0.25">
      <c r="B313" s="94"/>
      <c r="C313" s="83"/>
      <c r="D313" s="81"/>
      <c r="E313" s="81"/>
      <c r="F313" s="81"/>
      <c r="G313" s="84"/>
      <c r="H313" s="85"/>
      <c r="I313" s="78"/>
      <c r="J313" s="78"/>
      <c r="K313" s="78"/>
      <c r="L313" s="78"/>
      <c r="M313" s="78"/>
      <c r="N313" s="106"/>
      <c r="O313" s="106"/>
      <c r="P313" s="107"/>
      <c r="Q313" s="107"/>
      <c r="R313" s="107"/>
      <c r="S313" s="90"/>
      <c r="T313" s="82"/>
      <c r="U313" s="82"/>
      <c r="V313" s="82"/>
      <c r="W313" s="82"/>
      <c r="X313" s="82"/>
    </row>
    <row r="314" spans="2:24" ht="14.25" customHeight="1" x14ac:dyDescent="0.25">
      <c r="B314" s="78"/>
      <c r="C314" s="91"/>
      <c r="D314" s="92"/>
      <c r="E314" s="92"/>
      <c r="F314" s="92"/>
      <c r="G314" s="93"/>
      <c r="H314" s="85"/>
      <c r="I314" s="78"/>
      <c r="J314" s="78"/>
      <c r="K314" s="78"/>
      <c r="L314" s="78"/>
      <c r="M314" s="78"/>
      <c r="N314" s="106"/>
      <c r="O314" s="106"/>
      <c r="P314" s="107"/>
      <c r="Q314" s="107"/>
      <c r="R314" s="107"/>
      <c r="S314" s="90"/>
      <c r="T314" s="82"/>
      <c r="U314" s="82"/>
      <c r="V314" s="82"/>
      <c r="W314" s="82"/>
      <c r="X314" s="82"/>
    </row>
    <row r="315" spans="2:24" ht="14.25" customHeight="1" x14ac:dyDescent="0.25">
      <c r="B315" s="94"/>
      <c r="C315" s="83"/>
      <c r="D315" s="81"/>
      <c r="E315" s="81"/>
      <c r="F315" s="81"/>
      <c r="G315" s="84"/>
      <c r="H315" s="85"/>
      <c r="I315" s="78"/>
      <c r="J315" s="78"/>
      <c r="K315" s="78"/>
      <c r="L315" s="78"/>
      <c r="M315" s="78"/>
      <c r="N315" s="106"/>
      <c r="O315" s="106"/>
      <c r="P315" s="107"/>
      <c r="Q315" s="107"/>
      <c r="R315" s="107"/>
      <c r="S315" s="90"/>
      <c r="T315" s="82"/>
      <c r="U315" s="82"/>
      <c r="V315" s="82"/>
      <c r="W315" s="82"/>
      <c r="X315" s="82"/>
    </row>
    <row r="316" spans="2:24" ht="14.25" customHeight="1" x14ac:dyDescent="0.25">
      <c r="B316" s="78"/>
      <c r="C316" s="91"/>
      <c r="D316" s="92"/>
      <c r="E316" s="92"/>
      <c r="F316" s="92"/>
      <c r="G316" s="93"/>
      <c r="H316" s="85"/>
      <c r="I316" s="78"/>
      <c r="J316" s="78"/>
      <c r="K316" s="78"/>
      <c r="L316" s="78"/>
      <c r="M316" s="78"/>
      <c r="N316" s="106"/>
      <c r="O316" s="106"/>
      <c r="P316" s="107"/>
      <c r="Q316" s="107"/>
      <c r="R316" s="107"/>
      <c r="S316" s="90"/>
      <c r="T316" s="82"/>
      <c r="U316" s="82"/>
      <c r="V316" s="82"/>
      <c r="W316" s="82"/>
      <c r="X316" s="82"/>
    </row>
    <row r="317" spans="2:24" ht="14.25" customHeight="1" x14ac:dyDescent="0.25">
      <c r="B317" s="94"/>
      <c r="C317" s="83"/>
      <c r="D317" s="81"/>
      <c r="E317" s="81"/>
      <c r="F317" s="81"/>
      <c r="G317" s="84"/>
      <c r="H317" s="85"/>
      <c r="I317" s="78"/>
      <c r="J317" s="78"/>
      <c r="K317" s="78"/>
      <c r="L317" s="78"/>
      <c r="M317" s="78"/>
      <c r="N317" s="106"/>
      <c r="O317" s="106"/>
      <c r="P317" s="107"/>
      <c r="Q317" s="107"/>
      <c r="R317" s="107"/>
      <c r="S317" s="90"/>
      <c r="T317" s="82"/>
      <c r="U317" s="82"/>
      <c r="V317" s="82"/>
      <c r="W317" s="82"/>
      <c r="X317" s="82"/>
    </row>
    <row r="318" spans="2:24" ht="14.25" customHeight="1" x14ac:dyDescent="0.25">
      <c r="B318" s="78"/>
      <c r="C318" s="91"/>
      <c r="D318" s="92"/>
      <c r="E318" s="92"/>
      <c r="F318" s="92"/>
      <c r="G318" s="93"/>
      <c r="H318" s="85"/>
      <c r="I318" s="78"/>
      <c r="J318" s="78"/>
      <c r="K318" s="78"/>
      <c r="L318" s="78"/>
      <c r="M318" s="78"/>
      <c r="N318" s="106"/>
      <c r="O318" s="106"/>
      <c r="P318" s="107"/>
      <c r="Q318" s="107"/>
      <c r="R318" s="107"/>
      <c r="S318" s="90"/>
      <c r="T318" s="82"/>
      <c r="U318" s="82"/>
      <c r="V318" s="82"/>
      <c r="W318" s="82"/>
      <c r="X318" s="82"/>
    </row>
    <row r="319" spans="2:24" ht="14.25" customHeight="1" x14ac:dyDescent="0.25">
      <c r="B319" s="94"/>
      <c r="C319" s="83"/>
      <c r="D319" s="81"/>
      <c r="E319" s="81"/>
      <c r="F319" s="81"/>
      <c r="G319" s="84"/>
      <c r="H319" s="85"/>
      <c r="I319" s="78"/>
      <c r="J319" s="78"/>
      <c r="K319" s="78"/>
      <c r="L319" s="78"/>
      <c r="M319" s="78"/>
      <c r="N319" s="106"/>
      <c r="O319" s="106"/>
      <c r="P319" s="107"/>
      <c r="Q319" s="107"/>
      <c r="R319" s="107"/>
      <c r="S319" s="90"/>
      <c r="T319" s="82"/>
      <c r="U319" s="82"/>
      <c r="V319" s="82"/>
      <c r="W319" s="82"/>
      <c r="X319" s="82"/>
    </row>
    <row r="320" spans="2:24" ht="14.25" customHeight="1" x14ac:dyDescent="0.25">
      <c r="B320" s="78"/>
      <c r="C320" s="91"/>
      <c r="D320" s="92"/>
      <c r="E320" s="92"/>
      <c r="F320" s="92"/>
      <c r="G320" s="93"/>
      <c r="H320" s="85"/>
      <c r="I320" s="78"/>
      <c r="J320" s="78"/>
      <c r="K320" s="78"/>
      <c r="L320" s="78"/>
      <c r="M320" s="78"/>
      <c r="N320" s="106"/>
      <c r="O320" s="106"/>
      <c r="P320" s="107"/>
      <c r="Q320" s="107"/>
      <c r="R320" s="107"/>
      <c r="S320" s="90"/>
      <c r="T320" s="82"/>
      <c r="U320" s="82"/>
      <c r="V320" s="82"/>
      <c r="W320" s="82"/>
      <c r="X320" s="82"/>
    </row>
    <row r="321" spans="2:24" ht="14.25" customHeight="1" x14ac:dyDescent="0.25">
      <c r="B321" s="94"/>
      <c r="C321" s="83"/>
      <c r="D321" s="81"/>
      <c r="E321" s="81"/>
      <c r="F321" s="81"/>
      <c r="G321" s="84"/>
      <c r="H321" s="85"/>
      <c r="I321" s="78"/>
      <c r="J321" s="78"/>
      <c r="K321" s="78"/>
      <c r="L321" s="78"/>
      <c r="M321" s="78"/>
      <c r="N321" s="106"/>
      <c r="O321" s="106"/>
      <c r="P321" s="107"/>
      <c r="Q321" s="107"/>
      <c r="R321" s="107"/>
      <c r="S321" s="90"/>
      <c r="T321" s="82"/>
      <c r="U321" s="82"/>
      <c r="V321" s="82"/>
      <c r="W321" s="82"/>
      <c r="X321" s="82"/>
    </row>
    <row r="322" spans="2:24" ht="14.25" customHeight="1" x14ac:dyDescent="0.25">
      <c r="B322" s="78"/>
      <c r="C322" s="91"/>
      <c r="D322" s="92"/>
      <c r="E322" s="92"/>
      <c r="F322" s="92"/>
      <c r="G322" s="93"/>
      <c r="H322" s="85"/>
      <c r="I322" s="78"/>
      <c r="J322" s="78"/>
      <c r="K322" s="78"/>
      <c r="L322" s="78"/>
      <c r="M322" s="78"/>
      <c r="N322" s="106"/>
      <c r="O322" s="106"/>
      <c r="P322" s="107"/>
      <c r="Q322" s="107"/>
      <c r="R322" s="107"/>
      <c r="S322" s="90"/>
      <c r="T322" s="82"/>
      <c r="U322" s="82"/>
      <c r="V322" s="82"/>
      <c r="W322" s="82"/>
      <c r="X322" s="82"/>
    </row>
    <row r="323" spans="2:24" ht="14.25" customHeight="1" x14ac:dyDescent="0.25">
      <c r="B323" s="94"/>
      <c r="C323" s="83"/>
      <c r="D323" s="81"/>
      <c r="E323" s="81"/>
      <c r="F323" s="81"/>
      <c r="G323" s="84"/>
      <c r="H323" s="85"/>
      <c r="I323" s="78"/>
      <c r="J323" s="78"/>
      <c r="K323" s="78"/>
      <c r="L323" s="78"/>
      <c r="M323" s="78"/>
      <c r="N323" s="106"/>
      <c r="O323" s="106"/>
      <c r="P323" s="107"/>
      <c r="Q323" s="107"/>
      <c r="R323" s="107"/>
      <c r="S323" s="90"/>
      <c r="T323" s="82"/>
      <c r="U323" s="82"/>
      <c r="V323" s="82"/>
      <c r="W323" s="82"/>
      <c r="X323" s="82"/>
    </row>
    <row r="324" spans="2:24" ht="14.25" customHeight="1" x14ac:dyDescent="0.25">
      <c r="B324" s="78"/>
      <c r="C324" s="91"/>
      <c r="D324" s="92"/>
      <c r="E324" s="92"/>
      <c r="F324" s="92"/>
      <c r="G324" s="93"/>
      <c r="H324" s="85"/>
      <c r="I324" s="78"/>
      <c r="J324" s="78"/>
      <c r="K324" s="78"/>
      <c r="L324" s="78"/>
      <c r="M324" s="78"/>
      <c r="N324" s="106"/>
      <c r="O324" s="106"/>
      <c r="P324" s="107"/>
      <c r="Q324" s="107"/>
      <c r="R324" s="107"/>
      <c r="S324" s="90"/>
      <c r="T324" s="82"/>
      <c r="U324" s="82"/>
      <c r="V324" s="82"/>
      <c r="W324" s="82"/>
      <c r="X324" s="82"/>
    </row>
    <row r="325" spans="2:24" ht="14.25" customHeight="1" x14ac:dyDescent="0.25">
      <c r="B325" s="94"/>
      <c r="C325" s="83"/>
      <c r="D325" s="81"/>
      <c r="E325" s="81"/>
      <c r="F325" s="81"/>
      <c r="G325" s="84"/>
      <c r="H325" s="85"/>
      <c r="I325" s="78"/>
      <c r="J325" s="78"/>
      <c r="K325" s="78"/>
      <c r="L325" s="78"/>
      <c r="M325" s="78"/>
      <c r="N325" s="106"/>
      <c r="O325" s="106"/>
      <c r="P325" s="107"/>
      <c r="Q325" s="107"/>
      <c r="R325" s="107"/>
      <c r="S325" s="90"/>
      <c r="T325" s="82"/>
      <c r="U325" s="82"/>
      <c r="V325" s="82"/>
      <c r="W325" s="82"/>
      <c r="X325" s="82"/>
    </row>
    <row r="326" spans="2:24" ht="14.25" customHeight="1" x14ac:dyDescent="0.25">
      <c r="B326" s="78"/>
      <c r="C326" s="91"/>
      <c r="D326" s="92"/>
      <c r="E326" s="92"/>
      <c r="F326" s="92"/>
      <c r="G326" s="93"/>
      <c r="H326" s="85"/>
      <c r="I326" s="78"/>
      <c r="J326" s="78"/>
      <c r="K326" s="78"/>
      <c r="L326" s="78"/>
      <c r="M326" s="78"/>
      <c r="N326" s="106"/>
      <c r="O326" s="106"/>
      <c r="P326" s="107"/>
      <c r="Q326" s="107"/>
      <c r="R326" s="107"/>
      <c r="S326" s="90"/>
      <c r="T326" s="82"/>
      <c r="U326" s="82"/>
      <c r="V326" s="82"/>
      <c r="W326" s="82"/>
      <c r="X326" s="82"/>
    </row>
    <row r="327" spans="2:24" ht="14.25" customHeight="1" x14ac:dyDescent="0.25">
      <c r="B327" s="94"/>
      <c r="C327" s="83"/>
      <c r="D327" s="81"/>
      <c r="E327" s="81"/>
      <c r="F327" s="81"/>
      <c r="G327" s="84"/>
      <c r="H327" s="85"/>
      <c r="I327" s="78"/>
      <c r="J327" s="78"/>
      <c r="K327" s="78"/>
      <c r="L327" s="78"/>
      <c r="M327" s="78"/>
      <c r="N327" s="106"/>
      <c r="O327" s="106"/>
      <c r="P327" s="107"/>
      <c r="Q327" s="107"/>
      <c r="R327" s="107"/>
      <c r="S327" s="90"/>
      <c r="T327" s="82"/>
      <c r="U327" s="82"/>
      <c r="V327" s="82"/>
      <c r="W327" s="82"/>
      <c r="X327" s="82"/>
    </row>
    <row r="328" spans="2:24" ht="14.25" customHeight="1" x14ac:dyDescent="0.25">
      <c r="B328" s="78"/>
      <c r="C328" s="91"/>
      <c r="D328" s="92"/>
      <c r="E328" s="92"/>
      <c r="F328" s="92"/>
      <c r="G328" s="93"/>
      <c r="H328" s="85"/>
      <c r="I328" s="78"/>
      <c r="J328" s="78"/>
      <c r="K328" s="78"/>
      <c r="L328" s="78"/>
      <c r="M328" s="78"/>
      <c r="N328" s="106"/>
      <c r="O328" s="106"/>
      <c r="P328" s="107"/>
      <c r="Q328" s="107"/>
      <c r="R328" s="107"/>
      <c r="S328" s="90"/>
      <c r="T328" s="82"/>
      <c r="U328" s="82"/>
      <c r="V328" s="82"/>
      <c r="W328" s="82"/>
      <c r="X328" s="82"/>
    </row>
    <row r="329" spans="2:24" ht="14.25" customHeight="1" x14ac:dyDescent="0.25">
      <c r="B329" s="94"/>
      <c r="C329" s="83"/>
      <c r="D329" s="81"/>
      <c r="E329" s="81"/>
      <c r="F329" s="81"/>
      <c r="G329" s="84"/>
      <c r="H329" s="85"/>
      <c r="I329" s="78"/>
      <c r="J329" s="78"/>
      <c r="K329" s="78"/>
      <c r="L329" s="78"/>
      <c r="M329" s="78"/>
      <c r="N329" s="106"/>
      <c r="O329" s="106"/>
      <c r="P329" s="107"/>
      <c r="Q329" s="107"/>
      <c r="R329" s="107"/>
      <c r="S329" s="90"/>
      <c r="T329" s="82"/>
      <c r="U329" s="82"/>
      <c r="V329" s="82"/>
      <c r="W329" s="82"/>
      <c r="X329" s="82"/>
    </row>
    <row r="330" spans="2:24" ht="14.25" customHeight="1" x14ac:dyDescent="0.25">
      <c r="B330" s="78"/>
      <c r="C330" s="91"/>
      <c r="D330" s="92"/>
      <c r="E330" s="92"/>
      <c r="F330" s="92"/>
      <c r="G330" s="93"/>
      <c r="H330" s="85"/>
      <c r="I330" s="78"/>
      <c r="J330" s="78"/>
      <c r="K330" s="78"/>
      <c r="L330" s="78"/>
      <c r="M330" s="78"/>
      <c r="N330" s="106"/>
      <c r="O330" s="106"/>
      <c r="P330" s="107"/>
      <c r="Q330" s="107"/>
      <c r="R330" s="107"/>
      <c r="S330" s="90"/>
      <c r="T330" s="82"/>
      <c r="U330" s="82"/>
      <c r="V330" s="82"/>
      <c r="W330" s="82"/>
      <c r="X330" s="82"/>
    </row>
    <row r="331" spans="2:24" ht="14.25" customHeight="1" x14ac:dyDescent="0.25">
      <c r="B331" s="94"/>
      <c r="C331" s="83"/>
      <c r="D331" s="81"/>
      <c r="E331" s="81"/>
      <c r="F331" s="81"/>
      <c r="G331" s="84"/>
      <c r="H331" s="85"/>
      <c r="I331" s="78"/>
      <c r="J331" s="78"/>
      <c r="K331" s="78"/>
      <c r="L331" s="78"/>
      <c r="M331" s="78"/>
      <c r="N331" s="106"/>
      <c r="O331" s="106"/>
      <c r="P331" s="107"/>
      <c r="Q331" s="107"/>
      <c r="R331" s="107"/>
      <c r="S331" s="90"/>
      <c r="T331" s="82"/>
      <c r="U331" s="82"/>
      <c r="V331" s="82"/>
      <c r="W331" s="82"/>
      <c r="X331" s="82"/>
    </row>
    <row r="332" spans="2:24" ht="14.25" customHeight="1" x14ac:dyDescent="0.25">
      <c r="B332" s="78"/>
      <c r="C332" s="91"/>
      <c r="D332" s="92"/>
      <c r="E332" s="92"/>
      <c r="F332" s="92"/>
      <c r="G332" s="93"/>
      <c r="H332" s="85"/>
      <c r="I332" s="78"/>
      <c r="J332" s="78"/>
      <c r="K332" s="78"/>
      <c r="L332" s="78"/>
      <c r="M332" s="78"/>
      <c r="N332" s="106"/>
      <c r="O332" s="106"/>
      <c r="P332" s="107"/>
      <c r="Q332" s="107"/>
      <c r="R332" s="107"/>
      <c r="S332" s="90"/>
      <c r="T332" s="82"/>
      <c r="U332" s="82"/>
      <c r="V332" s="82"/>
      <c r="W332" s="82"/>
      <c r="X332" s="82"/>
    </row>
    <row r="333" spans="2:24" ht="14.25" customHeight="1" x14ac:dyDescent="0.25">
      <c r="B333" s="94"/>
      <c r="C333" s="83"/>
      <c r="D333" s="81"/>
      <c r="E333" s="81"/>
      <c r="F333" s="81"/>
      <c r="G333" s="84"/>
      <c r="H333" s="85"/>
      <c r="I333" s="78"/>
      <c r="J333" s="78"/>
      <c r="K333" s="78"/>
      <c r="L333" s="78"/>
      <c r="M333" s="78"/>
      <c r="N333" s="106"/>
      <c r="O333" s="106"/>
      <c r="P333" s="107"/>
      <c r="Q333" s="107"/>
      <c r="R333" s="107"/>
      <c r="S333" s="90"/>
      <c r="T333" s="82"/>
      <c r="U333" s="82"/>
      <c r="V333" s="82"/>
      <c r="W333" s="82"/>
      <c r="X333" s="82"/>
    </row>
    <row r="334" spans="2:24" ht="14.25" customHeight="1" x14ac:dyDescent="0.25">
      <c r="B334" s="78"/>
      <c r="C334" s="91"/>
      <c r="D334" s="92"/>
      <c r="E334" s="92"/>
      <c r="F334" s="92"/>
      <c r="G334" s="93"/>
      <c r="H334" s="85"/>
      <c r="I334" s="78"/>
      <c r="J334" s="78"/>
      <c r="K334" s="78"/>
      <c r="L334" s="78"/>
      <c r="M334" s="78"/>
      <c r="N334" s="106"/>
      <c r="O334" s="106"/>
      <c r="P334" s="107"/>
      <c r="Q334" s="107"/>
      <c r="R334" s="107"/>
      <c r="S334" s="90"/>
      <c r="T334" s="82"/>
      <c r="U334" s="82"/>
      <c r="V334" s="82"/>
      <c r="W334" s="82"/>
      <c r="X334" s="82"/>
    </row>
    <row r="335" spans="2:24" ht="14.25" customHeight="1" x14ac:dyDescent="0.25">
      <c r="B335" s="94"/>
      <c r="C335" s="83"/>
      <c r="D335" s="81"/>
      <c r="E335" s="81"/>
      <c r="F335" s="81"/>
      <c r="G335" s="84"/>
      <c r="H335" s="85"/>
      <c r="I335" s="78"/>
      <c r="J335" s="78"/>
      <c r="K335" s="78"/>
      <c r="L335" s="78"/>
      <c r="M335" s="78"/>
      <c r="N335" s="106"/>
      <c r="O335" s="106"/>
      <c r="P335" s="107"/>
      <c r="Q335" s="107"/>
      <c r="R335" s="107"/>
      <c r="S335" s="90"/>
      <c r="T335" s="82"/>
      <c r="U335" s="82"/>
      <c r="V335" s="82"/>
      <c r="W335" s="82"/>
      <c r="X335" s="82"/>
    </row>
    <row r="336" spans="2:24" ht="14.25" customHeight="1" x14ac:dyDescent="0.25">
      <c r="B336" s="78"/>
      <c r="C336" s="91"/>
      <c r="D336" s="92"/>
      <c r="E336" s="92"/>
      <c r="F336" s="92"/>
      <c r="G336" s="93"/>
      <c r="H336" s="85"/>
      <c r="I336" s="78"/>
      <c r="J336" s="78"/>
      <c r="K336" s="78"/>
      <c r="L336" s="78"/>
      <c r="M336" s="78"/>
      <c r="N336" s="106"/>
      <c r="O336" s="106"/>
      <c r="P336" s="107"/>
      <c r="Q336" s="107"/>
      <c r="R336" s="107"/>
      <c r="S336" s="90"/>
      <c r="T336" s="82"/>
      <c r="U336" s="82"/>
      <c r="V336" s="82"/>
      <c r="W336" s="82"/>
      <c r="X336" s="82"/>
    </row>
    <row r="337" spans="2:24" ht="14.25" customHeight="1" x14ac:dyDescent="0.25">
      <c r="B337" s="94"/>
      <c r="C337" s="83"/>
      <c r="D337" s="81"/>
      <c r="E337" s="81"/>
      <c r="F337" s="81"/>
      <c r="G337" s="84"/>
      <c r="H337" s="85"/>
      <c r="I337" s="78"/>
      <c r="J337" s="78"/>
      <c r="K337" s="78"/>
      <c r="L337" s="78"/>
      <c r="M337" s="78"/>
      <c r="N337" s="106"/>
      <c r="O337" s="106"/>
      <c r="P337" s="107"/>
      <c r="Q337" s="107"/>
      <c r="R337" s="107"/>
      <c r="S337" s="90"/>
      <c r="T337" s="82"/>
      <c r="U337" s="82"/>
      <c r="V337" s="82"/>
      <c r="W337" s="82"/>
      <c r="X337" s="82"/>
    </row>
    <row r="338" spans="2:24" ht="14.25" customHeight="1" x14ac:dyDescent="0.25">
      <c r="B338" s="78"/>
      <c r="C338" s="91"/>
      <c r="D338" s="92"/>
      <c r="E338" s="92"/>
      <c r="F338" s="92"/>
      <c r="G338" s="93"/>
      <c r="H338" s="85"/>
      <c r="I338" s="78"/>
      <c r="J338" s="78"/>
      <c r="K338" s="78"/>
      <c r="L338" s="78"/>
      <c r="M338" s="78"/>
      <c r="N338" s="106"/>
      <c r="O338" s="106"/>
      <c r="P338" s="107"/>
      <c r="Q338" s="107"/>
      <c r="R338" s="107"/>
      <c r="S338" s="90"/>
      <c r="T338" s="82"/>
      <c r="U338" s="82"/>
      <c r="V338" s="82"/>
      <c r="W338" s="82"/>
      <c r="X338" s="82"/>
    </row>
    <row r="339" spans="2:24" ht="14.25" customHeight="1" x14ac:dyDescent="0.25">
      <c r="B339" s="94"/>
      <c r="C339" s="83"/>
      <c r="D339" s="81"/>
      <c r="E339" s="81"/>
      <c r="F339" s="81"/>
      <c r="G339" s="84"/>
      <c r="H339" s="85"/>
      <c r="I339" s="78"/>
      <c r="J339" s="78"/>
      <c r="K339" s="78"/>
      <c r="L339" s="78"/>
      <c r="M339" s="78"/>
      <c r="N339" s="106"/>
      <c r="O339" s="106"/>
      <c r="P339" s="107"/>
      <c r="Q339" s="107"/>
      <c r="R339" s="107"/>
      <c r="S339" s="90"/>
      <c r="T339" s="82"/>
      <c r="U339" s="82"/>
      <c r="V339" s="82"/>
      <c r="W339" s="82"/>
      <c r="X339" s="82"/>
    </row>
    <row r="340" spans="2:24" ht="14.25" customHeight="1" x14ac:dyDescent="0.25">
      <c r="B340" s="78"/>
      <c r="C340" s="91"/>
      <c r="D340" s="92"/>
      <c r="E340" s="92"/>
      <c r="F340" s="92"/>
      <c r="G340" s="93"/>
      <c r="H340" s="85"/>
      <c r="I340" s="78"/>
      <c r="J340" s="78"/>
      <c r="K340" s="78"/>
      <c r="L340" s="78"/>
      <c r="M340" s="78"/>
      <c r="N340" s="106"/>
      <c r="O340" s="106"/>
      <c r="P340" s="107"/>
      <c r="Q340" s="107"/>
      <c r="R340" s="107"/>
      <c r="S340" s="90"/>
      <c r="T340" s="82"/>
      <c r="U340" s="82"/>
      <c r="V340" s="82"/>
      <c r="W340" s="82"/>
      <c r="X340" s="82"/>
    </row>
    <row r="341" spans="2:24" ht="14.25" customHeight="1" x14ac:dyDescent="0.25">
      <c r="B341" s="94"/>
      <c r="C341" s="83"/>
      <c r="D341" s="81"/>
      <c r="E341" s="81"/>
      <c r="F341" s="81"/>
      <c r="G341" s="84"/>
      <c r="H341" s="85"/>
      <c r="I341" s="78"/>
      <c r="J341" s="78"/>
      <c r="K341" s="78"/>
      <c r="L341" s="78"/>
      <c r="M341" s="78"/>
      <c r="N341" s="106"/>
      <c r="O341" s="106"/>
      <c r="P341" s="107"/>
      <c r="Q341" s="107"/>
      <c r="R341" s="107"/>
      <c r="S341" s="90"/>
      <c r="T341" s="82"/>
      <c r="U341" s="82"/>
      <c r="V341" s="82"/>
      <c r="W341" s="82"/>
      <c r="X341" s="82"/>
    </row>
    <row r="342" spans="2:24" ht="14.25" customHeight="1" x14ac:dyDescent="0.25">
      <c r="B342" s="78"/>
      <c r="C342" s="91"/>
      <c r="D342" s="92"/>
      <c r="E342" s="92"/>
      <c r="F342" s="92"/>
      <c r="G342" s="93"/>
      <c r="H342" s="85"/>
      <c r="I342" s="78"/>
      <c r="J342" s="78"/>
      <c r="K342" s="78"/>
      <c r="L342" s="78"/>
      <c r="M342" s="78"/>
      <c r="N342" s="106"/>
      <c r="O342" s="106"/>
      <c r="P342" s="107"/>
      <c r="Q342" s="107"/>
      <c r="R342" s="107"/>
      <c r="S342" s="90"/>
      <c r="T342" s="82"/>
      <c r="U342" s="82"/>
      <c r="V342" s="82"/>
      <c r="W342" s="82"/>
      <c r="X342" s="82"/>
    </row>
    <row r="343" spans="2:24" ht="14.25" customHeight="1" x14ac:dyDescent="0.25">
      <c r="B343" s="94"/>
      <c r="C343" s="83"/>
      <c r="D343" s="81"/>
      <c r="E343" s="81"/>
      <c r="F343" s="81"/>
      <c r="G343" s="84"/>
      <c r="H343" s="85"/>
      <c r="I343" s="78"/>
      <c r="J343" s="78"/>
      <c r="K343" s="78"/>
      <c r="L343" s="78"/>
      <c r="M343" s="78"/>
      <c r="N343" s="106"/>
      <c r="O343" s="106"/>
      <c r="P343" s="107"/>
      <c r="Q343" s="107"/>
      <c r="R343" s="107"/>
      <c r="S343" s="90"/>
      <c r="T343" s="82"/>
      <c r="U343" s="82"/>
      <c r="V343" s="82"/>
      <c r="W343" s="82"/>
      <c r="X343" s="82"/>
    </row>
    <row r="344" spans="2:24" ht="14.25" customHeight="1" x14ac:dyDescent="0.25">
      <c r="B344" s="78"/>
      <c r="C344" s="91"/>
      <c r="D344" s="92"/>
      <c r="E344" s="92"/>
      <c r="F344" s="92"/>
      <c r="G344" s="93"/>
      <c r="H344" s="85"/>
      <c r="I344" s="78"/>
      <c r="J344" s="78"/>
      <c r="K344" s="78"/>
      <c r="L344" s="78"/>
      <c r="M344" s="78"/>
      <c r="N344" s="106"/>
      <c r="O344" s="106"/>
      <c r="P344" s="107"/>
      <c r="Q344" s="107"/>
      <c r="R344" s="107"/>
      <c r="S344" s="90"/>
      <c r="T344" s="82"/>
      <c r="U344" s="82"/>
      <c r="V344" s="82"/>
      <c r="W344" s="82"/>
      <c r="X344" s="82"/>
    </row>
    <row r="345" spans="2:24" ht="14.25" customHeight="1" x14ac:dyDescent="0.25">
      <c r="B345" s="94"/>
      <c r="C345" s="83"/>
      <c r="D345" s="81"/>
      <c r="E345" s="81"/>
      <c r="F345" s="81"/>
      <c r="G345" s="84"/>
      <c r="H345" s="85"/>
      <c r="I345" s="78"/>
      <c r="J345" s="78"/>
      <c r="K345" s="78"/>
      <c r="L345" s="78"/>
      <c r="M345" s="78"/>
      <c r="N345" s="106"/>
      <c r="O345" s="106"/>
      <c r="P345" s="107"/>
      <c r="Q345" s="107"/>
      <c r="R345" s="107"/>
      <c r="S345" s="90"/>
      <c r="T345" s="82"/>
      <c r="U345" s="82"/>
      <c r="V345" s="82"/>
      <c r="W345" s="82"/>
      <c r="X345" s="82"/>
    </row>
    <row r="346" spans="2:24" ht="14.25" customHeight="1" x14ac:dyDescent="0.25">
      <c r="B346" s="78"/>
      <c r="C346" s="91"/>
      <c r="D346" s="92"/>
      <c r="E346" s="92"/>
      <c r="F346" s="92"/>
      <c r="G346" s="93"/>
      <c r="H346" s="85"/>
      <c r="I346" s="78"/>
      <c r="J346" s="78"/>
      <c r="K346" s="78"/>
      <c r="L346" s="78"/>
      <c r="M346" s="78"/>
      <c r="N346" s="106"/>
      <c r="O346" s="106"/>
      <c r="P346" s="107"/>
      <c r="Q346" s="107"/>
      <c r="R346" s="107"/>
      <c r="S346" s="90"/>
      <c r="T346" s="82"/>
      <c r="U346" s="82"/>
      <c r="V346" s="82"/>
      <c r="W346" s="82"/>
      <c r="X346" s="82"/>
    </row>
    <row r="347" spans="2:24" ht="14.25" customHeight="1" x14ac:dyDescent="0.25">
      <c r="P347" s="19"/>
      <c r="Q347" s="19"/>
      <c r="R347" s="19"/>
    </row>
    <row r="348" spans="2:24" ht="14.25" customHeight="1" x14ac:dyDescent="0.25">
      <c r="B348" s="71"/>
      <c r="E348" s="71"/>
      <c r="P348" s="19"/>
      <c r="Q348" s="46"/>
    </row>
    <row r="349" spans="2:24" ht="14.25" customHeight="1" x14ac:dyDescent="0.25">
      <c r="B349" s="43"/>
      <c r="C349" s="43"/>
      <c r="E349" s="43"/>
      <c r="F349" s="43"/>
      <c r="P349" s="19"/>
      <c r="Q349" s="43"/>
      <c r="R349" s="43"/>
    </row>
    <row r="350" spans="2:24" ht="14.25" customHeight="1" x14ac:dyDescent="0.25">
      <c r="B350" s="47"/>
      <c r="E350" s="47"/>
      <c r="F350" s="48"/>
      <c r="P350" s="19"/>
      <c r="Q350" s="19"/>
      <c r="R350" s="19"/>
    </row>
    <row r="351" spans="2:24" ht="14.25" customHeight="1" x14ac:dyDescent="0.25">
      <c r="B351" s="47"/>
      <c r="E351" s="47"/>
      <c r="F351" s="48"/>
      <c r="P351" s="19"/>
      <c r="Q351" s="19"/>
      <c r="R351" s="19"/>
    </row>
    <row r="352" spans="2:24" ht="14.25" customHeight="1" x14ac:dyDescent="0.25">
      <c r="B352" s="47"/>
      <c r="E352" s="47"/>
      <c r="F352" s="48"/>
      <c r="P352" s="19"/>
      <c r="Q352" s="19"/>
      <c r="R352" s="19"/>
    </row>
    <row r="353" spans="2:18" ht="14.25" customHeight="1" x14ac:dyDescent="0.25">
      <c r="B353" s="47"/>
      <c r="E353" s="47"/>
      <c r="F353" s="48"/>
      <c r="P353" s="19"/>
      <c r="Q353" s="19"/>
      <c r="R353" s="19"/>
    </row>
    <row r="354" spans="2:18" ht="14.25" customHeight="1" x14ac:dyDescent="0.25">
      <c r="B354" s="47"/>
      <c r="E354" s="47"/>
      <c r="F354" s="48"/>
      <c r="P354" s="19"/>
      <c r="Q354" s="19"/>
      <c r="R354" s="19"/>
    </row>
    <row r="355" spans="2:18" ht="14.25" customHeight="1" x14ac:dyDescent="0.25">
      <c r="P355" s="19"/>
      <c r="Q355" s="19"/>
      <c r="R355" s="19"/>
    </row>
    <row r="356" spans="2:18" ht="14.25" customHeight="1" x14ac:dyDescent="0.25">
      <c r="P356" s="19"/>
      <c r="Q356" s="19"/>
      <c r="R356" s="19"/>
    </row>
    <row r="357" spans="2:18" ht="14.25" customHeight="1" x14ac:dyDescent="0.25">
      <c r="P357" s="19"/>
      <c r="Q357" s="19"/>
      <c r="R357" s="19"/>
    </row>
    <row r="358" spans="2:18" ht="14.25" customHeight="1" x14ac:dyDescent="0.25">
      <c r="P358" s="19"/>
      <c r="Q358" s="19"/>
      <c r="R358" s="19"/>
    </row>
    <row r="359" spans="2:18" ht="14.25" customHeight="1" x14ac:dyDescent="0.25">
      <c r="P359" s="19"/>
      <c r="Q359" s="19"/>
      <c r="R359" s="19"/>
    </row>
    <row r="360" spans="2:18" ht="14.25" customHeight="1" x14ac:dyDescent="0.25">
      <c r="P360" s="19"/>
      <c r="Q360" s="19"/>
      <c r="R360" s="19"/>
    </row>
    <row r="361" spans="2:18" ht="14.25" customHeight="1" x14ac:dyDescent="0.25">
      <c r="P361" s="19"/>
      <c r="Q361" s="19"/>
      <c r="R361" s="19"/>
    </row>
    <row r="362" spans="2:18" ht="14.25" customHeight="1" x14ac:dyDescent="0.25">
      <c r="P362" s="19"/>
      <c r="Q362" s="19"/>
      <c r="R362" s="19"/>
    </row>
    <row r="363" spans="2:18" ht="14.25" customHeight="1" x14ac:dyDescent="0.25">
      <c r="P363" s="19"/>
      <c r="Q363" s="19"/>
      <c r="R363" s="19"/>
    </row>
    <row r="364" spans="2:18" ht="14.25" customHeight="1" x14ac:dyDescent="0.25">
      <c r="P364" s="19"/>
      <c r="Q364" s="19"/>
      <c r="R364" s="19"/>
    </row>
    <row r="365" spans="2:18" ht="14.25" customHeight="1" x14ac:dyDescent="0.25">
      <c r="P365" s="19"/>
      <c r="Q365" s="19"/>
      <c r="R365" s="19"/>
    </row>
    <row r="366" spans="2:18" ht="14.25" customHeight="1" x14ac:dyDescent="0.25">
      <c r="P366" s="19"/>
      <c r="Q366" s="19"/>
      <c r="R366" s="19"/>
    </row>
    <row r="367" spans="2:18" ht="14.25" customHeight="1" x14ac:dyDescent="0.25">
      <c r="P367" s="19"/>
      <c r="Q367" s="19"/>
      <c r="R367" s="19"/>
    </row>
    <row r="368" spans="2:18" ht="14.25" customHeight="1" x14ac:dyDescent="0.25">
      <c r="P368" s="19"/>
      <c r="Q368" s="19"/>
      <c r="R368" s="19"/>
    </row>
    <row r="369" spans="16:18" ht="14.25" customHeight="1" x14ac:dyDescent="0.25">
      <c r="P369" s="19"/>
      <c r="Q369" s="19"/>
      <c r="R369" s="19"/>
    </row>
    <row r="370" spans="16:18" ht="14.25" customHeight="1" x14ac:dyDescent="0.25">
      <c r="P370" s="19"/>
      <c r="Q370" s="19"/>
      <c r="R370" s="19"/>
    </row>
    <row r="371" spans="16:18" ht="14.25" customHeight="1" x14ac:dyDescent="0.25">
      <c r="P371" s="19"/>
      <c r="Q371" s="19"/>
      <c r="R371" s="19"/>
    </row>
    <row r="372" spans="16:18" ht="14.25" customHeight="1" x14ac:dyDescent="0.25">
      <c r="P372" s="19"/>
      <c r="Q372" s="19"/>
      <c r="R372" s="19"/>
    </row>
    <row r="373" spans="16:18" ht="14.25" customHeight="1" x14ac:dyDescent="0.25">
      <c r="P373" s="19"/>
      <c r="Q373" s="19"/>
      <c r="R373" s="19"/>
    </row>
    <row r="374" spans="16:18" ht="14.25" customHeight="1" x14ac:dyDescent="0.25">
      <c r="P374" s="19"/>
      <c r="Q374" s="19"/>
      <c r="R374" s="19"/>
    </row>
    <row r="375" spans="16:18" ht="14.25" customHeight="1" x14ac:dyDescent="0.25">
      <c r="P375" s="19"/>
      <c r="Q375" s="19"/>
      <c r="R375" s="19"/>
    </row>
    <row r="376" spans="16:18" ht="14.25" customHeight="1" x14ac:dyDescent="0.25">
      <c r="P376" s="19"/>
      <c r="Q376" s="19"/>
      <c r="R376" s="19"/>
    </row>
    <row r="377" spans="16:18" ht="14.25" customHeight="1" x14ac:dyDescent="0.25">
      <c r="P377" s="19"/>
      <c r="Q377" s="19"/>
      <c r="R377" s="19"/>
    </row>
    <row r="378" spans="16:18" ht="14.25" customHeight="1" x14ac:dyDescent="0.25">
      <c r="P378" s="19"/>
      <c r="Q378" s="19"/>
      <c r="R378" s="19"/>
    </row>
    <row r="379" spans="16:18" ht="14.25" customHeight="1" x14ac:dyDescent="0.25">
      <c r="P379" s="19"/>
      <c r="Q379" s="19"/>
      <c r="R379" s="19"/>
    </row>
    <row r="380" spans="16:18" ht="14.25" customHeight="1" x14ac:dyDescent="0.25">
      <c r="P380" s="19"/>
      <c r="Q380" s="19"/>
      <c r="R380" s="19"/>
    </row>
    <row r="381" spans="16:18" ht="14.25" customHeight="1" x14ac:dyDescent="0.25">
      <c r="P381" s="19"/>
      <c r="Q381" s="19"/>
      <c r="R381" s="19"/>
    </row>
    <row r="382" spans="16:18" ht="14.25" customHeight="1" x14ac:dyDescent="0.25">
      <c r="P382" s="19"/>
      <c r="Q382" s="19"/>
      <c r="R382" s="19"/>
    </row>
    <row r="383" spans="16:18" ht="14.25" customHeight="1" x14ac:dyDescent="0.25">
      <c r="P383" s="19"/>
      <c r="Q383" s="19"/>
      <c r="R383" s="19"/>
    </row>
    <row r="384" spans="16:18" ht="14.25" customHeight="1" x14ac:dyDescent="0.25">
      <c r="P384" s="19"/>
      <c r="Q384" s="19"/>
      <c r="R384" s="19"/>
    </row>
    <row r="385" spans="16:18" ht="14.25" customHeight="1" x14ac:dyDescent="0.25">
      <c r="P385" s="19"/>
      <c r="Q385" s="19"/>
      <c r="R385" s="19"/>
    </row>
    <row r="386" spans="16:18" ht="14.25" customHeight="1" x14ac:dyDescent="0.25">
      <c r="P386" s="19"/>
      <c r="Q386" s="19"/>
      <c r="R386" s="19"/>
    </row>
    <row r="387" spans="16:18" ht="14.25" customHeight="1" x14ac:dyDescent="0.25">
      <c r="P387" s="19"/>
      <c r="Q387" s="19"/>
      <c r="R387" s="19"/>
    </row>
    <row r="388" spans="16:18" ht="14.25" customHeight="1" x14ac:dyDescent="0.25">
      <c r="P388" s="19"/>
      <c r="Q388" s="19"/>
      <c r="R388" s="19"/>
    </row>
    <row r="389" spans="16:18" ht="14.25" customHeight="1" x14ac:dyDescent="0.25">
      <c r="P389" s="19"/>
      <c r="Q389" s="19"/>
      <c r="R389" s="19"/>
    </row>
    <row r="390" spans="16:18" ht="14.25" customHeight="1" x14ac:dyDescent="0.25">
      <c r="P390" s="19"/>
      <c r="Q390" s="19"/>
      <c r="R390" s="19"/>
    </row>
    <row r="391" spans="16:18" ht="14.25" customHeight="1" x14ac:dyDescent="0.25">
      <c r="P391" s="19"/>
      <c r="Q391" s="19"/>
      <c r="R391" s="19"/>
    </row>
    <row r="392" spans="16:18" ht="14.25" customHeight="1" x14ac:dyDescent="0.25">
      <c r="P392" s="19"/>
      <c r="Q392" s="19"/>
      <c r="R392" s="19"/>
    </row>
    <row r="393" spans="16:18" ht="14.25" customHeight="1" x14ac:dyDescent="0.25">
      <c r="P393" s="19"/>
      <c r="Q393" s="19"/>
      <c r="R393" s="19"/>
    </row>
    <row r="394" spans="16:18" ht="14.25" customHeight="1" x14ac:dyDescent="0.25">
      <c r="P394" s="19"/>
      <c r="Q394" s="19"/>
      <c r="R394" s="19"/>
    </row>
    <row r="395" spans="16:18" ht="14.25" customHeight="1" x14ac:dyDescent="0.25">
      <c r="P395" s="19"/>
      <c r="Q395" s="19"/>
      <c r="R395" s="19"/>
    </row>
    <row r="396" spans="16:18" ht="14.25" customHeight="1" x14ac:dyDescent="0.25">
      <c r="P396" s="19"/>
      <c r="Q396" s="19"/>
      <c r="R396" s="19"/>
    </row>
    <row r="397" spans="16:18" ht="14.25" customHeight="1" x14ac:dyDescent="0.25">
      <c r="P397" s="19"/>
      <c r="Q397" s="19"/>
      <c r="R397" s="19"/>
    </row>
    <row r="398" spans="16:18" ht="14.25" customHeight="1" x14ac:dyDescent="0.25">
      <c r="P398" s="19"/>
      <c r="Q398" s="19"/>
      <c r="R398" s="19"/>
    </row>
    <row r="399" spans="16:18" ht="14.25" customHeight="1" x14ac:dyDescent="0.25">
      <c r="P399" s="19"/>
      <c r="Q399" s="19"/>
      <c r="R399" s="19"/>
    </row>
    <row r="400" spans="16:18" ht="14.25" customHeight="1" x14ac:dyDescent="0.25">
      <c r="P400" s="19"/>
      <c r="Q400" s="19"/>
      <c r="R400" s="19"/>
    </row>
    <row r="401" spans="16:18" ht="14.25" customHeight="1" x14ac:dyDescent="0.25">
      <c r="P401" s="19"/>
      <c r="Q401" s="19"/>
      <c r="R401" s="19"/>
    </row>
    <row r="402" spans="16:18" ht="14.25" customHeight="1" x14ac:dyDescent="0.25">
      <c r="P402" s="19"/>
      <c r="Q402" s="19"/>
      <c r="R402" s="19"/>
    </row>
    <row r="403" spans="16:18" ht="14.25" customHeight="1" x14ac:dyDescent="0.25">
      <c r="P403" s="19"/>
      <c r="Q403" s="19"/>
      <c r="R403" s="19"/>
    </row>
    <row r="404" spans="16:18" ht="14.25" customHeight="1" x14ac:dyDescent="0.25">
      <c r="P404" s="19"/>
      <c r="Q404" s="19"/>
      <c r="R404" s="19"/>
    </row>
    <row r="405" spans="16:18" ht="14.25" customHeight="1" x14ac:dyDescent="0.25">
      <c r="P405" s="19"/>
      <c r="Q405" s="19"/>
      <c r="R405" s="19"/>
    </row>
    <row r="406" spans="16:18" ht="14.25" customHeight="1" x14ac:dyDescent="0.25">
      <c r="P406" s="19"/>
      <c r="Q406" s="19"/>
      <c r="R406" s="19"/>
    </row>
    <row r="407" spans="16:18" ht="14.25" customHeight="1" x14ac:dyDescent="0.25">
      <c r="P407" s="19"/>
      <c r="Q407" s="19"/>
      <c r="R407" s="19"/>
    </row>
    <row r="408" spans="16:18" ht="14.25" customHeight="1" x14ac:dyDescent="0.25">
      <c r="P408" s="19"/>
      <c r="Q408" s="19"/>
      <c r="R408" s="19"/>
    </row>
    <row r="409" spans="16:18" ht="14.25" customHeight="1" x14ac:dyDescent="0.25">
      <c r="P409" s="19"/>
      <c r="Q409" s="19"/>
      <c r="R409" s="19"/>
    </row>
    <row r="410" spans="16:18" ht="14.25" customHeight="1" x14ac:dyDescent="0.25">
      <c r="P410" s="19"/>
      <c r="Q410" s="19"/>
      <c r="R410" s="19"/>
    </row>
    <row r="411" spans="16:18" ht="14.25" customHeight="1" x14ac:dyDescent="0.25">
      <c r="P411" s="19"/>
      <c r="Q411" s="19"/>
      <c r="R411" s="19"/>
    </row>
    <row r="412" spans="16:18" ht="14.25" customHeight="1" x14ac:dyDescent="0.25">
      <c r="P412" s="19"/>
      <c r="Q412" s="19"/>
      <c r="R412" s="19"/>
    </row>
    <row r="413" spans="16:18" ht="14.25" customHeight="1" x14ac:dyDescent="0.25">
      <c r="P413" s="19"/>
      <c r="Q413" s="19"/>
      <c r="R413" s="19"/>
    </row>
    <row r="414" spans="16:18" ht="14.25" customHeight="1" x14ac:dyDescent="0.25">
      <c r="P414" s="19"/>
      <c r="Q414" s="19"/>
      <c r="R414" s="19"/>
    </row>
    <row r="415" spans="16:18" ht="14.25" customHeight="1" x14ac:dyDescent="0.25">
      <c r="P415" s="19"/>
      <c r="Q415" s="19"/>
      <c r="R415" s="19"/>
    </row>
    <row r="416" spans="16:18" ht="14.25" customHeight="1" x14ac:dyDescent="0.25">
      <c r="P416" s="19"/>
      <c r="Q416" s="19"/>
      <c r="R416" s="19"/>
    </row>
    <row r="417" spans="16:18" ht="14.25" customHeight="1" x14ac:dyDescent="0.25">
      <c r="P417" s="19"/>
      <c r="Q417" s="19"/>
      <c r="R417" s="19"/>
    </row>
    <row r="418" spans="16:18" ht="14.25" customHeight="1" x14ac:dyDescent="0.25">
      <c r="P418" s="19"/>
      <c r="Q418" s="19"/>
      <c r="R418" s="19"/>
    </row>
    <row r="419" spans="16:18" ht="14.25" customHeight="1" x14ac:dyDescent="0.25">
      <c r="P419" s="19"/>
      <c r="Q419" s="19"/>
      <c r="R419" s="19"/>
    </row>
    <row r="420" spans="16:18" ht="14.25" customHeight="1" x14ac:dyDescent="0.25">
      <c r="P420" s="19"/>
      <c r="Q420" s="19"/>
      <c r="R420" s="19"/>
    </row>
    <row r="421" spans="16:18" ht="14.25" customHeight="1" x14ac:dyDescent="0.25">
      <c r="P421" s="19"/>
      <c r="Q421" s="19"/>
      <c r="R421" s="19"/>
    </row>
    <row r="422" spans="16:18" ht="14.25" customHeight="1" x14ac:dyDescent="0.25">
      <c r="P422" s="19"/>
      <c r="Q422" s="19"/>
      <c r="R422" s="19"/>
    </row>
    <row r="423" spans="16:18" ht="14.25" customHeight="1" x14ac:dyDescent="0.25">
      <c r="P423" s="19"/>
      <c r="Q423" s="19"/>
      <c r="R423" s="19"/>
    </row>
    <row r="424" spans="16:18" ht="14.25" customHeight="1" x14ac:dyDescent="0.25">
      <c r="P424" s="19"/>
      <c r="Q424" s="19"/>
      <c r="R424" s="19"/>
    </row>
    <row r="425" spans="16:18" ht="14.25" customHeight="1" x14ac:dyDescent="0.25">
      <c r="P425" s="19"/>
      <c r="Q425" s="19"/>
      <c r="R425" s="19"/>
    </row>
    <row r="426" spans="16:18" ht="14.25" customHeight="1" x14ac:dyDescent="0.25">
      <c r="P426" s="19"/>
      <c r="Q426" s="19"/>
      <c r="R426" s="19"/>
    </row>
    <row r="427" spans="16:18" ht="14.25" customHeight="1" x14ac:dyDescent="0.25">
      <c r="P427" s="19"/>
      <c r="Q427" s="19"/>
      <c r="R427" s="19"/>
    </row>
    <row r="428" spans="16:18" ht="14.25" customHeight="1" x14ac:dyDescent="0.25">
      <c r="P428" s="19"/>
      <c r="Q428" s="19"/>
      <c r="R428" s="19"/>
    </row>
    <row r="429" spans="16:18" ht="14.25" customHeight="1" x14ac:dyDescent="0.25">
      <c r="P429" s="19"/>
      <c r="Q429" s="19"/>
      <c r="R429" s="19"/>
    </row>
    <row r="430" spans="16:18" ht="14.25" customHeight="1" x14ac:dyDescent="0.25">
      <c r="P430" s="19"/>
      <c r="Q430" s="19"/>
      <c r="R430" s="19"/>
    </row>
    <row r="431" spans="16:18" ht="14.25" customHeight="1" x14ac:dyDescent="0.25">
      <c r="P431" s="19"/>
      <c r="Q431" s="19"/>
      <c r="R431" s="19"/>
    </row>
    <row r="432" spans="16:18" ht="14.25" customHeight="1" x14ac:dyDescent="0.25">
      <c r="P432" s="19"/>
      <c r="Q432" s="19"/>
      <c r="R432" s="19"/>
    </row>
    <row r="433" spans="16:18" ht="14.25" customHeight="1" x14ac:dyDescent="0.25">
      <c r="P433" s="19"/>
      <c r="Q433" s="19"/>
      <c r="R433" s="19"/>
    </row>
    <row r="434" spans="16:18" ht="14.25" customHeight="1" x14ac:dyDescent="0.25">
      <c r="P434" s="19"/>
      <c r="Q434" s="19"/>
      <c r="R434" s="19"/>
    </row>
    <row r="435" spans="16:18" ht="14.25" customHeight="1" x14ac:dyDescent="0.25">
      <c r="P435" s="19"/>
      <c r="Q435" s="19"/>
      <c r="R435" s="19"/>
    </row>
    <row r="436" spans="16:18" ht="14.25" customHeight="1" x14ac:dyDescent="0.25">
      <c r="P436" s="19"/>
      <c r="Q436" s="19"/>
      <c r="R436" s="19"/>
    </row>
    <row r="437" spans="16:18" ht="14.25" customHeight="1" x14ac:dyDescent="0.25">
      <c r="P437" s="19"/>
      <c r="Q437" s="19"/>
      <c r="R437" s="19"/>
    </row>
    <row r="438" spans="16:18" ht="14.25" customHeight="1" x14ac:dyDescent="0.25">
      <c r="P438" s="19"/>
      <c r="Q438" s="19"/>
      <c r="R438" s="19"/>
    </row>
    <row r="439" spans="16:18" ht="14.25" customHeight="1" x14ac:dyDescent="0.25">
      <c r="P439" s="19"/>
      <c r="Q439" s="19"/>
      <c r="R439" s="19"/>
    </row>
    <row r="440" spans="16:18" ht="14.25" customHeight="1" x14ac:dyDescent="0.25">
      <c r="P440" s="19"/>
      <c r="Q440" s="19"/>
      <c r="R440" s="19"/>
    </row>
    <row r="441" spans="16:18" ht="14.25" customHeight="1" x14ac:dyDescent="0.25">
      <c r="P441" s="19"/>
      <c r="Q441" s="19"/>
      <c r="R441" s="19"/>
    </row>
    <row r="442" spans="16:18" ht="14.25" customHeight="1" x14ac:dyDescent="0.25">
      <c r="P442" s="19"/>
      <c r="Q442" s="19"/>
      <c r="R442" s="19"/>
    </row>
    <row r="443" spans="16:18" ht="14.25" customHeight="1" x14ac:dyDescent="0.25">
      <c r="P443" s="19"/>
      <c r="Q443" s="19"/>
      <c r="R443" s="19"/>
    </row>
    <row r="444" spans="16:18" ht="14.25" customHeight="1" x14ac:dyDescent="0.25">
      <c r="P444" s="19"/>
      <c r="Q444" s="19"/>
      <c r="R444" s="19"/>
    </row>
    <row r="445" spans="16:18" ht="14.25" customHeight="1" x14ac:dyDescent="0.25">
      <c r="P445" s="19"/>
      <c r="Q445" s="19"/>
      <c r="R445" s="19"/>
    </row>
    <row r="446" spans="16:18" ht="14.25" customHeight="1" x14ac:dyDescent="0.25">
      <c r="P446" s="19"/>
      <c r="Q446" s="19"/>
      <c r="R446" s="19"/>
    </row>
    <row r="447" spans="16:18" ht="14.25" customHeight="1" x14ac:dyDescent="0.25">
      <c r="P447" s="19"/>
      <c r="Q447" s="19"/>
      <c r="R447" s="19"/>
    </row>
    <row r="448" spans="16:18" ht="14.25" customHeight="1" x14ac:dyDescent="0.25">
      <c r="P448" s="19"/>
      <c r="Q448" s="19"/>
      <c r="R448" s="19"/>
    </row>
    <row r="449" spans="16:18" ht="14.25" customHeight="1" x14ac:dyDescent="0.25">
      <c r="P449" s="19"/>
      <c r="Q449" s="19"/>
      <c r="R449" s="19"/>
    </row>
    <row r="450" spans="16:18" ht="14.25" customHeight="1" x14ac:dyDescent="0.25">
      <c r="P450" s="19"/>
      <c r="Q450" s="19"/>
      <c r="R450" s="19"/>
    </row>
    <row r="451" spans="16:18" ht="14.25" customHeight="1" x14ac:dyDescent="0.25">
      <c r="P451" s="19"/>
      <c r="Q451" s="19"/>
      <c r="R451" s="19"/>
    </row>
    <row r="452" spans="16:18" ht="14.25" customHeight="1" x14ac:dyDescent="0.25">
      <c r="P452" s="19"/>
      <c r="Q452" s="19"/>
      <c r="R452" s="19"/>
    </row>
    <row r="453" spans="16:18" ht="14.25" customHeight="1" x14ac:dyDescent="0.25">
      <c r="P453" s="19"/>
      <c r="Q453" s="19"/>
      <c r="R453" s="19"/>
    </row>
    <row r="454" spans="16:18" ht="14.25" customHeight="1" x14ac:dyDescent="0.25">
      <c r="P454" s="19"/>
      <c r="Q454" s="19"/>
      <c r="R454" s="19"/>
    </row>
    <row r="455" spans="16:18" ht="14.25" customHeight="1" x14ac:dyDescent="0.25">
      <c r="P455" s="19"/>
      <c r="Q455" s="19"/>
      <c r="R455" s="19"/>
    </row>
    <row r="456" spans="16:18" ht="14.25" customHeight="1" x14ac:dyDescent="0.25">
      <c r="P456" s="19"/>
      <c r="Q456" s="19"/>
      <c r="R456" s="19"/>
    </row>
    <row r="457" spans="16:18" ht="14.25" customHeight="1" x14ac:dyDescent="0.25">
      <c r="P457" s="19"/>
      <c r="Q457" s="19"/>
      <c r="R457" s="19"/>
    </row>
    <row r="458" spans="16:18" ht="14.25" customHeight="1" x14ac:dyDescent="0.25">
      <c r="P458" s="19"/>
      <c r="Q458" s="19"/>
      <c r="R458" s="19"/>
    </row>
    <row r="459" spans="16:18" ht="14.25" customHeight="1" x14ac:dyDescent="0.25">
      <c r="P459" s="19"/>
      <c r="Q459" s="19"/>
      <c r="R459" s="19"/>
    </row>
    <row r="460" spans="16:18" ht="14.25" customHeight="1" x14ac:dyDescent="0.25">
      <c r="P460" s="19"/>
      <c r="Q460" s="19"/>
      <c r="R460" s="19"/>
    </row>
    <row r="461" spans="16:18" ht="14.25" customHeight="1" x14ac:dyDescent="0.25">
      <c r="P461" s="19"/>
      <c r="Q461" s="19"/>
      <c r="R461" s="19"/>
    </row>
    <row r="462" spans="16:18" ht="14.25" customHeight="1" x14ac:dyDescent="0.25">
      <c r="P462" s="19"/>
      <c r="Q462" s="19"/>
      <c r="R462" s="19"/>
    </row>
    <row r="463" spans="16:18" ht="14.25" customHeight="1" x14ac:dyDescent="0.25">
      <c r="P463" s="19"/>
      <c r="Q463" s="19"/>
      <c r="R463" s="19"/>
    </row>
    <row r="464" spans="16:18" ht="14.25" customHeight="1" x14ac:dyDescent="0.25">
      <c r="P464" s="19"/>
      <c r="Q464" s="19"/>
      <c r="R464" s="19"/>
    </row>
    <row r="465" spans="16:18" ht="14.25" customHeight="1" x14ac:dyDescent="0.25">
      <c r="P465" s="19"/>
      <c r="Q465" s="19"/>
      <c r="R465" s="19"/>
    </row>
    <row r="466" spans="16:18" ht="14.25" customHeight="1" x14ac:dyDescent="0.25">
      <c r="P466" s="19"/>
      <c r="Q466" s="19"/>
      <c r="R466" s="19"/>
    </row>
    <row r="467" spans="16:18" ht="14.25" customHeight="1" x14ac:dyDescent="0.25">
      <c r="P467" s="19"/>
      <c r="Q467" s="19"/>
      <c r="R467" s="19"/>
    </row>
    <row r="468" spans="16:18" ht="14.25" customHeight="1" x14ac:dyDescent="0.25">
      <c r="P468" s="19"/>
      <c r="Q468" s="19"/>
      <c r="R468" s="19"/>
    </row>
    <row r="469" spans="16:18" ht="14.25" customHeight="1" x14ac:dyDescent="0.25">
      <c r="P469" s="19"/>
      <c r="Q469" s="19"/>
      <c r="R469" s="19"/>
    </row>
    <row r="470" spans="16:18" ht="14.25" customHeight="1" x14ac:dyDescent="0.25">
      <c r="P470" s="19"/>
      <c r="Q470" s="19"/>
      <c r="R470" s="19"/>
    </row>
    <row r="471" spans="16:18" ht="14.25" customHeight="1" x14ac:dyDescent="0.25">
      <c r="P471" s="19"/>
      <c r="Q471" s="19"/>
      <c r="R471" s="19"/>
    </row>
    <row r="472" spans="16:18" ht="14.25" customHeight="1" x14ac:dyDescent="0.25">
      <c r="P472" s="19"/>
      <c r="Q472" s="19"/>
      <c r="R472" s="19"/>
    </row>
    <row r="473" spans="16:18" ht="14.25" customHeight="1" x14ac:dyDescent="0.25">
      <c r="P473" s="19"/>
      <c r="Q473" s="19"/>
      <c r="R473" s="19"/>
    </row>
    <row r="474" spans="16:18" ht="14.25" customHeight="1" x14ac:dyDescent="0.25">
      <c r="P474" s="19"/>
      <c r="Q474" s="19"/>
      <c r="R474" s="19"/>
    </row>
    <row r="475" spans="16:18" ht="14.25" customHeight="1" x14ac:dyDescent="0.25">
      <c r="P475" s="19"/>
      <c r="Q475" s="19"/>
      <c r="R475" s="19"/>
    </row>
    <row r="476" spans="16:18" ht="14.25" customHeight="1" x14ac:dyDescent="0.25">
      <c r="P476" s="19"/>
      <c r="Q476" s="19"/>
      <c r="R476" s="19"/>
    </row>
    <row r="477" spans="16:18" ht="14.25" customHeight="1" x14ac:dyDescent="0.25">
      <c r="P477" s="19"/>
      <c r="Q477" s="19"/>
      <c r="R477" s="19"/>
    </row>
    <row r="478" spans="16:18" ht="14.25" customHeight="1" x14ac:dyDescent="0.25">
      <c r="P478" s="19"/>
      <c r="Q478" s="19"/>
      <c r="R478" s="19"/>
    </row>
    <row r="479" spans="16:18" ht="14.25" customHeight="1" x14ac:dyDescent="0.25">
      <c r="P479" s="19"/>
      <c r="Q479" s="19"/>
      <c r="R479" s="19"/>
    </row>
    <row r="480" spans="16:18" ht="14.25" customHeight="1" x14ac:dyDescent="0.25">
      <c r="P480" s="19"/>
      <c r="Q480" s="19"/>
      <c r="R480" s="19"/>
    </row>
    <row r="481" spans="16:18" ht="14.25" customHeight="1" x14ac:dyDescent="0.25">
      <c r="P481" s="19"/>
      <c r="Q481" s="19"/>
      <c r="R481" s="19"/>
    </row>
    <row r="482" spans="16:18" ht="14.25" customHeight="1" x14ac:dyDescent="0.25">
      <c r="P482" s="19"/>
      <c r="Q482" s="19"/>
      <c r="R482" s="19"/>
    </row>
    <row r="483" spans="16:18" ht="14.25" customHeight="1" x14ac:dyDescent="0.25">
      <c r="P483" s="19"/>
      <c r="Q483" s="19"/>
      <c r="R483" s="19"/>
    </row>
    <row r="484" spans="16:18" ht="14.25" customHeight="1" x14ac:dyDescent="0.25">
      <c r="P484" s="19"/>
      <c r="Q484" s="19"/>
      <c r="R484" s="19"/>
    </row>
    <row r="485" spans="16:18" ht="14.25" customHeight="1" x14ac:dyDescent="0.25">
      <c r="P485" s="19"/>
      <c r="Q485" s="19"/>
      <c r="R485" s="19"/>
    </row>
    <row r="486" spans="16:18" ht="14.25" customHeight="1" x14ac:dyDescent="0.25">
      <c r="P486" s="19"/>
      <c r="Q486" s="19"/>
      <c r="R486" s="19"/>
    </row>
    <row r="487" spans="16:18" ht="14.25" customHeight="1" x14ac:dyDescent="0.25">
      <c r="P487" s="19"/>
      <c r="Q487" s="19"/>
      <c r="R487" s="19"/>
    </row>
    <row r="488" spans="16:18" ht="14.25" customHeight="1" x14ac:dyDescent="0.25">
      <c r="P488" s="19"/>
      <c r="Q488" s="19"/>
      <c r="R488" s="19"/>
    </row>
    <row r="489" spans="16:18" ht="14.25" customHeight="1" x14ac:dyDescent="0.25">
      <c r="P489" s="19"/>
      <c r="Q489" s="19"/>
      <c r="R489" s="19"/>
    </row>
    <row r="490" spans="16:18" ht="14.25" customHeight="1" x14ac:dyDescent="0.25">
      <c r="P490" s="19"/>
      <c r="Q490" s="19"/>
      <c r="R490" s="19"/>
    </row>
    <row r="491" spans="16:18" ht="14.25" customHeight="1" x14ac:dyDescent="0.25">
      <c r="P491" s="19"/>
      <c r="Q491" s="19"/>
      <c r="R491" s="19"/>
    </row>
    <row r="492" spans="16:18" ht="14.25" customHeight="1" x14ac:dyDescent="0.25">
      <c r="P492" s="19"/>
      <c r="Q492" s="19"/>
      <c r="R492" s="19"/>
    </row>
    <row r="493" spans="16:18" ht="14.25" customHeight="1" x14ac:dyDescent="0.25">
      <c r="P493" s="19"/>
      <c r="Q493" s="19"/>
      <c r="R493" s="19"/>
    </row>
    <row r="494" spans="16:18" ht="14.25" customHeight="1" x14ac:dyDescent="0.25">
      <c r="P494" s="19"/>
      <c r="Q494" s="19"/>
      <c r="R494" s="19"/>
    </row>
    <row r="495" spans="16:18" ht="14.25" customHeight="1" x14ac:dyDescent="0.25">
      <c r="P495" s="19"/>
      <c r="Q495" s="19"/>
      <c r="R495" s="19"/>
    </row>
    <row r="496" spans="16:18" ht="14.25" customHeight="1" x14ac:dyDescent="0.25">
      <c r="P496" s="19"/>
      <c r="Q496" s="19"/>
      <c r="R496" s="19"/>
    </row>
    <row r="497" spans="16:18" ht="14.25" customHeight="1" x14ac:dyDescent="0.25">
      <c r="P497" s="19"/>
      <c r="Q497" s="19"/>
      <c r="R497" s="19"/>
    </row>
    <row r="498" spans="16:18" ht="14.25" customHeight="1" x14ac:dyDescent="0.25">
      <c r="P498" s="19"/>
      <c r="Q498" s="19"/>
      <c r="R498" s="19"/>
    </row>
    <row r="499" spans="16:18" ht="14.25" customHeight="1" x14ac:dyDescent="0.25">
      <c r="P499" s="19"/>
      <c r="Q499" s="19"/>
      <c r="R499" s="19"/>
    </row>
    <row r="500" spans="16:18" ht="14.25" customHeight="1" x14ac:dyDescent="0.25">
      <c r="P500" s="19"/>
      <c r="Q500" s="19"/>
      <c r="R500" s="19"/>
    </row>
    <row r="501" spans="16:18" ht="14.25" customHeight="1" x14ac:dyDescent="0.25">
      <c r="P501" s="19"/>
      <c r="Q501" s="19"/>
      <c r="R501" s="19"/>
    </row>
    <row r="502" spans="16:18" ht="14.25" customHeight="1" x14ac:dyDescent="0.25">
      <c r="P502" s="19"/>
      <c r="Q502" s="19"/>
      <c r="R502" s="19"/>
    </row>
    <row r="503" spans="16:18" ht="14.25" customHeight="1" x14ac:dyDescent="0.25">
      <c r="P503" s="19"/>
      <c r="Q503" s="19"/>
      <c r="R503" s="19"/>
    </row>
    <row r="504" spans="16:18" ht="14.25" customHeight="1" x14ac:dyDescent="0.25">
      <c r="P504" s="19"/>
      <c r="Q504" s="19"/>
      <c r="R504" s="19"/>
    </row>
    <row r="505" spans="16:18" ht="14.25" customHeight="1" x14ac:dyDescent="0.25">
      <c r="P505" s="19"/>
      <c r="Q505" s="19"/>
      <c r="R505" s="19"/>
    </row>
    <row r="506" spans="16:18" ht="14.25" customHeight="1" x14ac:dyDescent="0.25">
      <c r="P506" s="19"/>
      <c r="Q506" s="19"/>
      <c r="R506" s="19"/>
    </row>
    <row r="507" spans="16:18" ht="14.25" customHeight="1" x14ac:dyDescent="0.25">
      <c r="P507" s="19"/>
      <c r="Q507" s="19"/>
      <c r="R507" s="19"/>
    </row>
    <row r="508" spans="16:18" ht="14.25" customHeight="1" x14ac:dyDescent="0.25">
      <c r="P508" s="19"/>
      <c r="Q508" s="19"/>
      <c r="R508" s="19"/>
    </row>
    <row r="509" spans="16:18" ht="14.25" customHeight="1" x14ac:dyDescent="0.25">
      <c r="P509" s="19"/>
      <c r="Q509" s="19"/>
      <c r="R509" s="19"/>
    </row>
    <row r="510" spans="16:18" ht="14.25" customHeight="1" x14ac:dyDescent="0.25">
      <c r="P510" s="19"/>
      <c r="Q510" s="19"/>
      <c r="R510" s="19"/>
    </row>
    <row r="511" spans="16:18" ht="14.25" customHeight="1" x14ac:dyDescent="0.25">
      <c r="P511" s="19"/>
      <c r="Q511" s="19"/>
      <c r="R511" s="19"/>
    </row>
    <row r="512" spans="16:18" ht="14.25" customHeight="1" x14ac:dyDescent="0.25">
      <c r="P512" s="19"/>
      <c r="Q512" s="19"/>
      <c r="R512" s="19"/>
    </row>
    <row r="513" spans="16:18" ht="14.25" customHeight="1" x14ac:dyDescent="0.25">
      <c r="P513" s="19"/>
      <c r="Q513" s="19"/>
      <c r="R513" s="19"/>
    </row>
    <row r="514" spans="16:18" ht="14.25" customHeight="1" x14ac:dyDescent="0.25">
      <c r="P514" s="19"/>
      <c r="Q514" s="19"/>
      <c r="R514" s="19"/>
    </row>
    <row r="515" spans="16:18" ht="14.25" customHeight="1" x14ac:dyDescent="0.25">
      <c r="P515" s="19"/>
      <c r="Q515" s="19"/>
      <c r="R515" s="19"/>
    </row>
    <row r="516" spans="16:18" ht="14.25" customHeight="1" x14ac:dyDescent="0.25">
      <c r="P516" s="19"/>
      <c r="Q516" s="19"/>
      <c r="R516" s="19"/>
    </row>
    <row r="517" spans="16:18" ht="14.25" customHeight="1" x14ac:dyDescent="0.25">
      <c r="P517" s="19"/>
      <c r="Q517" s="19"/>
      <c r="R517" s="19"/>
    </row>
    <row r="518" spans="16:18" ht="14.25" customHeight="1" x14ac:dyDescent="0.25">
      <c r="P518" s="19"/>
      <c r="Q518" s="19"/>
      <c r="R518" s="19"/>
    </row>
    <row r="519" spans="16:18" ht="14.25" customHeight="1" x14ac:dyDescent="0.25">
      <c r="P519" s="19"/>
      <c r="Q519" s="19"/>
      <c r="R519" s="19"/>
    </row>
    <row r="520" spans="16:18" ht="14.25" customHeight="1" x14ac:dyDescent="0.25">
      <c r="P520" s="19"/>
      <c r="Q520" s="19"/>
      <c r="R520" s="19"/>
    </row>
    <row r="521" spans="16:18" ht="14.25" customHeight="1" x14ac:dyDescent="0.25">
      <c r="P521" s="19"/>
      <c r="Q521" s="19"/>
      <c r="R521" s="19"/>
    </row>
    <row r="522" spans="16:18" ht="14.25" customHeight="1" x14ac:dyDescent="0.25">
      <c r="P522" s="19"/>
      <c r="Q522" s="19"/>
      <c r="R522" s="19"/>
    </row>
    <row r="523" spans="16:18" ht="14.25" customHeight="1" x14ac:dyDescent="0.25">
      <c r="P523" s="19"/>
      <c r="Q523" s="19"/>
      <c r="R523" s="19"/>
    </row>
    <row r="524" spans="16:18" ht="14.25" customHeight="1" x14ac:dyDescent="0.25">
      <c r="P524" s="19"/>
      <c r="Q524" s="19"/>
      <c r="R524" s="19"/>
    </row>
    <row r="525" spans="16:18" ht="14.25" customHeight="1" x14ac:dyDescent="0.25">
      <c r="P525" s="19"/>
      <c r="Q525" s="19"/>
      <c r="R525" s="19"/>
    </row>
    <row r="526" spans="16:18" ht="14.25" customHeight="1" x14ac:dyDescent="0.25">
      <c r="P526" s="19"/>
      <c r="Q526" s="19"/>
      <c r="R526" s="19"/>
    </row>
    <row r="527" spans="16:18" ht="14.25" customHeight="1" x14ac:dyDescent="0.25">
      <c r="P527" s="19"/>
      <c r="Q527" s="19"/>
      <c r="R527" s="19"/>
    </row>
    <row r="528" spans="16:18" ht="14.25" customHeight="1" x14ac:dyDescent="0.25">
      <c r="P528" s="19"/>
      <c r="Q528" s="19"/>
      <c r="R528" s="19"/>
    </row>
    <row r="529" spans="16:18" ht="14.25" customHeight="1" x14ac:dyDescent="0.25">
      <c r="P529" s="19"/>
      <c r="Q529" s="19"/>
      <c r="R529" s="19"/>
    </row>
    <row r="530" spans="16:18" ht="14.25" customHeight="1" x14ac:dyDescent="0.25">
      <c r="P530" s="19"/>
      <c r="Q530" s="19"/>
      <c r="R530" s="19"/>
    </row>
    <row r="531" spans="16:18" ht="14.25" customHeight="1" x14ac:dyDescent="0.25">
      <c r="P531" s="19"/>
      <c r="Q531" s="19"/>
      <c r="R531" s="19"/>
    </row>
    <row r="532" spans="16:18" ht="14.25" customHeight="1" x14ac:dyDescent="0.25">
      <c r="P532" s="19"/>
      <c r="Q532" s="19"/>
      <c r="R532" s="19"/>
    </row>
    <row r="533" spans="16:18" ht="14.25" customHeight="1" x14ac:dyDescent="0.25">
      <c r="P533" s="19"/>
      <c r="Q533" s="19"/>
      <c r="R533" s="19"/>
    </row>
    <row r="534" spans="16:18" ht="14.25" customHeight="1" x14ac:dyDescent="0.25">
      <c r="P534" s="19"/>
      <c r="Q534" s="19"/>
      <c r="R534" s="19"/>
    </row>
    <row r="535" spans="16:18" ht="14.25" customHeight="1" x14ac:dyDescent="0.25">
      <c r="P535" s="19"/>
      <c r="Q535" s="19"/>
      <c r="R535" s="19"/>
    </row>
    <row r="536" spans="16:18" ht="14.25" customHeight="1" x14ac:dyDescent="0.25">
      <c r="P536" s="19"/>
      <c r="Q536" s="19"/>
      <c r="R536" s="19"/>
    </row>
    <row r="537" spans="16:18" ht="14.25" customHeight="1" x14ac:dyDescent="0.25">
      <c r="P537" s="19"/>
      <c r="Q537" s="19"/>
      <c r="R537" s="19"/>
    </row>
    <row r="538" spans="16:18" ht="14.25" customHeight="1" x14ac:dyDescent="0.25">
      <c r="P538" s="19"/>
      <c r="Q538" s="19"/>
      <c r="R538" s="19"/>
    </row>
    <row r="539" spans="16:18" ht="14.25" customHeight="1" x14ac:dyDescent="0.25">
      <c r="P539" s="19"/>
      <c r="Q539" s="19"/>
      <c r="R539" s="19"/>
    </row>
    <row r="540" spans="16:18" ht="14.25" customHeight="1" x14ac:dyDescent="0.25">
      <c r="P540" s="19"/>
      <c r="Q540" s="19"/>
      <c r="R540" s="19"/>
    </row>
    <row r="541" spans="16:18" ht="14.25" customHeight="1" x14ac:dyDescent="0.25">
      <c r="P541" s="19"/>
      <c r="Q541" s="19"/>
      <c r="R541" s="19"/>
    </row>
    <row r="542" spans="16:18" ht="14.25" customHeight="1" x14ac:dyDescent="0.25">
      <c r="P542" s="19"/>
      <c r="Q542" s="19"/>
      <c r="R542" s="19"/>
    </row>
    <row r="543" spans="16:18" ht="14.25" customHeight="1" x14ac:dyDescent="0.25">
      <c r="P543" s="19"/>
      <c r="Q543" s="19"/>
      <c r="R543" s="19"/>
    </row>
    <row r="544" spans="16:18" ht="14.25" customHeight="1" x14ac:dyDescent="0.25">
      <c r="P544" s="19"/>
      <c r="Q544" s="19"/>
      <c r="R544" s="19"/>
    </row>
    <row r="545" spans="16:18" ht="14.25" customHeight="1" x14ac:dyDescent="0.25">
      <c r="P545" s="19"/>
      <c r="Q545" s="19"/>
      <c r="R545" s="19"/>
    </row>
    <row r="546" spans="16:18" ht="14.25" customHeight="1" x14ac:dyDescent="0.25">
      <c r="P546" s="19"/>
      <c r="Q546" s="19"/>
      <c r="R546" s="19"/>
    </row>
    <row r="547" spans="16:18" ht="14.25" customHeight="1" x14ac:dyDescent="0.25">
      <c r="P547" s="19"/>
      <c r="Q547" s="19"/>
      <c r="R547" s="19"/>
    </row>
    <row r="548" spans="16:18" ht="14.25" customHeight="1" x14ac:dyDescent="0.25">
      <c r="P548" s="19"/>
      <c r="Q548" s="19"/>
      <c r="R548" s="19"/>
    </row>
    <row r="549" spans="16:18" ht="14.25" customHeight="1" x14ac:dyDescent="0.25">
      <c r="P549" s="19"/>
      <c r="Q549" s="19"/>
      <c r="R549" s="19"/>
    </row>
    <row r="550" spans="16:18" ht="14.25" customHeight="1" x14ac:dyDescent="0.25">
      <c r="P550" s="19"/>
      <c r="Q550" s="19"/>
      <c r="R550" s="19"/>
    </row>
    <row r="551" spans="16:18" ht="14.25" customHeight="1" x14ac:dyDescent="0.25">
      <c r="P551" s="19"/>
      <c r="Q551" s="19"/>
      <c r="R551" s="19"/>
    </row>
    <row r="552" spans="16:18" ht="14.25" customHeight="1" x14ac:dyDescent="0.25">
      <c r="P552" s="19"/>
      <c r="Q552" s="19"/>
      <c r="R552" s="19"/>
    </row>
    <row r="553" spans="16:18" ht="14.25" customHeight="1" x14ac:dyDescent="0.25">
      <c r="P553" s="19"/>
      <c r="Q553" s="19"/>
      <c r="R553" s="19"/>
    </row>
    <row r="554" spans="16:18" ht="14.25" customHeight="1" x14ac:dyDescent="0.25">
      <c r="P554" s="19"/>
      <c r="Q554" s="19"/>
      <c r="R554" s="19"/>
    </row>
    <row r="555" spans="16:18" ht="14.25" customHeight="1" x14ac:dyDescent="0.25">
      <c r="P555" s="19"/>
      <c r="Q555" s="19"/>
      <c r="R555" s="19"/>
    </row>
    <row r="556" spans="16:18" ht="14.25" customHeight="1" x14ac:dyDescent="0.25">
      <c r="P556" s="19"/>
      <c r="Q556" s="19"/>
      <c r="R556" s="19"/>
    </row>
    <row r="557" spans="16:18" ht="14.25" customHeight="1" x14ac:dyDescent="0.25">
      <c r="P557" s="19"/>
      <c r="Q557" s="19"/>
      <c r="R557" s="19"/>
    </row>
    <row r="558" spans="16:18" ht="14.25" customHeight="1" x14ac:dyDescent="0.25">
      <c r="P558" s="19"/>
      <c r="Q558" s="19"/>
      <c r="R558" s="19"/>
    </row>
    <row r="559" spans="16:18" ht="14.25" customHeight="1" x14ac:dyDescent="0.25">
      <c r="P559" s="19"/>
      <c r="Q559" s="19"/>
      <c r="R559" s="19"/>
    </row>
    <row r="560" spans="16:18" ht="14.25" customHeight="1" x14ac:dyDescent="0.25">
      <c r="P560" s="19"/>
      <c r="Q560" s="19"/>
      <c r="R560" s="19"/>
    </row>
    <row r="561" spans="16:18" ht="14.25" customHeight="1" x14ac:dyDescent="0.25">
      <c r="P561" s="19"/>
      <c r="Q561" s="19"/>
      <c r="R561" s="19"/>
    </row>
    <row r="562" spans="16:18" ht="14.25" customHeight="1" x14ac:dyDescent="0.25">
      <c r="P562" s="19"/>
      <c r="Q562" s="19"/>
      <c r="R562" s="19"/>
    </row>
    <row r="563" spans="16:18" ht="14.25" customHeight="1" x14ac:dyDescent="0.25">
      <c r="P563" s="19"/>
      <c r="Q563" s="19"/>
      <c r="R563" s="19"/>
    </row>
    <row r="564" spans="16:18" ht="14.25" customHeight="1" x14ac:dyDescent="0.25">
      <c r="P564" s="19"/>
      <c r="Q564" s="19"/>
      <c r="R564" s="19"/>
    </row>
    <row r="565" spans="16:18" ht="14.25" customHeight="1" x14ac:dyDescent="0.25">
      <c r="P565" s="19"/>
      <c r="Q565" s="19"/>
      <c r="R565" s="19"/>
    </row>
    <row r="566" spans="16:18" ht="14.25" customHeight="1" x14ac:dyDescent="0.25">
      <c r="P566" s="19"/>
      <c r="Q566" s="19"/>
      <c r="R566" s="19"/>
    </row>
    <row r="567" spans="16:18" ht="14.25" customHeight="1" x14ac:dyDescent="0.25">
      <c r="P567" s="19"/>
      <c r="Q567" s="19"/>
      <c r="R567" s="19"/>
    </row>
    <row r="568" spans="16:18" ht="14.25" customHeight="1" x14ac:dyDescent="0.25">
      <c r="P568" s="19"/>
      <c r="Q568" s="19"/>
      <c r="R568" s="19"/>
    </row>
    <row r="569" spans="16:18" ht="14.25" customHeight="1" x14ac:dyDescent="0.25">
      <c r="P569" s="19"/>
      <c r="Q569" s="19"/>
      <c r="R569" s="19"/>
    </row>
    <row r="570" spans="16:18" ht="14.25" customHeight="1" x14ac:dyDescent="0.25">
      <c r="P570" s="19"/>
      <c r="Q570" s="19"/>
      <c r="R570" s="19"/>
    </row>
    <row r="571" spans="16:18" ht="14.25" customHeight="1" x14ac:dyDescent="0.25">
      <c r="P571" s="19"/>
      <c r="Q571" s="19"/>
      <c r="R571" s="19"/>
    </row>
    <row r="572" spans="16:18" ht="14.25" customHeight="1" x14ac:dyDescent="0.25">
      <c r="P572" s="19"/>
      <c r="Q572" s="19"/>
      <c r="R572" s="19"/>
    </row>
    <row r="573" spans="16:18" ht="14.25" customHeight="1" x14ac:dyDescent="0.25">
      <c r="P573" s="19"/>
      <c r="Q573" s="19"/>
      <c r="R573" s="19"/>
    </row>
    <row r="574" spans="16:18" ht="14.25" customHeight="1" x14ac:dyDescent="0.25">
      <c r="P574" s="19"/>
      <c r="Q574" s="19"/>
      <c r="R574" s="19"/>
    </row>
    <row r="575" spans="16:18" ht="14.25" customHeight="1" x14ac:dyDescent="0.25">
      <c r="P575" s="19"/>
      <c r="Q575" s="19"/>
      <c r="R575" s="19"/>
    </row>
    <row r="576" spans="16:18" ht="14.25" customHeight="1" x14ac:dyDescent="0.25">
      <c r="P576" s="19"/>
      <c r="Q576" s="19"/>
      <c r="R576" s="19"/>
    </row>
    <row r="577" spans="16:18" ht="14.25" customHeight="1" x14ac:dyDescent="0.25">
      <c r="P577" s="19"/>
      <c r="Q577" s="19"/>
      <c r="R577" s="19"/>
    </row>
    <row r="578" spans="16:18" ht="14.25" customHeight="1" x14ac:dyDescent="0.25">
      <c r="P578" s="19"/>
      <c r="Q578" s="19"/>
      <c r="R578" s="19"/>
    </row>
    <row r="579" spans="16:18" ht="14.25" customHeight="1" x14ac:dyDescent="0.25">
      <c r="P579" s="19"/>
      <c r="Q579" s="19"/>
      <c r="R579" s="19"/>
    </row>
    <row r="580" spans="16:18" ht="14.25" customHeight="1" x14ac:dyDescent="0.25">
      <c r="P580" s="19"/>
      <c r="Q580" s="19"/>
      <c r="R580" s="19"/>
    </row>
    <row r="581" spans="16:18" ht="14.25" customHeight="1" x14ac:dyDescent="0.25">
      <c r="P581" s="19"/>
      <c r="Q581" s="19"/>
      <c r="R581" s="19"/>
    </row>
    <row r="582" spans="16:18" ht="14.25" customHeight="1" x14ac:dyDescent="0.25">
      <c r="P582" s="19"/>
      <c r="Q582" s="19"/>
      <c r="R582" s="19"/>
    </row>
    <row r="583" spans="16:18" ht="14.25" customHeight="1" x14ac:dyDescent="0.25">
      <c r="P583" s="19"/>
      <c r="Q583" s="19"/>
      <c r="R583" s="19"/>
    </row>
    <row r="584" spans="16:18" ht="14.25" customHeight="1" x14ac:dyDescent="0.25">
      <c r="P584" s="19"/>
      <c r="Q584" s="19"/>
      <c r="R584" s="19"/>
    </row>
    <row r="585" spans="16:18" ht="14.25" customHeight="1" x14ac:dyDescent="0.25">
      <c r="P585" s="19"/>
      <c r="Q585" s="19"/>
      <c r="R585" s="19"/>
    </row>
    <row r="586" spans="16:18" ht="14.25" customHeight="1" x14ac:dyDescent="0.25">
      <c r="P586" s="19"/>
      <c r="Q586" s="19"/>
      <c r="R586" s="19"/>
    </row>
    <row r="587" spans="16:18" ht="14.25" customHeight="1" x14ac:dyDescent="0.25">
      <c r="P587" s="19"/>
      <c r="Q587" s="19"/>
      <c r="R587" s="19"/>
    </row>
    <row r="588" spans="16:18" ht="14.25" customHeight="1" x14ac:dyDescent="0.25">
      <c r="P588" s="19"/>
      <c r="Q588" s="19"/>
      <c r="R588" s="19"/>
    </row>
    <row r="589" spans="16:18" ht="14.25" customHeight="1" x14ac:dyDescent="0.25">
      <c r="P589" s="19"/>
      <c r="Q589" s="19"/>
      <c r="R589" s="19"/>
    </row>
    <row r="590" spans="16:18" ht="14.25" customHeight="1" x14ac:dyDescent="0.25">
      <c r="P590" s="19"/>
      <c r="Q590" s="19"/>
      <c r="R590" s="19"/>
    </row>
    <row r="591" spans="16:18" ht="14.25" customHeight="1" x14ac:dyDescent="0.25">
      <c r="P591" s="19"/>
      <c r="Q591" s="19"/>
      <c r="R591" s="19"/>
    </row>
    <row r="592" spans="16:18" ht="14.25" customHeight="1" x14ac:dyDescent="0.25">
      <c r="P592" s="19"/>
      <c r="Q592" s="19"/>
      <c r="R592" s="19"/>
    </row>
    <row r="593" spans="16:18" ht="14.25" customHeight="1" x14ac:dyDescent="0.25">
      <c r="P593" s="19"/>
      <c r="Q593" s="19"/>
      <c r="R593" s="19"/>
    </row>
    <row r="594" spans="16:18" ht="14.25" customHeight="1" x14ac:dyDescent="0.25">
      <c r="P594" s="19"/>
      <c r="Q594" s="19"/>
      <c r="R594" s="19"/>
    </row>
    <row r="595" spans="16:18" ht="14.25" customHeight="1" x14ac:dyDescent="0.25">
      <c r="P595" s="19"/>
      <c r="Q595" s="19"/>
      <c r="R595" s="19"/>
    </row>
    <row r="596" spans="16:18" ht="14.25" customHeight="1" x14ac:dyDescent="0.25">
      <c r="P596" s="19"/>
      <c r="Q596" s="19"/>
      <c r="R596" s="19"/>
    </row>
    <row r="597" spans="16:18" ht="14.25" customHeight="1" x14ac:dyDescent="0.25">
      <c r="P597" s="19"/>
      <c r="Q597" s="19"/>
      <c r="R597" s="19"/>
    </row>
    <row r="598" spans="16:18" ht="14.25" customHeight="1" x14ac:dyDescent="0.25">
      <c r="P598" s="19"/>
      <c r="Q598" s="19"/>
      <c r="R598" s="19"/>
    </row>
    <row r="599" spans="16:18" ht="14.25" customHeight="1" x14ac:dyDescent="0.25">
      <c r="P599" s="19"/>
      <c r="Q599" s="19"/>
      <c r="R599" s="19"/>
    </row>
    <row r="600" spans="16:18" ht="14.25" customHeight="1" x14ac:dyDescent="0.25">
      <c r="P600" s="19"/>
      <c r="Q600" s="19"/>
      <c r="R600" s="19"/>
    </row>
    <row r="601" spans="16:18" ht="14.25" customHeight="1" x14ac:dyDescent="0.25">
      <c r="P601" s="19"/>
      <c r="Q601" s="19"/>
      <c r="R601" s="19"/>
    </row>
    <row r="602" spans="16:18" ht="14.25" customHeight="1" x14ac:dyDescent="0.25">
      <c r="P602" s="19"/>
      <c r="Q602" s="19"/>
      <c r="R602" s="19"/>
    </row>
    <row r="603" spans="16:18" ht="14.25" customHeight="1" x14ac:dyDescent="0.25">
      <c r="P603" s="19"/>
      <c r="Q603" s="19"/>
      <c r="R603" s="19"/>
    </row>
    <row r="604" spans="16:18" ht="14.25" customHeight="1" x14ac:dyDescent="0.25">
      <c r="P604" s="19"/>
      <c r="Q604" s="19"/>
      <c r="R604" s="19"/>
    </row>
    <row r="605" spans="16:18" ht="14.25" customHeight="1" x14ac:dyDescent="0.25">
      <c r="P605" s="19"/>
      <c r="Q605" s="19"/>
      <c r="R605" s="19"/>
    </row>
    <row r="606" spans="16:18" ht="14.25" customHeight="1" x14ac:dyDescent="0.25">
      <c r="P606" s="19"/>
      <c r="Q606" s="19"/>
      <c r="R606" s="19"/>
    </row>
    <row r="607" spans="16:18" ht="14.25" customHeight="1" x14ac:dyDescent="0.25">
      <c r="P607" s="19"/>
      <c r="Q607" s="19"/>
      <c r="R607" s="19"/>
    </row>
    <row r="608" spans="16:18" ht="14.25" customHeight="1" x14ac:dyDescent="0.25">
      <c r="P608" s="19"/>
      <c r="Q608" s="19"/>
      <c r="R608" s="19"/>
    </row>
    <row r="609" spans="16:18" ht="14.25" customHeight="1" x14ac:dyDescent="0.25">
      <c r="P609" s="19"/>
      <c r="Q609" s="19"/>
      <c r="R609" s="19"/>
    </row>
    <row r="610" spans="16:18" ht="14.25" customHeight="1" x14ac:dyDescent="0.25">
      <c r="P610" s="19"/>
      <c r="Q610" s="19"/>
      <c r="R610" s="19"/>
    </row>
    <row r="611" spans="16:18" ht="14.25" customHeight="1" x14ac:dyDescent="0.25">
      <c r="P611" s="19"/>
      <c r="Q611" s="19"/>
      <c r="R611" s="19"/>
    </row>
    <row r="612" spans="16:18" ht="14.25" customHeight="1" x14ac:dyDescent="0.25">
      <c r="P612" s="19"/>
      <c r="Q612" s="19"/>
      <c r="R612" s="19"/>
    </row>
    <row r="613" spans="16:18" ht="14.25" customHeight="1" x14ac:dyDescent="0.25">
      <c r="P613" s="19"/>
      <c r="Q613" s="19"/>
      <c r="R613" s="19"/>
    </row>
    <row r="614" spans="16:18" ht="14.25" customHeight="1" x14ac:dyDescent="0.25">
      <c r="P614" s="19"/>
      <c r="Q614" s="19"/>
      <c r="R614" s="19"/>
    </row>
    <row r="615" spans="16:18" ht="14.25" customHeight="1" x14ac:dyDescent="0.25">
      <c r="P615" s="19"/>
      <c r="Q615" s="19"/>
      <c r="R615" s="19"/>
    </row>
    <row r="616" spans="16:18" ht="14.25" customHeight="1" x14ac:dyDescent="0.25">
      <c r="P616" s="19"/>
      <c r="Q616" s="19"/>
      <c r="R616" s="19"/>
    </row>
    <row r="617" spans="16:18" ht="14.25" customHeight="1" x14ac:dyDescent="0.25">
      <c r="P617" s="19"/>
      <c r="Q617" s="19"/>
      <c r="R617" s="19"/>
    </row>
    <row r="618" spans="16:18" ht="14.25" customHeight="1" x14ac:dyDescent="0.25">
      <c r="P618" s="19"/>
      <c r="Q618" s="19"/>
      <c r="R618" s="19"/>
    </row>
    <row r="619" spans="16:18" ht="14.25" customHeight="1" x14ac:dyDescent="0.25">
      <c r="P619" s="19"/>
      <c r="Q619" s="19"/>
      <c r="R619" s="19"/>
    </row>
    <row r="620" spans="16:18" ht="14.25" customHeight="1" x14ac:dyDescent="0.25">
      <c r="P620" s="19"/>
      <c r="Q620" s="19"/>
      <c r="R620" s="19"/>
    </row>
    <row r="621" spans="16:18" ht="14.25" customHeight="1" x14ac:dyDescent="0.25">
      <c r="P621" s="19"/>
      <c r="Q621" s="19"/>
      <c r="R621" s="19"/>
    </row>
    <row r="622" spans="16:18" ht="14.25" customHeight="1" x14ac:dyDescent="0.25">
      <c r="P622" s="19"/>
      <c r="Q622" s="19"/>
      <c r="R622" s="19"/>
    </row>
    <row r="623" spans="16:18" ht="14.25" customHeight="1" x14ac:dyDescent="0.25">
      <c r="P623" s="19"/>
      <c r="Q623" s="19"/>
      <c r="R623" s="19"/>
    </row>
    <row r="624" spans="16:18" ht="14.25" customHeight="1" x14ac:dyDescent="0.25">
      <c r="P624" s="19"/>
      <c r="Q624" s="19"/>
      <c r="R624" s="19"/>
    </row>
    <row r="625" spans="16:18" ht="14.25" customHeight="1" x14ac:dyDescent="0.25">
      <c r="P625" s="19"/>
      <c r="Q625" s="19"/>
      <c r="R625" s="19"/>
    </row>
    <row r="626" spans="16:18" ht="14.25" customHeight="1" x14ac:dyDescent="0.25">
      <c r="P626" s="19"/>
      <c r="Q626" s="19"/>
      <c r="R626" s="19"/>
    </row>
    <row r="627" spans="16:18" ht="14.25" customHeight="1" x14ac:dyDescent="0.25">
      <c r="P627" s="19"/>
      <c r="Q627" s="19"/>
      <c r="R627" s="19"/>
    </row>
    <row r="628" spans="16:18" ht="14.25" customHeight="1" x14ac:dyDescent="0.25">
      <c r="P628" s="19"/>
      <c r="Q628" s="19"/>
      <c r="R628" s="19"/>
    </row>
    <row r="629" spans="16:18" ht="14.25" customHeight="1" x14ac:dyDescent="0.25">
      <c r="P629" s="19"/>
      <c r="Q629" s="19"/>
      <c r="R629" s="19"/>
    </row>
    <row r="630" spans="16:18" ht="14.25" customHeight="1" x14ac:dyDescent="0.25">
      <c r="P630" s="19"/>
      <c r="Q630" s="19"/>
      <c r="R630" s="19"/>
    </row>
    <row r="631" spans="16:18" ht="14.25" customHeight="1" x14ac:dyDescent="0.25">
      <c r="P631" s="19"/>
      <c r="Q631" s="19"/>
      <c r="R631" s="19"/>
    </row>
    <row r="632" spans="16:18" ht="14.25" customHeight="1" x14ac:dyDescent="0.25">
      <c r="P632" s="19"/>
      <c r="Q632" s="19"/>
      <c r="R632" s="19"/>
    </row>
    <row r="633" spans="16:18" ht="14.25" customHeight="1" x14ac:dyDescent="0.25">
      <c r="P633" s="19"/>
      <c r="Q633" s="19"/>
      <c r="R633" s="19"/>
    </row>
    <row r="634" spans="16:18" ht="14.25" customHeight="1" x14ac:dyDescent="0.25">
      <c r="P634" s="19"/>
      <c r="Q634" s="19"/>
      <c r="R634" s="19"/>
    </row>
    <row r="635" spans="16:18" ht="14.25" customHeight="1" x14ac:dyDescent="0.25">
      <c r="P635" s="19"/>
      <c r="Q635" s="19"/>
      <c r="R635" s="19"/>
    </row>
    <row r="636" spans="16:18" ht="14.25" customHeight="1" x14ac:dyDescent="0.25">
      <c r="P636" s="19"/>
      <c r="Q636" s="19"/>
      <c r="R636" s="19"/>
    </row>
    <row r="637" spans="16:18" ht="14.25" customHeight="1" x14ac:dyDescent="0.25">
      <c r="P637" s="19"/>
      <c r="Q637" s="19"/>
      <c r="R637" s="19"/>
    </row>
    <row r="638" spans="16:18" ht="14.25" customHeight="1" x14ac:dyDescent="0.25">
      <c r="P638" s="19"/>
      <c r="Q638" s="19"/>
      <c r="R638" s="19"/>
    </row>
    <row r="639" spans="16:18" ht="14.25" customHeight="1" x14ac:dyDescent="0.25">
      <c r="P639" s="19"/>
      <c r="Q639" s="19"/>
      <c r="R639" s="19"/>
    </row>
    <row r="640" spans="16:18" ht="14.25" customHeight="1" x14ac:dyDescent="0.25">
      <c r="P640" s="19"/>
      <c r="Q640" s="19"/>
      <c r="R640" s="19"/>
    </row>
    <row r="641" spans="16:18" ht="14.25" customHeight="1" x14ac:dyDescent="0.25">
      <c r="P641" s="19"/>
      <c r="Q641" s="19"/>
      <c r="R641" s="19"/>
    </row>
    <row r="642" spans="16:18" ht="14.25" customHeight="1" x14ac:dyDescent="0.25">
      <c r="P642" s="19"/>
      <c r="Q642" s="19"/>
      <c r="R642" s="19"/>
    </row>
    <row r="643" spans="16:18" ht="14.25" customHeight="1" x14ac:dyDescent="0.25">
      <c r="P643" s="19"/>
      <c r="Q643" s="19"/>
      <c r="R643" s="19"/>
    </row>
    <row r="644" spans="16:18" ht="14.25" customHeight="1" x14ac:dyDescent="0.25">
      <c r="P644" s="19"/>
      <c r="Q644" s="19"/>
      <c r="R644" s="19"/>
    </row>
    <row r="645" spans="16:18" ht="14.25" customHeight="1" x14ac:dyDescent="0.25">
      <c r="P645" s="19"/>
      <c r="Q645" s="19"/>
      <c r="R645" s="19"/>
    </row>
    <row r="646" spans="16:18" ht="14.25" customHeight="1" x14ac:dyDescent="0.25">
      <c r="P646" s="19"/>
      <c r="Q646" s="19"/>
      <c r="R646" s="19"/>
    </row>
    <row r="647" spans="16:18" ht="14.25" customHeight="1" x14ac:dyDescent="0.25">
      <c r="P647" s="19"/>
      <c r="Q647" s="19"/>
      <c r="R647" s="19"/>
    </row>
    <row r="648" spans="16:18" ht="14.25" customHeight="1" x14ac:dyDescent="0.25">
      <c r="P648" s="19"/>
      <c r="Q648" s="19"/>
      <c r="R648" s="19"/>
    </row>
    <row r="649" spans="16:18" ht="14.25" customHeight="1" x14ac:dyDescent="0.25">
      <c r="P649" s="19"/>
      <c r="Q649" s="19"/>
      <c r="R649" s="19"/>
    </row>
    <row r="650" spans="16:18" ht="14.25" customHeight="1" x14ac:dyDescent="0.25">
      <c r="P650" s="19"/>
      <c r="Q650" s="19"/>
      <c r="R650" s="19"/>
    </row>
    <row r="651" spans="16:18" ht="14.25" customHeight="1" x14ac:dyDescent="0.25">
      <c r="P651" s="19"/>
      <c r="Q651" s="19"/>
      <c r="R651" s="19"/>
    </row>
    <row r="652" spans="16:18" ht="14.25" customHeight="1" x14ac:dyDescent="0.25">
      <c r="P652" s="19"/>
      <c r="Q652" s="19"/>
      <c r="R652" s="19"/>
    </row>
    <row r="653" spans="16:18" ht="14.25" customHeight="1" x14ac:dyDescent="0.25">
      <c r="P653" s="19"/>
      <c r="Q653" s="19"/>
      <c r="R653" s="19"/>
    </row>
    <row r="654" spans="16:18" ht="14.25" customHeight="1" x14ac:dyDescent="0.25">
      <c r="P654" s="19"/>
      <c r="Q654" s="19"/>
      <c r="R654" s="19"/>
    </row>
    <row r="655" spans="16:18" ht="14.25" customHeight="1" x14ac:dyDescent="0.25">
      <c r="P655" s="19"/>
      <c r="Q655" s="19"/>
      <c r="R655" s="19"/>
    </row>
    <row r="656" spans="16:18" ht="14.25" customHeight="1" x14ac:dyDescent="0.25">
      <c r="P656" s="19"/>
      <c r="Q656" s="19"/>
      <c r="R656" s="19"/>
    </row>
    <row r="657" spans="16:18" ht="14.25" customHeight="1" x14ac:dyDescent="0.25">
      <c r="P657" s="19"/>
      <c r="Q657" s="19"/>
      <c r="R657" s="19"/>
    </row>
    <row r="658" spans="16:18" ht="14.25" customHeight="1" x14ac:dyDescent="0.25">
      <c r="P658" s="19"/>
      <c r="Q658" s="19"/>
      <c r="R658" s="19"/>
    </row>
    <row r="659" spans="16:18" ht="14.25" customHeight="1" x14ac:dyDescent="0.25">
      <c r="P659" s="19"/>
      <c r="Q659" s="19"/>
      <c r="R659" s="19"/>
    </row>
    <row r="660" spans="16:18" ht="14.25" customHeight="1" x14ac:dyDescent="0.25">
      <c r="P660" s="19"/>
      <c r="Q660" s="19"/>
      <c r="R660" s="19"/>
    </row>
    <row r="661" spans="16:18" ht="14.25" customHeight="1" x14ac:dyDescent="0.25">
      <c r="P661" s="19"/>
      <c r="Q661" s="19"/>
      <c r="R661" s="19"/>
    </row>
    <row r="662" spans="16:18" ht="14.25" customHeight="1" x14ac:dyDescent="0.25">
      <c r="P662" s="19"/>
      <c r="Q662" s="19"/>
      <c r="R662" s="19"/>
    </row>
    <row r="663" spans="16:18" ht="14.25" customHeight="1" x14ac:dyDescent="0.25">
      <c r="P663" s="19"/>
      <c r="Q663" s="19"/>
      <c r="R663" s="19"/>
    </row>
    <row r="664" spans="16:18" ht="14.25" customHeight="1" x14ac:dyDescent="0.25">
      <c r="P664" s="19"/>
      <c r="Q664" s="19"/>
      <c r="R664" s="19"/>
    </row>
    <row r="665" spans="16:18" ht="14.25" customHeight="1" x14ac:dyDescent="0.25">
      <c r="P665" s="19"/>
      <c r="Q665" s="19"/>
      <c r="R665" s="19"/>
    </row>
    <row r="666" spans="16:18" ht="14.25" customHeight="1" x14ac:dyDescent="0.25">
      <c r="P666" s="19"/>
      <c r="Q666" s="19"/>
      <c r="R666" s="19"/>
    </row>
    <row r="667" spans="16:18" ht="14.25" customHeight="1" x14ac:dyDescent="0.25">
      <c r="P667" s="19"/>
      <c r="Q667" s="19"/>
      <c r="R667" s="19"/>
    </row>
    <row r="668" spans="16:18" ht="14.25" customHeight="1" x14ac:dyDescent="0.25">
      <c r="P668" s="19"/>
      <c r="Q668" s="19"/>
      <c r="R668" s="19"/>
    </row>
    <row r="669" spans="16:18" ht="14.25" customHeight="1" x14ac:dyDescent="0.25">
      <c r="P669" s="19"/>
      <c r="Q669" s="19"/>
      <c r="R669" s="19"/>
    </row>
    <row r="670" spans="16:18" ht="14.25" customHeight="1" x14ac:dyDescent="0.25">
      <c r="P670" s="19"/>
      <c r="Q670" s="19"/>
      <c r="R670" s="19"/>
    </row>
    <row r="671" spans="16:18" ht="14.25" customHeight="1" x14ac:dyDescent="0.25">
      <c r="P671" s="19"/>
      <c r="Q671" s="19"/>
      <c r="R671" s="19"/>
    </row>
    <row r="672" spans="16:18" ht="14.25" customHeight="1" x14ac:dyDescent="0.25">
      <c r="P672" s="19"/>
      <c r="Q672" s="19"/>
      <c r="R672" s="19"/>
    </row>
    <row r="673" spans="16:18" ht="14.25" customHeight="1" x14ac:dyDescent="0.25">
      <c r="P673" s="19"/>
      <c r="Q673" s="19"/>
      <c r="R673" s="19"/>
    </row>
    <row r="674" spans="16:18" ht="14.25" customHeight="1" x14ac:dyDescent="0.25">
      <c r="P674" s="19"/>
      <c r="Q674" s="19"/>
      <c r="R674" s="19"/>
    </row>
    <row r="675" spans="16:18" ht="14.25" customHeight="1" x14ac:dyDescent="0.25">
      <c r="P675" s="19"/>
      <c r="Q675" s="19"/>
      <c r="R675" s="19"/>
    </row>
    <row r="676" spans="16:18" ht="14.25" customHeight="1" x14ac:dyDescent="0.25">
      <c r="P676" s="19"/>
      <c r="Q676" s="19"/>
      <c r="R676" s="19"/>
    </row>
    <row r="677" spans="16:18" ht="14.25" customHeight="1" x14ac:dyDescent="0.25">
      <c r="P677" s="19"/>
      <c r="Q677" s="19"/>
      <c r="R677" s="19"/>
    </row>
    <row r="678" spans="16:18" ht="14.25" customHeight="1" x14ac:dyDescent="0.25">
      <c r="P678" s="19"/>
      <c r="Q678" s="19"/>
      <c r="R678" s="19"/>
    </row>
    <row r="679" spans="16:18" ht="14.25" customHeight="1" x14ac:dyDescent="0.25">
      <c r="P679" s="19"/>
      <c r="Q679" s="19"/>
      <c r="R679" s="19"/>
    </row>
    <row r="680" spans="16:18" ht="14.25" customHeight="1" x14ac:dyDescent="0.25">
      <c r="P680" s="19"/>
      <c r="Q680" s="19"/>
      <c r="R680" s="19"/>
    </row>
    <row r="681" spans="16:18" ht="14.25" customHeight="1" x14ac:dyDescent="0.25">
      <c r="P681" s="19"/>
      <c r="Q681" s="19"/>
      <c r="R681" s="19"/>
    </row>
    <row r="682" spans="16:18" ht="14.25" customHeight="1" x14ac:dyDescent="0.25">
      <c r="P682" s="19"/>
      <c r="Q682" s="19"/>
      <c r="R682" s="19"/>
    </row>
    <row r="683" spans="16:18" ht="14.25" customHeight="1" x14ac:dyDescent="0.25">
      <c r="P683" s="19"/>
      <c r="Q683" s="19"/>
      <c r="R683" s="19"/>
    </row>
    <row r="684" spans="16:18" ht="14.25" customHeight="1" x14ac:dyDescent="0.25">
      <c r="P684" s="19"/>
      <c r="Q684" s="19"/>
      <c r="R684" s="19"/>
    </row>
    <row r="685" spans="16:18" ht="14.25" customHeight="1" x14ac:dyDescent="0.25">
      <c r="P685" s="19"/>
      <c r="Q685" s="19"/>
      <c r="R685" s="19"/>
    </row>
    <row r="686" spans="16:18" ht="14.25" customHeight="1" x14ac:dyDescent="0.25">
      <c r="P686" s="19"/>
      <c r="Q686" s="19"/>
      <c r="R686" s="19"/>
    </row>
    <row r="687" spans="16:18" ht="14.25" customHeight="1" x14ac:dyDescent="0.25">
      <c r="P687" s="19"/>
      <c r="Q687" s="19"/>
      <c r="R687" s="19"/>
    </row>
    <row r="688" spans="16:18" ht="14.25" customHeight="1" x14ac:dyDescent="0.25">
      <c r="P688" s="19"/>
      <c r="Q688" s="19"/>
      <c r="R688" s="19"/>
    </row>
    <row r="689" spans="16:18" ht="14.25" customHeight="1" x14ac:dyDescent="0.25">
      <c r="P689" s="19"/>
      <c r="Q689" s="19"/>
      <c r="R689" s="19"/>
    </row>
    <row r="690" spans="16:18" ht="14.25" customHeight="1" x14ac:dyDescent="0.25">
      <c r="P690" s="19"/>
      <c r="Q690" s="19"/>
      <c r="R690" s="19"/>
    </row>
    <row r="691" spans="16:18" ht="14.25" customHeight="1" x14ac:dyDescent="0.25">
      <c r="P691" s="19"/>
      <c r="Q691" s="19"/>
      <c r="R691" s="19"/>
    </row>
    <row r="692" spans="16:18" ht="14.25" customHeight="1" x14ac:dyDescent="0.25">
      <c r="P692" s="19"/>
      <c r="Q692" s="19"/>
      <c r="R692" s="19"/>
    </row>
    <row r="693" spans="16:18" ht="14.25" customHeight="1" x14ac:dyDescent="0.25">
      <c r="P693" s="19"/>
      <c r="Q693" s="19"/>
      <c r="R693" s="19"/>
    </row>
    <row r="694" spans="16:18" ht="14.25" customHeight="1" x14ac:dyDescent="0.25">
      <c r="P694" s="19"/>
      <c r="Q694" s="19"/>
      <c r="R694" s="19"/>
    </row>
    <row r="695" spans="16:18" ht="14.25" customHeight="1" x14ac:dyDescent="0.25">
      <c r="P695" s="19"/>
      <c r="Q695" s="19"/>
      <c r="R695" s="19"/>
    </row>
    <row r="696" spans="16:18" ht="14.25" customHeight="1" x14ac:dyDescent="0.25">
      <c r="P696" s="19"/>
      <c r="Q696" s="19"/>
      <c r="R696" s="19"/>
    </row>
    <row r="697" spans="16:18" ht="14.25" customHeight="1" x14ac:dyDescent="0.25">
      <c r="P697" s="19"/>
      <c r="Q697" s="19"/>
      <c r="R697" s="19"/>
    </row>
    <row r="698" spans="16:18" ht="14.25" customHeight="1" x14ac:dyDescent="0.25">
      <c r="P698" s="19"/>
      <c r="Q698" s="19"/>
      <c r="R698" s="19"/>
    </row>
    <row r="699" spans="16:18" ht="14.25" customHeight="1" x14ac:dyDescent="0.25">
      <c r="P699" s="19"/>
      <c r="Q699" s="19"/>
      <c r="R699" s="19"/>
    </row>
    <row r="700" spans="16:18" ht="14.25" customHeight="1" x14ac:dyDescent="0.25">
      <c r="P700" s="19"/>
      <c r="Q700" s="19"/>
      <c r="R700" s="19"/>
    </row>
    <row r="701" spans="16:18" ht="14.25" customHeight="1" x14ac:dyDescent="0.25">
      <c r="P701" s="19"/>
      <c r="Q701" s="19"/>
      <c r="R701" s="19"/>
    </row>
    <row r="702" spans="16:18" ht="14.25" customHeight="1" x14ac:dyDescent="0.25">
      <c r="P702" s="19"/>
      <c r="Q702" s="19"/>
      <c r="R702" s="19"/>
    </row>
    <row r="703" spans="16:18" ht="14.25" customHeight="1" x14ac:dyDescent="0.25">
      <c r="P703" s="19"/>
      <c r="Q703" s="19"/>
      <c r="R703" s="19"/>
    </row>
    <row r="704" spans="16:18" ht="14.25" customHeight="1" x14ac:dyDescent="0.25">
      <c r="P704" s="19"/>
      <c r="Q704" s="19"/>
      <c r="R704" s="19"/>
    </row>
    <row r="705" spans="16:18" ht="14.25" customHeight="1" x14ac:dyDescent="0.25">
      <c r="P705" s="19"/>
      <c r="Q705" s="19"/>
      <c r="R705" s="19"/>
    </row>
    <row r="706" spans="16:18" ht="14.25" customHeight="1" x14ac:dyDescent="0.25">
      <c r="P706" s="19"/>
      <c r="Q706" s="19"/>
      <c r="R706" s="19"/>
    </row>
    <row r="707" spans="16:18" ht="14.25" customHeight="1" x14ac:dyDescent="0.25">
      <c r="P707" s="19"/>
      <c r="Q707" s="19"/>
      <c r="R707" s="19"/>
    </row>
    <row r="708" spans="16:18" ht="14.25" customHeight="1" x14ac:dyDescent="0.25">
      <c r="P708" s="19"/>
      <c r="Q708" s="19"/>
      <c r="R708" s="19"/>
    </row>
    <row r="709" spans="16:18" ht="14.25" customHeight="1" x14ac:dyDescent="0.25">
      <c r="P709" s="19"/>
      <c r="Q709" s="19"/>
      <c r="R709" s="19"/>
    </row>
    <row r="710" spans="16:18" ht="14.25" customHeight="1" x14ac:dyDescent="0.25">
      <c r="P710" s="19"/>
      <c r="Q710" s="19"/>
      <c r="R710" s="19"/>
    </row>
    <row r="711" spans="16:18" ht="14.25" customHeight="1" x14ac:dyDescent="0.25">
      <c r="P711" s="19"/>
      <c r="Q711" s="19"/>
      <c r="R711" s="19"/>
    </row>
    <row r="712" spans="16:18" ht="14.25" customHeight="1" x14ac:dyDescent="0.25">
      <c r="P712" s="19"/>
      <c r="Q712" s="19"/>
      <c r="R712" s="19"/>
    </row>
    <row r="713" spans="16:18" ht="14.25" customHeight="1" x14ac:dyDescent="0.25">
      <c r="P713" s="19"/>
      <c r="Q713" s="19"/>
      <c r="R713" s="19"/>
    </row>
    <row r="714" spans="16:18" ht="14.25" customHeight="1" x14ac:dyDescent="0.25">
      <c r="P714" s="19"/>
      <c r="Q714" s="19"/>
      <c r="R714" s="19"/>
    </row>
    <row r="715" spans="16:18" ht="14.25" customHeight="1" x14ac:dyDescent="0.25">
      <c r="P715" s="19"/>
      <c r="Q715" s="19"/>
      <c r="R715" s="19"/>
    </row>
    <row r="716" spans="16:18" ht="14.25" customHeight="1" x14ac:dyDescent="0.25">
      <c r="P716" s="19"/>
      <c r="Q716" s="19"/>
      <c r="R716" s="19"/>
    </row>
    <row r="717" spans="16:18" ht="14.25" customHeight="1" x14ac:dyDescent="0.25">
      <c r="P717" s="19"/>
      <c r="Q717" s="19"/>
      <c r="R717" s="19"/>
    </row>
    <row r="718" spans="16:18" ht="14.25" customHeight="1" x14ac:dyDescent="0.25">
      <c r="P718" s="19"/>
      <c r="Q718" s="19"/>
      <c r="R718" s="19"/>
    </row>
    <row r="719" spans="16:18" ht="14.25" customHeight="1" x14ac:dyDescent="0.25">
      <c r="P719" s="19"/>
      <c r="Q719" s="19"/>
      <c r="R719" s="19"/>
    </row>
    <row r="720" spans="16:18" ht="14.25" customHeight="1" x14ac:dyDescent="0.25">
      <c r="P720" s="19"/>
      <c r="Q720" s="19"/>
      <c r="R720" s="19"/>
    </row>
    <row r="721" spans="16:18" ht="14.25" customHeight="1" x14ac:dyDescent="0.25">
      <c r="P721" s="19"/>
      <c r="Q721" s="19"/>
      <c r="R721" s="19"/>
    </row>
    <row r="722" spans="16:18" ht="14.25" customHeight="1" x14ac:dyDescent="0.25">
      <c r="P722" s="19"/>
      <c r="Q722" s="19"/>
      <c r="R722" s="19"/>
    </row>
    <row r="723" spans="16:18" ht="14.25" customHeight="1" x14ac:dyDescent="0.25">
      <c r="P723" s="19"/>
      <c r="Q723" s="19"/>
      <c r="R723" s="19"/>
    </row>
    <row r="724" spans="16:18" ht="14.25" customHeight="1" x14ac:dyDescent="0.25">
      <c r="P724" s="19"/>
      <c r="Q724" s="19"/>
      <c r="R724" s="19"/>
    </row>
    <row r="725" spans="16:18" ht="14.25" customHeight="1" x14ac:dyDescent="0.25">
      <c r="P725" s="19"/>
      <c r="Q725" s="19"/>
      <c r="R725" s="19"/>
    </row>
    <row r="726" spans="16:18" ht="14.25" customHeight="1" x14ac:dyDescent="0.25">
      <c r="P726" s="19"/>
      <c r="Q726" s="19"/>
      <c r="R726" s="19"/>
    </row>
    <row r="727" spans="16:18" ht="14.25" customHeight="1" x14ac:dyDescent="0.25">
      <c r="P727" s="19"/>
      <c r="Q727" s="19"/>
      <c r="R727" s="19"/>
    </row>
    <row r="728" spans="16:18" ht="14.25" customHeight="1" x14ac:dyDescent="0.25">
      <c r="P728" s="19"/>
      <c r="Q728" s="19"/>
      <c r="R728" s="19"/>
    </row>
    <row r="729" spans="16:18" ht="14.25" customHeight="1" x14ac:dyDescent="0.25">
      <c r="P729" s="19"/>
      <c r="Q729" s="19"/>
      <c r="R729" s="19"/>
    </row>
    <row r="730" spans="16:18" ht="14.25" customHeight="1" x14ac:dyDescent="0.25">
      <c r="P730" s="19"/>
      <c r="Q730" s="19"/>
      <c r="R730" s="19"/>
    </row>
    <row r="731" spans="16:18" ht="14.25" customHeight="1" x14ac:dyDescent="0.25">
      <c r="P731" s="19"/>
      <c r="Q731" s="19"/>
      <c r="R731" s="19"/>
    </row>
    <row r="732" spans="16:18" ht="14.25" customHeight="1" x14ac:dyDescent="0.25">
      <c r="P732" s="19"/>
      <c r="Q732" s="19"/>
      <c r="R732" s="19"/>
    </row>
    <row r="733" spans="16:18" ht="14.25" customHeight="1" x14ac:dyDescent="0.25">
      <c r="P733" s="19"/>
      <c r="Q733" s="19"/>
      <c r="R733" s="19"/>
    </row>
    <row r="734" spans="16:18" ht="14.25" customHeight="1" x14ac:dyDescent="0.25">
      <c r="P734" s="19"/>
      <c r="Q734" s="19"/>
      <c r="R734" s="19"/>
    </row>
    <row r="735" spans="16:18" ht="14.25" customHeight="1" x14ac:dyDescent="0.25">
      <c r="P735" s="19"/>
      <c r="Q735" s="19"/>
      <c r="R735" s="19"/>
    </row>
    <row r="736" spans="16:18" ht="14.25" customHeight="1" x14ac:dyDescent="0.25">
      <c r="P736" s="19"/>
      <c r="Q736" s="19"/>
      <c r="R736" s="19"/>
    </row>
    <row r="737" spans="16:18" ht="14.25" customHeight="1" x14ac:dyDescent="0.25">
      <c r="P737" s="19"/>
      <c r="Q737" s="19"/>
      <c r="R737" s="19"/>
    </row>
    <row r="738" spans="16:18" ht="14.25" customHeight="1" x14ac:dyDescent="0.25">
      <c r="P738" s="19"/>
      <c r="Q738" s="19"/>
      <c r="R738" s="19"/>
    </row>
    <row r="739" spans="16:18" ht="14.25" customHeight="1" x14ac:dyDescent="0.25">
      <c r="P739" s="19"/>
      <c r="Q739" s="19"/>
      <c r="R739" s="19"/>
    </row>
    <row r="740" spans="16:18" ht="14.25" customHeight="1" x14ac:dyDescent="0.25">
      <c r="P740" s="19"/>
      <c r="Q740" s="19"/>
      <c r="R740" s="19"/>
    </row>
    <row r="741" spans="16:18" ht="14.25" customHeight="1" x14ac:dyDescent="0.25">
      <c r="P741" s="19"/>
      <c r="Q741" s="19"/>
      <c r="R741" s="19"/>
    </row>
    <row r="742" spans="16:18" ht="14.25" customHeight="1" x14ac:dyDescent="0.25">
      <c r="P742" s="19"/>
      <c r="Q742" s="19"/>
      <c r="R742" s="19"/>
    </row>
    <row r="743" spans="16:18" ht="14.25" customHeight="1" x14ac:dyDescent="0.25">
      <c r="P743" s="19"/>
      <c r="Q743" s="19"/>
      <c r="R743" s="19"/>
    </row>
    <row r="744" spans="16:18" ht="14.25" customHeight="1" x14ac:dyDescent="0.25">
      <c r="P744" s="19"/>
      <c r="Q744" s="19"/>
      <c r="R744" s="19"/>
    </row>
    <row r="745" spans="16:18" ht="14.25" customHeight="1" x14ac:dyDescent="0.25">
      <c r="P745" s="19"/>
      <c r="Q745" s="19"/>
      <c r="R745" s="19"/>
    </row>
    <row r="746" spans="16:18" ht="14.25" customHeight="1" x14ac:dyDescent="0.25">
      <c r="P746" s="19"/>
      <c r="Q746" s="19"/>
      <c r="R746" s="19"/>
    </row>
    <row r="747" spans="16:18" ht="14.25" customHeight="1" x14ac:dyDescent="0.25">
      <c r="P747" s="19"/>
      <c r="Q747" s="19"/>
      <c r="R747" s="19"/>
    </row>
    <row r="748" spans="16:18" ht="14.25" customHeight="1" x14ac:dyDescent="0.25">
      <c r="P748" s="19"/>
      <c r="Q748" s="19"/>
      <c r="R748" s="19"/>
    </row>
    <row r="749" spans="16:18" ht="14.25" customHeight="1" x14ac:dyDescent="0.25">
      <c r="P749" s="19"/>
      <c r="Q749" s="19"/>
      <c r="R749" s="19"/>
    </row>
    <row r="750" spans="16:18" ht="14.25" customHeight="1" x14ac:dyDescent="0.25">
      <c r="P750" s="19"/>
      <c r="Q750" s="19"/>
      <c r="R750" s="19"/>
    </row>
    <row r="751" spans="16:18" ht="14.25" customHeight="1" x14ac:dyDescent="0.25">
      <c r="P751" s="19"/>
      <c r="Q751" s="19"/>
      <c r="R751" s="19"/>
    </row>
    <row r="752" spans="16:18" ht="14.25" customHeight="1" x14ac:dyDescent="0.25">
      <c r="P752" s="19"/>
      <c r="Q752" s="19"/>
      <c r="R752" s="19"/>
    </row>
    <row r="753" spans="16:18" ht="14.25" customHeight="1" x14ac:dyDescent="0.25">
      <c r="P753" s="19"/>
      <c r="Q753" s="19"/>
      <c r="R753" s="19"/>
    </row>
    <row r="754" spans="16:18" ht="14.25" customHeight="1" x14ac:dyDescent="0.25">
      <c r="P754" s="19"/>
      <c r="Q754" s="19"/>
      <c r="R754" s="19"/>
    </row>
    <row r="755" spans="16:18" ht="14.25" customHeight="1" x14ac:dyDescent="0.25">
      <c r="P755" s="19"/>
      <c r="Q755" s="19"/>
      <c r="R755" s="19"/>
    </row>
    <row r="756" spans="16:18" ht="14.25" customHeight="1" x14ac:dyDescent="0.25">
      <c r="P756" s="19"/>
      <c r="Q756" s="19"/>
      <c r="R756" s="19"/>
    </row>
    <row r="757" spans="16:18" ht="14.25" customHeight="1" x14ac:dyDescent="0.25">
      <c r="P757" s="19"/>
      <c r="Q757" s="19"/>
      <c r="R757" s="19"/>
    </row>
    <row r="758" spans="16:18" ht="14.25" customHeight="1" x14ac:dyDescent="0.25">
      <c r="P758" s="19"/>
      <c r="Q758" s="19"/>
      <c r="R758" s="19"/>
    </row>
    <row r="759" spans="16:18" ht="14.25" customHeight="1" x14ac:dyDescent="0.25">
      <c r="P759" s="19"/>
      <c r="Q759" s="19"/>
      <c r="R759" s="19"/>
    </row>
    <row r="760" spans="16:18" ht="14.25" customHeight="1" x14ac:dyDescent="0.25">
      <c r="P760" s="19"/>
      <c r="Q760" s="19"/>
      <c r="R760" s="19"/>
    </row>
    <row r="761" spans="16:18" ht="14.25" customHeight="1" x14ac:dyDescent="0.25">
      <c r="P761" s="19"/>
      <c r="Q761" s="19"/>
      <c r="R761" s="19"/>
    </row>
    <row r="762" spans="16:18" ht="14.25" customHeight="1" x14ac:dyDescent="0.25">
      <c r="P762" s="19"/>
      <c r="Q762" s="19"/>
      <c r="R762" s="19"/>
    </row>
    <row r="763" spans="16:18" ht="14.25" customHeight="1" x14ac:dyDescent="0.25">
      <c r="P763" s="19"/>
      <c r="Q763" s="19"/>
      <c r="R763" s="19"/>
    </row>
    <row r="764" spans="16:18" ht="14.25" customHeight="1" x14ac:dyDescent="0.25">
      <c r="P764" s="19"/>
      <c r="Q764" s="19"/>
      <c r="R764" s="19"/>
    </row>
    <row r="765" spans="16:18" ht="14.25" customHeight="1" x14ac:dyDescent="0.25">
      <c r="P765" s="19"/>
      <c r="Q765" s="19"/>
      <c r="R765" s="19"/>
    </row>
    <row r="766" spans="16:18" ht="14.25" customHeight="1" x14ac:dyDescent="0.25">
      <c r="P766" s="19"/>
      <c r="Q766" s="19"/>
      <c r="R766" s="19"/>
    </row>
    <row r="767" spans="16:18" ht="14.25" customHeight="1" x14ac:dyDescent="0.25">
      <c r="P767" s="19"/>
      <c r="Q767" s="19"/>
      <c r="R767" s="19"/>
    </row>
    <row r="768" spans="16:18" ht="14.25" customHeight="1" x14ac:dyDescent="0.25">
      <c r="P768" s="19"/>
      <c r="Q768" s="19"/>
      <c r="R768" s="19"/>
    </row>
    <row r="769" spans="16:18" ht="14.25" customHeight="1" x14ac:dyDescent="0.25">
      <c r="P769" s="19"/>
      <c r="Q769" s="19"/>
      <c r="R769" s="19"/>
    </row>
    <row r="770" spans="16:18" ht="14.25" customHeight="1" x14ac:dyDescent="0.25">
      <c r="P770" s="19"/>
      <c r="Q770" s="19"/>
      <c r="R770" s="19"/>
    </row>
    <row r="771" spans="16:18" ht="14.25" customHeight="1" x14ac:dyDescent="0.25">
      <c r="P771" s="19"/>
      <c r="Q771" s="19"/>
      <c r="R771" s="19"/>
    </row>
    <row r="772" spans="16:18" ht="14.25" customHeight="1" x14ac:dyDescent="0.25">
      <c r="P772" s="19"/>
      <c r="Q772" s="19"/>
      <c r="R772" s="19"/>
    </row>
    <row r="773" spans="16:18" ht="14.25" customHeight="1" x14ac:dyDescent="0.25">
      <c r="P773" s="19"/>
      <c r="Q773" s="19"/>
      <c r="R773" s="19"/>
    </row>
    <row r="774" spans="16:18" ht="14.25" customHeight="1" x14ac:dyDescent="0.25">
      <c r="P774" s="19"/>
      <c r="Q774" s="19"/>
      <c r="R774" s="19"/>
    </row>
    <row r="775" spans="16:18" ht="14.25" customHeight="1" x14ac:dyDescent="0.25">
      <c r="P775" s="19"/>
      <c r="Q775" s="19"/>
      <c r="R775" s="19"/>
    </row>
    <row r="776" spans="16:18" ht="14.25" customHeight="1" x14ac:dyDescent="0.25">
      <c r="P776" s="19"/>
      <c r="Q776" s="19"/>
      <c r="R776" s="19"/>
    </row>
    <row r="777" spans="16:18" ht="14.25" customHeight="1" x14ac:dyDescent="0.25">
      <c r="P777" s="19"/>
      <c r="Q777" s="19"/>
      <c r="R777" s="19"/>
    </row>
    <row r="778" spans="16:18" ht="14.25" customHeight="1" x14ac:dyDescent="0.25">
      <c r="P778" s="19"/>
      <c r="Q778" s="19"/>
      <c r="R778" s="19"/>
    </row>
    <row r="779" spans="16:18" ht="14.25" customHeight="1" x14ac:dyDescent="0.25">
      <c r="P779" s="19"/>
      <c r="Q779" s="19"/>
      <c r="R779" s="19"/>
    </row>
    <row r="780" spans="16:18" ht="14.25" customHeight="1" x14ac:dyDescent="0.25">
      <c r="P780" s="19"/>
      <c r="Q780" s="19"/>
      <c r="R780" s="19"/>
    </row>
    <row r="781" spans="16:18" ht="14.25" customHeight="1" x14ac:dyDescent="0.25">
      <c r="P781" s="19"/>
      <c r="Q781" s="19"/>
      <c r="R781" s="19"/>
    </row>
    <row r="782" spans="16:18" ht="14.25" customHeight="1" x14ac:dyDescent="0.25">
      <c r="P782" s="19"/>
      <c r="Q782" s="19"/>
      <c r="R782" s="19"/>
    </row>
    <row r="783" spans="16:18" ht="14.25" customHeight="1" x14ac:dyDescent="0.25">
      <c r="P783" s="19"/>
      <c r="Q783" s="19"/>
      <c r="R783" s="19"/>
    </row>
    <row r="784" spans="16:18" ht="14.25" customHeight="1" x14ac:dyDescent="0.25">
      <c r="P784" s="19"/>
      <c r="Q784" s="19"/>
      <c r="R784" s="19"/>
    </row>
    <row r="785" spans="16:18" ht="14.25" customHeight="1" x14ac:dyDescent="0.25">
      <c r="P785" s="19"/>
      <c r="Q785" s="19"/>
      <c r="R785" s="19"/>
    </row>
    <row r="786" spans="16:18" ht="14.25" customHeight="1" x14ac:dyDescent="0.25">
      <c r="P786" s="19"/>
      <c r="Q786" s="19"/>
      <c r="R786" s="19"/>
    </row>
    <row r="787" spans="16:18" ht="14.25" customHeight="1" x14ac:dyDescent="0.25">
      <c r="P787" s="19"/>
      <c r="Q787" s="19"/>
      <c r="R787" s="19"/>
    </row>
    <row r="788" spans="16:18" ht="14.25" customHeight="1" x14ac:dyDescent="0.25">
      <c r="P788" s="19"/>
      <c r="Q788" s="19"/>
      <c r="R788" s="19"/>
    </row>
    <row r="789" spans="16:18" ht="14.25" customHeight="1" x14ac:dyDescent="0.25">
      <c r="P789" s="19"/>
      <c r="Q789" s="19"/>
      <c r="R789" s="19"/>
    </row>
    <row r="790" spans="16:18" ht="14.25" customHeight="1" x14ac:dyDescent="0.25">
      <c r="P790" s="19"/>
      <c r="Q790" s="19"/>
      <c r="R790" s="19"/>
    </row>
    <row r="791" spans="16:18" ht="14.25" customHeight="1" x14ac:dyDescent="0.25">
      <c r="P791" s="19"/>
      <c r="Q791" s="19"/>
      <c r="R791" s="19"/>
    </row>
    <row r="792" spans="16:18" ht="14.25" customHeight="1" x14ac:dyDescent="0.25">
      <c r="P792" s="19"/>
      <c r="Q792" s="19"/>
      <c r="R792" s="19"/>
    </row>
    <row r="793" spans="16:18" ht="14.25" customHeight="1" x14ac:dyDescent="0.25">
      <c r="P793" s="19"/>
      <c r="Q793" s="19"/>
      <c r="R793" s="19"/>
    </row>
    <row r="794" spans="16:18" ht="14.25" customHeight="1" x14ac:dyDescent="0.25">
      <c r="P794" s="19"/>
      <c r="Q794" s="19"/>
      <c r="R794" s="19"/>
    </row>
    <row r="795" spans="16:18" ht="14.25" customHeight="1" x14ac:dyDescent="0.25">
      <c r="P795" s="19"/>
      <c r="Q795" s="19"/>
      <c r="R795" s="19"/>
    </row>
    <row r="796" spans="16:18" ht="14.25" customHeight="1" x14ac:dyDescent="0.25">
      <c r="P796" s="19"/>
      <c r="Q796" s="19"/>
      <c r="R796" s="19"/>
    </row>
    <row r="797" spans="16:18" ht="14.25" customHeight="1" x14ac:dyDescent="0.25">
      <c r="P797" s="19"/>
      <c r="Q797" s="19"/>
      <c r="R797" s="19"/>
    </row>
    <row r="798" spans="16:18" ht="14.25" customHeight="1" x14ac:dyDescent="0.25">
      <c r="P798" s="19"/>
      <c r="Q798" s="19"/>
      <c r="R798" s="19"/>
    </row>
    <row r="799" spans="16:18" ht="14.25" customHeight="1" x14ac:dyDescent="0.25">
      <c r="P799" s="19"/>
      <c r="Q799" s="19"/>
      <c r="R799" s="19"/>
    </row>
    <row r="800" spans="16:18" ht="14.25" customHeight="1" x14ac:dyDescent="0.25">
      <c r="P800" s="19"/>
      <c r="Q800" s="19"/>
      <c r="R800" s="19"/>
    </row>
    <row r="801" spans="16:18" ht="14.25" customHeight="1" x14ac:dyDescent="0.25">
      <c r="P801" s="19"/>
      <c r="Q801" s="19"/>
      <c r="R801" s="19"/>
    </row>
    <row r="802" spans="16:18" ht="14.25" customHeight="1" x14ac:dyDescent="0.25">
      <c r="P802" s="19"/>
      <c r="Q802" s="19"/>
      <c r="R802" s="19"/>
    </row>
    <row r="803" spans="16:18" ht="14.25" customHeight="1" x14ac:dyDescent="0.25">
      <c r="P803" s="19"/>
      <c r="Q803" s="19"/>
      <c r="R803" s="19"/>
    </row>
    <row r="804" spans="16:18" ht="14.25" customHeight="1" x14ac:dyDescent="0.25">
      <c r="P804" s="19"/>
      <c r="Q804" s="19"/>
      <c r="R804" s="19"/>
    </row>
    <row r="805" spans="16:18" ht="14.25" customHeight="1" x14ac:dyDescent="0.25">
      <c r="P805" s="19"/>
      <c r="Q805" s="19"/>
      <c r="R805" s="19"/>
    </row>
    <row r="806" spans="16:18" ht="14.25" customHeight="1" x14ac:dyDescent="0.25">
      <c r="P806" s="19"/>
      <c r="Q806" s="19"/>
      <c r="R806" s="19"/>
    </row>
    <row r="807" spans="16:18" ht="14.25" customHeight="1" x14ac:dyDescent="0.25">
      <c r="P807" s="19"/>
      <c r="Q807" s="19"/>
      <c r="R807" s="19"/>
    </row>
    <row r="808" spans="16:18" ht="14.25" customHeight="1" x14ac:dyDescent="0.25">
      <c r="P808" s="19"/>
      <c r="Q808" s="19"/>
      <c r="R808" s="19"/>
    </row>
    <row r="809" spans="16:18" ht="14.25" customHeight="1" x14ac:dyDescent="0.25">
      <c r="P809" s="19"/>
      <c r="Q809" s="19"/>
      <c r="R809" s="19"/>
    </row>
    <row r="810" spans="16:18" ht="14.25" customHeight="1" x14ac:dyDescent="0.25">
      <c r="P810" s="19"/>
      <c r="Q810" s="19"/>
      <c r="R810" s="19"/>
    </row>
    <row r="811" spans="16:18" ht="14.25" customHeight="1" x14ac:dyDescent="0.25">
      <c r="P811" s="19"/>
      <c r="Q811" s="19"/>
      <c r="R811" s="19"/>
    </row>
    <row r="812" spans="16:18" ht="14.25" customHeight="1" x14ac:dyDescent="0.25">
      <c r="P812" s="19"/>
      <c r="Q812" s="19"/>
      <c r="R812" s="19"/>
    </row>
    <row r="813" spans="16:18" ht="14.25" customHeight="1" x14ac:dyDescent="0.25">
      <c r="P813" s="19"/>
      <c r="Q813" s="19"/>
      <c r="R813" s="19"/>
    </row>
    <row r="814" spans="16:18" ht="14.25" customHeight="1" x14ac:dyDescent="0.25">
      <c r="P814" s="19"/>
      <c r="Q814" s="19"/>
      <c r="R814" s="19"/>
    </row>
    <row r="815" spans="16:18" ht="14.25" customHeight="1" x14ac:dyDescent="0.25">
      <c r="P815" s="19"/>
      <c r="Q815" s="19"/>
      <c r="R815" s="19"/>
    </row>
    <row r="816" spans="16:18" ht="14.25" customHeight="1" x14ac:dyDescent="0.25">
      <c r="P816" s="19"/>
      <c r="Q816" s="19"/>
      <c r="R816" s="19"/>
    </row>
    <row r="817" spans="16:18" ht="14.25" customHeight="1" x14ac:dyDescent="0.25">
      <c r="P817" s="19"/>
      <c r="Q817" s="19"/>
      <c r="R817" s="19"/>
    </row>
    <row r="818" spans="16:18" ht="14.25" customHeight="1" x14ac:dyDescent="0.25">
      <c r="P818" s="19"/>
      <c r="Q818" s="19"/>
      <c r="R818" s="19"/>
    </row>
    <row r="819" spans="16:18" ht="14.25" customHeight="1" x14ac:dyDescent="0.25">
      <c r="P819" s="19"/>
      <c r="Q819" s="19"/>
      <c r="R819" s="19"/>
    </row>
    <row r="820" spans="16:18" ht="14.25" customHeight="1" x14ac:dyDescent="0.25">
      <c r="P820" s="19"/>
      <c r="Q820" s="19"/>
      <c r="R820" s="19"/>
    </row>
    <row r="821" spans="16:18" ht="14.25" customHeight="1" x14ac:dyDescent="0.25">
      <c r="P821" s="19"/>
      <c r="Q821" s="19"/>
      <c r="R821" s="19"/>
    </row>
    <row r="822" spans="16:18" ht="14.25" customHeight="1" x14ac:dyDescent="0.25">
      <c r="P822" s="19"/>
      <c r="Q822" s="19"/>
      <c r="R822" s="19"/>
    </row>
    <row r="823" spans="16:18" ht="14.25" customHeight="1" x14ac:dyDescent="0.25">
      <c r="P823" s="19"/>
      <c r="Q823" s="19"/>
      <c r="R823" s="19"/>
    </row>
    <row r="824" spans="16:18" ht="14.25" customHeight="1" x14ac:dyDescent="0.25">
      <c r="P824" s="19"/>
      <c r="Q824" s="19"/>
      <c r="R824" s="19"/>
    </row>
    <row r="825" spans="16:18" ht="14.25" customHeight="1" x14ac:dyDescent="0.25">
      <c r="P825" s="19"/>
      <c r="Q825" s="19"/>
      <c r="R825" s="19"/>
    </row>
    <row r="826" spans="16:18" ht="14.25" customHeight="1" x14ac:dyDescent="0.25">
      <c r="P826" s="19"/>
      <c r="Q826" s="19"/>
      <c r="R826" s="19"/>
    </row>
    <row r="827" spans="16:18" ht="14.25" customHeight="1" x14ac:dyDescent="0.25">
      <c r="P827" s="19"/>
      <c r="Q827" s="19"/>
      <c r="R827" s="19"/>
    </row>
    <row r="828" spans="16:18" ht="14.25" customHeight="1" x14ac:dyDescent="0.25">
      <c r="P828" s="19"/>
      <c r="Q828" s="19"/>
      <c r="R828" s="19"/>
    </row>
    <row r="829" spans="16:18" ht="14.25" customHeight="1" x14ac:dyDescent="0.25">
      <c r="P829" s="19"/>
      <c r="Q829" s="19"/>
      <c r="R829" s="19"/>
    </row>
    <row r="830" spans="16:18" ht="14.25" customHeight="1" x14ac:dyDescent="0.25">
      <c r="P830" s="19"/>
      <c r="Q830" s="19"/>
      <c r="R830" s="19"/>
    </row>
    <row r="831" spans="16:18" ht="14.25" customHeight="1" x14ac:dyDescent="0.25">
      <c r="P831" s="19"/>
      <c r="Q831" s="19"/>
      <c r="R831" s="19"/>
    </row>
    <row r="832" spans="16:18" ht="14.25" customHeight="1" x14ac:dyDescent="0.25">
      <c r="P832" s="19"/>
      <c r="Q832" s="19"/>
      <c r="R832" s="19"/>
    </row>
    <row r="833" spans="16:18" ht="14.25" customHeight="1" x14ac:dyDescent="0.25">
      <c r="P833" s="19"/>
      <c r="Q833" s="19"/>
      <c r="R833" s="19"/>
    </row>
    <row r="834" spans="16:18" ht="14.25" customHeight="1" x14ac:dyDescent="0.25">
      <c r="P834" s="19"/>
      <c r="Q834" s="19"/>
      <c r="R834" s="19"/>
    </row>
    <row r="835" spans="16:18" ht="14.25" customHeight="1" x14ac:dyDescent="0.25">
      <c r="P835" s="19"/>
      <c r="Q835" s="19"/>
      <c r="R835" s="19"/>
    </row>
    <row r="836" spans="16:18" ht="14.25" customHeight="1" x14ac:dyDescent="0.25">
      <c r="P836" s="19"/>
      <c r="Q836" s="19"/>
      <c r="R836" s="19"/>
    </row>
    <row r="837" spans="16:18" ht="14.25" customHeight="1" x14ac:dyDescent="0.25">
      <c r="P837" s="19"/>
      <c r="Q837" s="19"/>
      <c r="R837" s="19"/>
    </row>
    <row r="838" spans="16:18" ht="14.25" customHeight="1" x14ac:dyDescent="0.25">
      <c r="P838" s="19"/>
      <c r="Q838" s="19"/>
      <c r="R838" s="19"/>
    </row>
    <row r="839" spans="16:18" ht="14.25" customHeight="1" x14ac:dyDescent="0.25">
      <c r="P839" s="19"/>
      <c r="Q839" s="19"/>
      <c r="R839" s="19"/>
    </row>
    <row r="840" spans="16:18" ht="14.25" customHeight="1" x14ac:dyDescent="0.25">
      <c r="P840" s="19"/>
      <c r="Q840" s="19"/>
      <c r="R840" s="19"/>
    </row>
    <row r="841" spans="16:18" ht="14.25" customHeight="1" x14ac:dyDescent="0.25">
      <c r="P841" s="19"/>
      <c r="Q841" s="19"/>
      <c r="R841" s="19"/>
    </row>
    <row r="842" spans="16:18" ht="14.25" customHeight="1" x14ac:dyDescent="0.25">
      <c r="P842" s="19"/>
      <c r="Q842" s="19"/>
      <c r="R842" s="19"/>
    </row>
  </sheetData>
  <mergeCells count="21">
    <mergeCell ref="X5:X6"/>
    <mergeCell ref="A7:A26"/>
    <mergeCell ref="A27:A46"/>
    <mergeCell ref="B108:D108"/>
    <mergeCell ref="E108:F108"/>
    <mergeCell ref="A47:A66"/>
    <mergeCell ref="A67:A86"/>
    <mergeCell ref="A87:A106"/>
    <mergeCell ref="S5:S6"/>
    <mergeCell ref="T5:T6"/>
    <mergeCell ref="U5:U6"/>
    <mergeCell ref="V5:V6"/>
    <mergeCell ref="W5:W6"/>
    <mergeCell ref="I2:R2"/>
    <mergeCell ref="I4:J4"/>
    <mergeCell ref="K4:L4"/>
    <mergeCell ref="H5:H6"/>
    <mergeCell ref="I5:M5"/>
    <mergeCell ref="P5:P6"/>
    <mergeCell ref="Q5:Q6"/>
    <mergeCell ref="R5:R6"/>
  </mergeCells>
  <pageMargins left="0.7" right="0.7" top="0.75" bottom="0.75" header="0.511811023622047" footer="0.511811023622047"/>
  <pageSetup paperSize="8" orientation="landscape" horizontalDpi="300" verticalDpi="300"/>
  <ignoredErrors>
    <ignoredError sqref="I27:M27 I47:M47 I67:M67 I87:M87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SLP-Training</vt:lpstr>
      <vt:lpstr>SLP-Validation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Gana Pradipa</dc:creator>
  <dc:description/>
  <cp:lastModifiedBy>Mikail Achmad</cp:lastModifiedBy>
  <cp:revision>6</cp:revision>
  <cp:lastPrinted>2026-09-12T09:11:56Z</cp:lastPrinted>
  <dcterms:created xsi:type="dcterms:W3CDTF">2018-05-15T17:14:02Z</dcterms:created>
  <dcterms:modified xsi:type="dcterms:W3CDTF">2026-09-15T00:13:27Z</dcterms:modified>
  <dc:language>en-US</dc:language>
</cp:coreProperties>
</file>