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SLP-Training" sheetId="2" state="visible" r:id="rId4"/>
    <sheet name="SLP-Valid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<sst xmlns="http://schemas.openxmlformats.org/spreadsheetml/2006/main" count="203" uniqueCount="51">
  <si>
    <t xml:space="preserve">Iris-setosa</t>
  </si>
  <si>
    <t xml:space="preserve">Iris-versicolor</t>
  </si>
  <si>
    <t xml:space="preserve">Setosa = 0</t>
  </si>
  <si>
    <t xml:space="preserve">Learning Rate</t>
  </si>
  <si>
    <t xml:space="preserve">Versicolor = 1</t>
  </si>
  <si>
    <t xml:space="preserve">Bobot bias</t>
  </si>
  <si>
    <t xml:space="preserve">dot product</t>
  </si>
  <si>
    <t xml:space="preserve">Sigmoid</t>
  </si>
  <si>
    <t xml:space="preserve">Prediksi</t>
  </si>
  <si>
    <t xml:space="preserve">error</t>
  </si>
  <si>
    <t xml:space="preserve">Sum Square Error</t>
  </si>
  <si>
    <t xml:space="preserve">EPOCH</t>
  </si>
  <si>
    <t xml:space="preserve">No</t>
  </si>
  <si>
    <t xml:space="preserve">X1</t>
  </si>
  <si>
    <t xml:space="preserve">X2</t>
  </si>
  <si>
    <t xml:space="preserve">X3</t>
  </si>
  <si>
    <t xml:space="preserve">X4</t>
  </si>
  <si>
    <t xml:space="preserve">TARGET</t>
  </si>
  <si>
    <t xml:space="preserve">Apakah prediksi sama dengan label aslinya?</t>
  </si>
  <si>
    <t xml:space="preserve">bias</t>
  </si>
  <si>
    <t xml:space="preserve">teta1</t>
  </si>
  <si>
    <t xml:space="preserve">teta2</t>
  </si>
  <si>
    <t xml:space="preserve">teta 3</t>
  </si>
  <si>
    <t xml:space="preserve">teta4</t>
  </si>
  <si>
    <t xml:space="preserve">z</t>
  </si>
  <si>
    <t xml:space="preserve">g(z)</t>
  </si>
  <si>
    <t xml:space="preserve">Rata-rata Sum Square Error</t>
  </si>
  <si>
    <t xml:space="preserve">dbias</t>
  </si>
  <si>
    <t xml:space="preserve">dteta1</t>
  </si>
  <si>
    <t xml:space="preserve">dteta2</t>
  </si>
  <si>
    <t xml:space="preserve">dteta3</t>
  </si>
  <si>
    <t xml:space="preserve">dteta4</t>
  </si>
  <si>
    <t xml:space="preserve">epoch1</t>
  </si>
  <si>
    <t xml:space="preserve">epoch2</t>
  </si>
  <si>
    <t xml:space="preserve">epoch 3</t>
  </si>
  <si>
    <t xml:space="preserve">epoch 4</t>
  </si>
  <si>
    <t xml:space="preserve">epoch 5</t>
  </si>
  <si>
    <t xml:space="preserve">Rekap Rata-rata SSE (Loss) per Epoch</t>
  </si>
  <si>
    <t xml:space="preserve">Rekap Akurasi per Epoch</t>
  </si>
  <si>
    <t xml:space="preserve">Epoch</t>
  </si>
  <si>
    <t xml:space="preserve">Rata-rata SSE</t>
  </si>
  <si>
    <t xml:space="preserve">Akurasi</t>
  </si>
  <si>
    <t xml:space="preserve">Epoch 1</t>
  </si>
  <si>
    <t xml:space="preserve">Epoch 2</t>
  </si>
  <si>
    <t xml:space="preserve">Epoch 3</t>
  </si>
  <si>
    <t xml:space="preserve">Epoch 4</t>
  </si>
  <si>
    <t xml:space="preserve">Epoch 5</t>
  </si>
  <si>
    <t xml:space="preserve">in validation,  bias and teta are obtained from training for each epoch</t>
  </si>
  <si>
    <t xml:space="preserve">epoch 2</t>
  </si>
  <si>
    <t xml:space="preserve">Rekap Rata-rata SSE (Loss) per Epoch - Validasi</t>
  </si>
  <si>
    <t xml:space="preserve">Rekap Akurasi per Epoch - Validasi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</si>
</sst>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5E0B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FF2CC"/>
      </patternFill>
    </fill>
    <fill>
      <patternFill patternType="solid">
        <fgColor rgb="FFFFE598"/>
        <bgColor rgb="FFFFE599"/>
      </patternFill>
    </fill>
    <fill>
      <patternFill patternType="solid">
        <fgColor rgb="FFFFE599"/>
        <bgColor rgb="FFFFE598"/>
      </patternFill>
    </fill>
    <fill>
      <patternFill patternType="solid">
        <fgColor theme="7" tint="0.5999"/>
        <bgColor rgb="FFFFE599"/>
      </patternFill>
    </fill>
    <fill>
      <patternFill patternType="solid">
        <fgColor theme="7" tint="0.7999"/>
        <bgColor rgb="FFFEF2CB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EF2CB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FFE598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E6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Grafik Loss (Rata-rata SSE) per Epoch - Data Latih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'SLP-Training'!C408</c:f>
              <c:strCache>
                <c:ptCount val="1"/>
                <c:pt idx="0">
                  <c:v>Rata-rata SSE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'SLP-Training'!$B$409:$B$413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'SLP-Training'!$C$409:$C$413</c:f>
              <c:numCache>
                <c:formatCode>General</c:formatCode>
                <c:ptCount val="5"/>
                <c:pt idx="0">
                  <c:v>0.449888655139529</c:v>
                </c:pt>
                <c:pt idx="1">
                  <c:v>0.0374519142280995</c:v>
                </c:pt>
                <c:pt idx="2">
                  <c:v>0.0243721949963938</c:v>
                </c:pt>
                <c:pt idx="3">
                  <c:v>0.0173572016784266</c:v>
                </c:pt>
                <c:pt idx="4">
                  <c:v>0.0127401582089266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547748"/>
        <c:axId val="83893973"/>
      </c:lineChart>
      <c:catAx>
        <c:axId val="40547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893973"/>
        <c:crosses val="autoZero"/>
        <c:auto val="1"/>
        <c:lblAlgn val="ctr"/>
        <c:lblOffset val="100"/>
        <c:noMultiLvlLbl val="0"/>
      </c:catAx>
      <c:valAx>
        <c:axId val="838939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Rata-rata SSE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5477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Grafik Akurasi per Epoch - Data Latih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'SLP-Training'!F408</c:f>
              <c:strCache>
                <c:ptCount val="1"/>
                <c:pt idx="0">
                  <c:v>Akurasi</c:v>
                </c:pt>
              </c:strCache>
            </c:strRef>
          </c:tx>
          <c:spPr>
            <a:solidFill>
              <a:srgbClr val="1f77b4"/>
            </a:solidFill>
            <a:ln w="28080">
              <a:solidFill>
                <a:srgbClr val="1f77b4"/>
              </a:solidFill>
              <a:round/>
            </a:ln>
          </c:spPr>
          <c:marker>
            <c:symbol val="circle"/>
            <c:size val="7"/>
            <c:spPr>
              <a:solidFill>
                <a:srgbClr val="1f77b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'SLP-Training'!$E$409:$E$413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'SLP-Training'!$F$409:$F$413</c:f>
              <c:numCache>
                <c:formatCode>General</c:formatCode>
                <c:ptCount val="5"/>
                <c:pt idx="0">
                  <c:v>0.525</c:v>
                </c:pt>
                <c:pt idx="1">
                  <c:v>0.95</c:v>
                </c:pt>
                <c:pt idx="2">
                  <c:v>0.975</c:v>
                </c:pt>
                <c:pt idx="3">
                  <c:v>0.975</c:v>
                </c:pt>
                <c:pt idx="4">
                  <c:v>0.9875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854459"/>
        <c:axId val="67549915"/>
      </c:lineChart>
      <c:catAx>
        <c:axId val="218544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549915"/>
        <c:crosses val="autoZero"/>
        <c:auto val="1"/>
        <c:lblAlgn val="ctr"/>
        <c:lblOffset val="100"/>
        <c:noMultiLvlLbl val="0"/>
      </c:catAx>
      <c:valAx>
        <c:axId val="675499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854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Grafik Loss (Rata-rata SSE) per Epoch - Data Validasi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'SLP-Validation'!C109</c:f>
              <c:strCache>
                <c:ptCount val="1"/>
                <c:pt idx="0">
                  <c:v>Rata-rata SSE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'SLP-Validation'!$B$110:$B$114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'SLP-Validation'!$C$110:$C$114</c:f>
              <c:numCache>
                <c:formatCode>General</c:formatCode>
                <c:ptCount val="5"/>
                <c:pt idx="0">
                  <c:v>0.0996779577085089</c:v>
                </c:pt>
                <c:pt idx="1">
                  <c:v>0.0648500822076679</c:v>
                </c:pt>
                <c:pt idx="2">
                  <c:v>0.04564735393401</c:v>
                </c:pt>
                <c:pt idx="3">
                  <c:v>0.0345154827283475</c:v>
                </c:pt>
                <c:pt idx="4">
                  <c:v>0.0277137818811335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155529"/>
        <c:axId val="51035263"/>
      </c:lineChart>
      <c:catAx>
        <c:axId val="20155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035263"/>
        <c:crosses val="autoZero"/>
        <c:auto val="1"/>
        <c:lblAlgn val="ctr"/>
        <c:lblOffset val="100"/>
        <c:noMultiLvlLbl val="0"/>
      </c:catAx>
      <c:valAx>
        <c:axId val="510352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Rata-rata SSE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0155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Grafik Akurasi per Epoch - Data Validasi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'SLP-Validation'!F109</c:f>
              <c:strCache>
                <c:ptCount val="1"/>
                <c:pt idx="0">
                  <c:v>Akurasi</c:v>
                </c:pt>
              </c:strCache>
            </c:strRef>
          </c:tx>
          <c:spPr>
            <a:solidFill>
              <a:srgbClr val="1f77b4"/>
            </a:solidFill>
            <a:ln w="28080">
              <a:solidFill>
                <a:srgbClr val="1f77b4"/>
              </a:solidFill>
              <a:round/>
            </a:ln>
          </c:spPr>
          <c:marker>
            <c:symbol val="circle"/>
            <c:size val="7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'SLP-Validation'!$E$110:$E$114</c:f>
              <c:strCache>
                <c:ptCount val="5"/>
                <c:pt idx="0">
                  <c:v>Epoch 1</c:v>
                </c:pt>
                <c:pt idx="1">
                  <c:v>Epoch 2</c:v>
                </c:pt>
                <c:pt idx="2">
                  <c:v>Epoch 3</c:v>
                </c:pt>
                <c:pt idx="3">
                  <c:v>Epoch 4</c:v>
                </c:pt>
                <c:pt idx="4">
                  <c:v>Epoch 5</c:v>
                </c:pt>
              </c:strCache>
            </c:strRef>
          </c:cat>
          <c:val>
            <c:numRef>
              <c:f>'SLP-Validation'!$F$110:$F$114</c:f>
              <c:numCache>
                <c:formatCode>General</c:formatCode>
                <c:ptCount val="5"/>
                <c:pt idx="0">
                  <c:v>0.85</c:v>
                </c:pt>
                <c:pt idx="1">
                  <c:v>0.9</c:v>
                </c:pt>
                <c:pt idx="2">
                  <c:v>0.95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832280"/>
        <c:axId val="91383246"/>
      </c:lineChart>
      <c:catAx>
        <c:axId val="838322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383246"/>
        <c:crosses val="autoZero"/>
        <c:auto val="1"/>
        <c:lblAlgn val="ctr"/>
        <c:lblOffset val="100"/>
        <c:noMultiLvlLbl val="0"/>
      </c:catAx>
      <c:valAx>
        <c:axId val="913832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8322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415</xdr:row>
      <xdr:rowOff>0</xdr:rowOff>
    </xdr:from>
    <xdr:to>
      <xdr:col>10</xdr:col>
      <xdr:colOff>507240</xdr:colOff>
      <xdr:row>429</xdr:row>
      <xdr:rowOff>165600</xdr:rowOff>
    </xdr:to>
    <xdr:graphicFrame>
      <xdr:nvGraphicFramePr>
        <xdr:cNvPr id="0" name="Chart 1"/>
        <xdr:cNvGraphicFramePr/>
      </xdr:nvGraphicFramePr>
      <xdr:xfrm>
        <a:off x="6987600" y="751046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435</xdr:row>
      <xdr:rowOff>0</xdr:rowOff>
    </xdr:from>
    <xdr:to>
      <xdr:col>10</xdr:col>
      <xdr:colOff>507240</xdr:colOff>
      <xdr:row>449</xdr:row>
      <xdr:rowOff>165600</xdr:rowOff>
    </xdr:to>
    <xdr:graphicFrame>
      <xdr:nvGraphicFramePr>
        <xdr:cNvPr id="1" name="Chart 2"/>
        <xdr:cNvGraphicFramePr/>
      </xdr:nvGraphicFramePr>
      <xdr:xfrm>
        <a:off x="6987600" y="7872408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116</xdr:row>
      <xdr:rowOff>0</xdr:rowOff>
    </xdr:from>
    <xdr:to>
      <xdr:col>10</xdr:col>
      <xdr:colOff>73440</xdr:colOff>
      <xdr:row>130</xdr:row>
      <xdr:rowOff>165960</xdr:rowOff>
    </xdr:to>
    <xdr:graphicFrame>
      <xdr:nvGraphicFramePr>
        <xdr:cNvPr id="2" name="Chart 1"/>
        <xdr:cNvGraphicFramePr/>
      </xdr:nvGraphicFramePr>
      <xdr:xfrm>
        <a:off x="7219440" y="209930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136</xdr:row>
      <xdr:rowOff>0</xdr:rowOff>
    </xdr:from>
    <xdr:to>
      <xdr:col>10</xdr:col>
      <xdr:colOff>73440</xdr:colOff>
      <xdr:row>150</xdr:row>
      <xdr:rowOff>165960</xdr:rowOff>
    </xdr:to>
    <xdr:graphicFrame>
      <xdr:nvGraphicFramePr>
        <xdr:cNvPr id="3" name="Chart 2"/>
        <xdr:cNvGraphicFramePr/>
      </xdr:nvGraphicFramePr>
      <xdr:xfrm>
        <a:off x="7219440" y="246124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D32" activeCellId="0" sqref="D32"/>
    </sheetView>
  </sheetViews>
  <sheetFormatPr defaultColWidth="14.42578125" defaultRowHeight="15" zeroHeight="false" outlineLevelRow="0" outlineLevelCol="0"/>
  <cols>
    <col collapsed="false" customWidth="true" hidden="false" outlineLevel="0" max="4" min="1" style="1" width="8.86"/>
    <col collapsed="false" customWidth="true" hidden="false" outlineLevel="0" max="5" min="5" style="1" width="14.86"/>
    <col collapsed="false" customWidth="true" hidden="false" outlineLevel="0" max="26" min="6" style="1" width="8.71"/>
  </cols>
  <sheetData>
    <row r="1" customFormat="false" ht="14.25" hidden="false" customHeight="true" outlineLevel="0" collapsed="false">
      <c r="A1" s="2" t="n">
        <v>5.1</v>
      </c>
      <c r="B1" s="3" t="n">
        <v>3.5</v>
      </c>
      <c r="C1" s="3" t="n">
        <v>1.4</v>
      </c>
      <c r="D1" s="3" t="n">
        <v>0.2</v>
      </c>
      <c r="E1" s="4" t="s">
        <v>0</v>
      </c>
    </row>
    <row r="2" customFormat="false" ht="14.25" hidden="false" customHeight="true" outlineLevel="0" collapsed="false">
      <c r="A2" s="2" t="n">
        <v>4.9</v>
      </c>
      <c r="B2" s="3" t="n">
        <v>3</v>
      </c>
      <c r="C2" s="3" t="n">
        <v>1.4</v>
      </c>
      <c r="D2" s="3" t="n">
        <v>0.2</v>
      </c>
      <c r="E2" s="4" t="s">
        <v>0</v>
      </c>
    </row>
    <row r="3" customFormat="false" ht="14.25" hidden="false" customHeight="true" outlineLevel="0" collapsed="false">
      <c r="A3" s="2" t="n">
        <v>4.7</v>
      </c>
      <c r="B3" s="3" t="n">
        <v>3.2</v>
      </c>
      <c r="C3" s="3" t="n">
        <v>1.3</v>
      </c>
      <c r="D3" s="3" t="n">
        <v>0.2</v>
      </c>
      <c r="E3" s="4" t="s">
        <v>0</v>
      </c>
    </row>
    <row r="4" customFormat="false" ht="14.25" hidden="false" customHeight="true" outlineLevel="0" collapsed="false">
      <c r="A4" s="2" t="n">
        <v>4.6</v>
      </c>
      <c r="B4" s="3" t="n">
        <v>3.1</v>
      </c>
      <c r="C4" s="3" t="n">
        <v>1.5</v>
      </c>
      <c r="D4" s="3" t="n">
        <v>0.2</v>
      </c>
      <c r="E4" s="4" t="s">
        <v>0</v>
      </c>
    </row>
    <row r="5" customFormat="false" ht="14.25" hidden="false" customHeight="true" outlineLevel="0" collapsed="false">
      <c r="A5" s="2" t="n">
        <v>5</v>
      </c>
      <c r="B5" s="3" t="n">
        <v>3.6</v>
      </c>
      <c r="C5" s="3" t="n">
        <v>1.4</v>
      </c>
      <c r="D5" s="3" t="n">
        <v>0.2</v>
      </c>
      <c r="E5" s="4" t="s">
        <v>0</v>
      </c>
    </row>
    <row r="6" customFormat="false" ht="14.25" hidden="false" customHeight="true" outlineLevel="0" collapsed="false">
      <c r="A6" s="2" t="n">
        <v>5.4</v>
      </c>
      <c r="B6" s="3" t="n">
        <v>3.9</v>
      </c>
      <c r="C6" s="3" t="n">
        <v>1.7</v>
      </c>
      <c r="D6" s="3" t="n">
        <v>0.4</v>
      </c>
      <c r="E6" s="4" t="s">
        <v>0</v>
      </c>
    </row>
    <row r="7" customFormat="false" ht="14.25" hidden="false" customHeight="true" outlineLevel="0" collapsed="false">
      <c r="A7" s="2" t="n">
        <v>4.6</v>
      </c>
      <c r="B7" s="3" t="n">
        <v>3.4</v>
      </c>
      <c r="C7" s="3" t="n">
        <v>1.4</v>
      </c>
      <c r="D7" s="3" t="n">
        <v>0.3</v>
      </c>
      <c r="E7" s="4" t="s">
        <v>0</v>
      </c>
    </row>
    <row r="8" customFormat="false" ht="14.25" hidden="false" customHeight="true" outlineLevel="0" collapsed="false">
      <c r="A8" s="2" t="n">
        <v>5</v>
      </c>
      <c r="B8" s="3" t="n">
        <v>3.4</v>
      </c>
      <c r="C8" s="3" t="n">
        <v>1.5</v>
      </c>
      <c r="D8" s="3" t="n">
        <v>0.2</v>
      </c>
      <c r="E8" s="4" t="s">
        <v>0</v>
      </c>
    </row>
    <row r="9" customFormat="false" ht="14.25" hidden="false" customHeight="true" outlineLevel="0" collapsed="false">
      <c r="A9" s="2" t="n">
        <v>4.4</v>
      </c>
      <c r="B9" s="3" t="n">
        <v>2.9</v>
      </c>
      <c r="C9" s="3" t="n">
        <v>1.4</v>
      </c>
      <c r="D9" s="3" t="n">
        <v>0.2</v>
      </c>
      <c r="E9" s="4" t="s">
        <v>0</v>
      </c>
    </row>
    <row r="10" customFormat="false" ht="14.25" hidden="false" customHeight="true" outlineLevel="0" collapsed="false">
      <c r="A10" s="2" t="n">
        <v>4.9</v>
      </c>
      <c r="B10" s="3" t="n">
        <v>3.1</v>
      </c>
      <c r="C10" s="3" t="n">
        <v>1.5</v>
      </c>
      <c r="D10" s="3" t="n">
        <v>0.1</v>
      </c>
      <c r="E10" s="4" t="s">
        <v>0</v>
      </c>
    </row>
    <row r="11" customFormat="false" ht="14.25" hidden="false" customHeight="true" outlineLevel="0" collapsed="false">
      <c r="A11" s="2" t="n">
        <v>5.4</v>
      </c>
      <c r="B11" s="3" t="n">
        <v>3.7</v>
      </c>
      <c r="C11" s="3" t="n">
        <v>1.5</v>
      </c>
      <c r="D11" s="3" t="n">
        <v>0.2</v>
      </c>
      <c r="E11" s="4" t="s">
        <v>0</v>
      </c>
    </row>
    <row r="12" customFormat="false" ht="14.25" hidden="false" customHeight="true" outlineLevel="0" collapsed="false">
      <c r="A12" s="2" t="n">
        <v>4.8</v>
      </c>
      <c r="B12" s="3" t="n">
        <v>3.4</v>
      </c>
      <c r="C12" s="3" t="n">
        <v>1.6</v>
      </c>
      <c r="D12" s="3" t="n">
        <v>0.2</v>
      </c>
      <c r="E12" s="4" t="s">
        <v>0</v>
      </c>
    </row>
    <row r="13" customFormat="false" ht="14.25" hidden="false" customHeight="true" outlineLevel="0" collapsed="false">
      <c r="A13" s="2" t="n">
        <v>4.8</v>
      </c>
      <c r="B13" s="3" t="n">
        <v>3</v>
      </c>
      <c r="C13" s="3" t="n">
        <v>1.4</v>
      </c>
      <c r="D13" s="3" t="n">
        <v>0.1</v>
      </c>
      <c r="E13" s="4" t="s">
        <v>0</v>
      </c>
    </row>
    <row r="14" customFormat="false" ht="14.25" hidden="false" customHeight="true" outlineLevel="0" collapsed="false">
      <c r="A14" s="2" t="n">
        <v>4.3</v>
      </c>
      <c r="B14" s="3" t="n">
        <v>3</v>
      </c>
      <c r="C14" s="3" t="n">
        <v>1.1</v>
      </c>
      <c r="D14" s="3" t="n">
        <v>0.1</v>
      </c>
      <c r="E14" s="4" t="s">
        <v>0</v>
      </c>
    </row>
    <row r="15" customFormat="false" ht="14.25" hidden="false" customHeight="true" outlineLevel="0" collapsed="false">
      <c r="A15" s="2" t="n">
        <v>5.8</v>
      </c>
      <c r="B15" s="3" t="n">
        <v>4</v>
      </c>
      <c r="C15" s="3" t="n">
        <v>1.2</v>
      </c>
      <c r="D15" s="3" t="n">
        <v>0.2</v>
      </c>
      <c r="E15" s="4" t="s">
        <v>0</v>
      </c>
    </row>
    <row r="16" customFormat="false" ht="14.25" hidden="false" customHeight="true" outlineLevel="0" collapsed="false">
      <c r="A16" s="2" t="n">
        <v>5.7</v>
      </c>
      <c r="B16" s="3" t="n">
        <v>4.4</v>
      </c>
      <c r="C16" s="3" t="n">
        <v>1.5</v>
      </c>
      <c r="D16" s="3" t="n">
        <v>0.4</v>
      </c>
      <c r="E16" s="4" t="s">
        <v>0</v>
      </c>
    </row>
    <row r="17" customFormat="false" ht="14.25" hidden="false" customHeight="true" outlineLevel="0" collapsed="false">
      <c r="A17" s="2" t="n">
        <v>5.4</v>
      </c>
      <c r="B17" s="3" t="n">
        <v>3.9</v>
      </c>
      <c r="C17" s="3" t="n">
        <v>1.3</v>
      </c>
      <c r="D17" s="3" t="n">
        <v>0.4</v>
      </c>
      <c r="E17" s="4" t="s">
        <v>0</v>
      </c>
    </row>
    <row r="18" customFormat="false" ht="14.25" hidden="false" customHeight="true" outlineLevel="0" collapsed="false">
      <c r="A18" s="2" t="n">
        <v>5.1</v>
      </c>
      <c r="B18" s="3" t="n">
        <v>3.5</v>
      </c>
      <c r="C18" s="3" t="n">
        <v>1.4</v>
      </c>
      <c r="D18" s="3" t="n">
        <v>0.3</v>
      </c>
      <c r="E18" s="4" t="s">
        <v>0</v>
      </c>
    </row>
    <row r="19" customFormat="false" ht="14.25" hidden="false" customHeight="true" outlineLevel="0" collapsed="false">
      <c r="A19" s="2" t="n">
        <v>5.7</v>
      </c>
      <c r="B19" s="3" t="n">
        <v>3.8</v>
      </c>
      <c r="C19" s="3" t="n">
        <v>1.7</v>
      </c>
      <c r="D19" s="3" t="n">
        <v>0.3</v>
      </c>
      <c r="E19" s="4" t="s">
        <v>0</v>
      </c>
    </row>
    <row r="20" customFormat="false" ht="14.25" hidden="false" customHeight="true" outlineLevel="0" collapsed="false">
      <c r="A20" s="2" t="n">
        <v>5.1</v>
      </c>
      <c r="B20" s="3" t="n">
        <v>3.8</v>
      </c>
      <c r="C20" s="3" t="n">
        <v>1.5</v>
      </c>
      <c r="D20" s="3" t="n">
        <v>0.3</v>
      </c>
      <c r="E20" s="4" t="s">
        <v>0</v>
      </c>
    </row>
    <row r="21" customFormat="false" ht="14.25" hidden="false" customHeight="true" outlineLevel="0" collapsed="false">
      <c r="A21" s="2" t="n">
        <v>5.4</v>
      </c>
      <c r="B21" s="3" t="n">
        <v>3.4</v>
      </c>
      <c r="C21" s="3" t="n">
        <v>1.7</v>
      </c>
      <c r="D21" s="3" t="n">
        <v>0.2</v>
      </c>
      <c r="E21" s="4" t="s">
        <v>0</v>
      </c>
    </row>
    <row r="22" customFormat="false" ht="14.25" hidden="false" customHeight="true" outlineLevel="0" collapsed="false">
      <c r="A22" s="2" t="n">
        <v>5.1</v>
      </c>
      <c r="B22" s="3" t="n">
        <v>3.7</v>
      </c>
      <c r="C22" s="3" t="n">
        <v>1.5</v>
      </c>
      <c r="D22" s="3" t="n">
        <v>0.4</v>
      </c>
      <c r="E22" s="4" t="s">
        <v>0</v>
      </c>
    </row>
    <row r="23" customFormat="false" ht="14.25" hidden="false" customHeight="true" outlineLevel="0" collapsed="false">
      <c r="A23" s="2" t="n">
        <v>4.6</v>
      </c>
      <c r="B23" s="3" t="n">
        <v>3.6</v>
      </c>
      <c r="C23" s="3" t="n">
        <v>1</v>
      </c>
      <c r="D23" s="3" t="n">
        <v>0.2</v>
      </c>
      <c r="E23" s="4" t="s">
        <v>0</v>
      </c>
    </row>
    <row r="24" customFormat="false" ht="14.25" hidden="false" customHeight="true" outlineLevel="0" collapsed="false">
      <c r="A24" s="2" t="n">
        <v>5.1</v>
      </c>
      <c r="B24" s="3" t="n">
        <v>3.3</v>
      </c>
      <c r="C24" s="3" t="n">
        <v>1.7</v>
      </c>
      <c r="D24" s="3" t="n">
        <v>0.5</v>
      </c>
      <c r="E24" s="4" t="s">
        <v>0</v>
      </c>
    </row>
    <row r="25" customFormat="false" ht="14.25" hidden="false" customHeight="true" outlineLevel="0" collapsed="false">
      <c r="A25" s="2" t="n">
        <v>4.8</v>
      </c>
      <c r="B25" s="3" t="n">
        <v>3.4</v>
      </c>
      <c r="C25" s="3" t="n">
        <v>1.9</v>
      </c>
      <c r="D25" s="3" t="n">
        <v>0.2</v>
      </c>
      <c r="E25" s="4" t="s">
        <v>0</v>
      </c>
    </row>
    <row r="26" customFormat="false" ht="14.25" hidden="false" customHeight="true" outlineLevel="0" collapsed="false">
      <c r="A26" s="2" t="n">
        <v>5</v>
      </c>
      <c r="B26" s="3" t="n">
        <v>3</v>
      </c>
      <c r="C26" s="3" t="n">
        <v>1.6</v>
      </c>
      <c r="D26" s="3" t="n">
        <v>0.2</v>
      </c>
      <c r="E26" s="4" t="s">
        <v>0</v>
      </c>
    </row>
    <row r="27" customFormat="false" ht="14.25" hidden="false" customHeight="true" outlineLevel="0" collapsed="false">
      <c r="A27" s="2" t="n">
        <v>5</v>
      </c>
      <c r="B27" s="3" t="n">
        <v>3.4</v>
      </c>
      <c r="C27" s="3" t="n">
        <v>1.6</v>
      </c>
      <c r="D27" s="3" t="n">
        <v>0.4</v>
      </c>
      <c r="E27" s="4" t="s">
        <v>0</v>
      </c>
    </row>
    <row r="28" customFormat="false" ht="14.25" hidden="false" customHeight="true" outlineLevel="0" collapsed="false">
      <c r="A28" s="2" t="n">
        <v>5.2</v>
      </c>
      <c r="B28" s="3" t="n">
        <v>3.5</v>
      </c>
      <c r="C28" s="3" t="n">
        <v>1.5</v>
      </c>
      <c r="D28" s="3" t="n">
        <v>0.2</v>
      </c>
      <c r="E28" s="4" t="s">
        <v>0</v>
      </c>
    </row>
    <row r="29" customFormat="false" ht="14.25" hidden="false" customHeight="true" outlineLevel="0" collapsed="false">
      <c r="A29" s="2" t="n">
        <v>5.2</v>
      </c>
      <c r="B29" s="3" t="n">
        <v>3.4</v>
      </c>
      <c r="C29" s="3" t="n">
        <v>1.4</v>
      </c>
      <c r="D29" s="3" t="n">
        <v>0.2</v>
      </c>
      <c r="E29" s="4" t="s">
        <v>0</v>
      </c>
    </row>
    <row r="30" customFormat="false" ht="14.25" hidden="false" customHeight="true" outlineLevel="0" collapsed="false">
      <c r="A30" s="2" t="n">
        <v>4.7</v>
      </c>
      <c r="B30" s="3" t="n">
        <v>3.2</v>
      </c>
      <c r="C30" s="3" t="n">
        <v>1.6</v>
      </c>
      <c r="D30" s="3" t="n">
        <v>0.2</v>
      </c>
      <c r="E30" s="4" t="s">
        <v>0</v>
      </c>
    </row>
    <row r="31" customFormat="false" ht="14.25" hidden="false" customHeight="true" outlineLevel="0" collapsed="false">
      <c r="A31" s="2" t="n">
        <v>4.8</v>
      </c>
      <c r="B31" s="3" t="n">
        <v>3.1</v>
      </c>
      <c r="C31" s="3" t="n">
        <v>1.6</v>
      </c>
      <c r="D31" s="3" t="n">
        <v>0.2</v>
      </c>
      <c r="E31" s="4" t="s">
        <v>0</v>
      </c>
    </row>
    <row r="32" customFormat="false" ht="14.25" hidden="false" customHeight="true" outlineLevel="0" collapsed="false">
      <c r="A32" s="2" t="n">
        <v>5.4</v>
      </c>
      <c r="B32" s="3" t="n">
        <v>3.4</v>
      </c>
      <c r="C32" s="3" t="n">
        <v>1.5</v>
      </c>
      <c r="D32" s="3" t="n">
        <v>0.4</v>
      </c>
      <c r="E32" s="4" t="s">
        <v>0</v>
      </c>
    </row>
    <row r="33" customFormat="false" ht="14.25" hidden="false" customHeight="true" outlineLevel="0" collapsed="false">
      <c r="A33" s="2" t="n">
        <v>5.2</v>
      </c>
      <c r="B33" s="3" t="n">
        <v>4.1</v>
      </c>
      <c r="C33" s="3" t="n">
        <v>1.5</v>
      </c>
      <c r="D33" s="3" t="n">
        <v>0.1</v>
      </c>
      <c r="E33" s="4" t="s">
        <v>0</v>
      </c>
    </row>
    <row r="34" customFormat="false" ht="14.25" hidden="false" customHeight="true" outlineLevel="0" collapsed="false">
      <c r="A34" s="2" t="n">
        <v>5.5</v>
      </c>
      <c r="B34" s="3" t="n">
        <v>4.2</v>
      </c>
      <c r="C34" s="3" t="n">
        <v>1.4</v>
      </c>
      <c r="D34" s="3" t="n">
        <v>0.2</v>
      </c>
      <c r="E34" s="4" t="s">
        <v>0</v>
      </c>
    </row>
    <row r="35" customFormat="false" ht="14.25" hidden="false" customHeight="true" outlineLevel="0" collapsed="false">
      <c r="A35" s="2" t="n">
        <v>4.9</v>
      </c>
      <c r="B35" s="3" t="n">
        <v>3.1</v>
      </c>
      <c r="C35" s="3" t="n">
        <v>1.5</v>
      </c>
      <c r="D35" s="3" t="n">
        <v>0.1</v>
      </c>
      <c r="E35" s="4" t="s">
        <v>0</v>
      </c>
    </row>
    <row r="36" customFormat="false" ht="14.25" hidden="false" customHeight="true" outlineLevel="0" collapsed="false">
      <c r="A36" s="2" t="n">
        <v>5</v>
      </c>
      <c r="B36" s="3" t="n">
        <v>3.2</v>
      </c>
      <c r="C36" s="3" t="n">
        <v>1.2</v>
      </c>
      <c r="D36" s="3" t="n">
        <v>0.2</v>
      </c>
      <c r="E36" s="4" t="s">
        <v>0</v>
      </c>
    </row>
    <row r="37" customFormat="false" ht="14.25" hidden="false" customHeight="true" outlineLevel="0" collapsed="false">
      <c r="A37" s="2" t="n">
        <v>5.5</v>
      </c>
      <c r="B37" s="3" t="n">
        <v>3.5</v>
      </c>
      <c r="C37" s="3" t="n">
        <v>1.3</v>
      </c>
      <c r="D37" s="3" t="n">
        <v>0.2</v>
      </c>
      <c r="E37" s="4" t="s">
        <v>0</v>
      </c>
    </row>
    <row r="38" customFormat="false" ht="14.25" hidden="false" customHeight="true" outlineLevel="0" collapsed="false">
      <c r="A38" s="2" t="n">
        <v>4.9</v>
      </c>
      <c r="B38" s="3" t="n">
        <v>3.1</v>
      </c>
      <c r="C38" s="3" t="n">
        <v>1.5</v>
      </c>
      <c r="D38" s="3" t="n">
        <v>0.1</v>
      </c>
      <c r="E38" s="4" t="s">
        <v>0</v>
      </c>
    </row>
    <row r="39" customFormat="false" ht="14.25" hidden="false" customHeight="true" outlineLevel="0" collapsed="false">
      <c r="A39" s="2" t="n">
        <v>4.4</v>
      </c>
      <c r="B39" s="3" t="n">
        <v>3</v>
      </c>
      <c r="C39" s="3" t="n">
        <v>1.3</v>
      </c>
      <c r="D39" s="3" t="n">
        <v>0.2</v>
      </c>
      <c r="E39" s="4" t="s">
        <v>0</v>
      </c>
    </row>
    <row r="40" customFormat="false" ht="14.25" hidden="false" customHeight="true" outlineLevel="0" collapsed="false">
      <c r="A40" s="2" t="n">
        <v>5.1</v>
      </c>
      <c r="B40" s="3" t="n">
        <v>3.4</v>
      </c>
      <c r="C40" s="3" t="n">
        <v>1.5</v>
      </c>
      <c r="D40" s="3" t="n">
        <v>0.2</v>
      </c>
      <c r="E40" s="4" t="s">
        <v>0</v>
      </c>
    </row>
    <row r="41" customFormat="false" ht="14.25" hidden="false" customHeight="true" outlineLevel="0" collapsed="false">
      <c r="A41" s="2" t="n">
        <v>5</v>
      </c>
      <c r="B41" s="3" t="n">
        <v>3.5</v>
      </c>
      <c r="C41" s="3" t="n">
        <v>1.3</v>
      </c>
      <c r="D41" s="3" t="n">
        <v>0.3</v>
      </c>
      <c r="E41" s="4" t="s">
        <v>0</v>
      </c>
    </row>
    <row r="42" customFormat="false" ht="14.25" hidden="false" customHeight="true" outlineLevel="0" collapsed="false">
      <c r="A42" s="2" t="n">
        <v>4.5</v>
      </c>
      <c r="B42" s="3" t="n">
        <v>2.3</v>
      </c>
      <c r="C42" s="3" t="n">
        <v>1.3</v>
      </c>
      <c r="D42" s="3" t="n">
        <v>0.3</v>
      </c>
      <c r="E42" s="4" t="s">
        <v>0</v>
      </c>
    </row>
    <row r="43" customFormat="false" ht="14.25" hidden="false" customHeight="true" outlineLevel="0" collapsed="false">
      <c r="A43" s="2" t="n">
        <v>4.4</v>
      </c>
      <c r="B43" s="3" t="n">
        <v>3.2</v>
      </c>
      <c r="C43" s="3" t="n">
        <v>1.3</v>
      </c>
      <c r="D43" s="3" t="n">
        <v>0.2</v>
      </c>
      <c r="E43" s="4" t="s">
        <v>0</v>
      </c>
    </row>
    <row r="44" customFormat="false" ht="14.25" hidden="false" customHeight="true" outlineLevel="0" collapsed="false">
      <c r="A44" s="2" t="n">
        <v>5</v>
      </c>
      <c r="B44" s="3" t="n">
        <v>3.5</v>
      </c>
      <c r="C44" s="3" t="n">
        <v>1.6</v>
      </c>
      <c r="D44" s="3" t="n">
        <v>0.6</v>
      </c>
      <c r="E44" s="4" t="s">
        <v>0</v>
      </c>
    </row>
    <row r="45" customFormat="false" ht="14.25" hidden="false" customHeight="true" outlineLevel="0" collapsed="false">
      <c r="A45" s="2" t="n">
        <v>5.1</v>
      </c>
      <c r="B45" s="3" t="n">
        <v>3.8</v>
      </c>
      <c r="C45" s="3" t="n">
        <v>1.9</v>
      </c>
      <c r="D45" s="3" t="n">
        <v>0.4</v>
      </c>
      <c r="E45" s="4" t="s">
        <v>0</v>
      </c>
    </row>
    <row r="46" customFormat="false" ht="14.25" hidden="false" customHeight="true" outlineLevel="0" collapsed="false">
      <c r="A46" s="2" t="n">
        <v>4.8</v>
      </c>
      <c r="B46" s="3" t="n">
        <v>3</v>
      </c>
      <c r="C46" s="3" t="n">
        <v>1.4</v>
      </c>
      <c r="D46" s="3" t="n">
        <v>0.3</v>
      </c>
      <c r="E46" s="4" t="s">
        <v>0</v>
      </c>
    </row>
    <row r="47" customFormat="false" ht="14.25" hidden="false" customHeight="true" outlineLevel="0" collapsed="false">
      <c r="A47" s="2" t="n">
        <v>5.1</v>
      </c>
      <c r="B47" s="3" t="n">
        <v>3.8</v>
      </c>
      <c r="C47" s="3" t="n">
        <v>1.6</v>
      </c>
      <c r="D47" s="3" t="n">
        <v>0.2</v>
      </c>
      <c r="E47" s="4" t="s">
        <v>0</v>
      </c>
    </row>
    <row r="48" customFormat="false" ht="14.25" hidden="false" customHeight="true" outlineLevel="0" collapsed="false">
      <c r="A48" s="2" t="n">
        <v>4.6</v>
      </c>
      <c r="B48" s="3" t="n">
        <v>3.2</v>
      </c>
      <c r="C48" s="3" t="n">
        <v>1.4</v>
      </c>
      <c r="D48" s="3" t="n">
        <v>0.2</v>
      </c>
      <c r="E48" s="4" t="s">
        <v>0</v>
      </c>
    </row>
    <row r="49" customFormat="false" ht="14.25" hidden="false" customHeight="true" outlineLevel="0" collapsed="false">
      <c r="A49" s="2" t="n">
        <v>5.3</v>
      </c>
      <c r="B49" s="3" t="n">
        <v>3.7</v>
      </c>
      <c r="C49" s="3" t="n">
        <v>1.5</v>
      </c>
      <c r="D49" s="3" t="n">
        <v>0.2</v>
      </c>
      <c r="E49" s="4" t="s">
        <v>0</v>
      </c>
    </row>
    <row r="50" customFormat="false" ht="14.25" hidden="false" customHeight="true" outlineLevel="0" collapsed="false">
      <c r="A50" s="2" t="n">
        <v>5</v>
      </c>
      <c r="B50" s="3" t="n">
        <v>3.3</v>
      </c>
      <c r="C50" s="3" t="n">
        <v>1.4</v>
      </c>
      <c r="D50" s="3" t="n">
        <v>0.2</v>
      </c>
      <c r="E50" s="4" t="s">
        <v>0</v>
      </c>
    </row>
    <row r="51" customFormat="false" ht="14.25" hidden="false" customHeight="true" outlineLevel="0" collapsed="false">
      <c r="A51" s="2" t="n">
        <v>7</v>
      </c>
      <c r="B51" s="3" t="n">
        <v>3.2</v>
      </c>
      <c r="C51" s="3" t="n">
        <v>4.7</v>
      </c>
      <c r="D51" s="3" t="n">
        <v>1.4</v>
      </c>
      <c r="E51" s="4" t="s">
        <v>1</v>
      </c>
    </row>
    <row r="52" customFormat="false" ht="14.25" hidden="false" customHeight="true" outlineLevel="0" collapsed="false">
      <c r="A52" s="2" t="n">
        <v>6.4</v>
      </c>
      <c r="B52" s="3" t="n">
        <v>3.2</v>
      </c>
      <c r="C52" s="3" t="n">
        <v>4.5</v>
      </c>
      <c r="D52" s="3" t="n">
        <v>1.5</v>
      </c>
      <c r="E52" s="4" t="s">
        <v>1</v>
      </c>
    </row>
    <row r="53" customFormat="false" ht="14.25" hidden="false" customHeight="true" outlineLevel="0" collapsed="false">
      <c r="A53" s="2" t="n">
        <v>6.9</v>
      </c>
      <c r="B53" s="3" t="n">
        <v>3.1</v>
      </c>
      <c r="C53" s="3" t="n">
        <v>4.9</v>
      </c>
      <c r="D53" s="3" t="n">
        <v>1.5</v>
      </c>
      <c r="E53" s="4" t="s">
        <v>1</v>
      </c>
    </row>
    <row r="54" customFormat="false" ht="14.25" hidden="false" customHeight="true" outlineLevel="0" collapsed="false">
      <c r="A54" s="2" t="n">
        <v>5.5</v>
      </c>
      <c r="B54" s="3" t="n">
        <v>2.3</v>
      </c>
      <c r="C54" s="3" t="n">
        <v>4</v>
      </c>
      <c r="D54" s="3" t="n">
        <v>1.3</v>
      </c>
      <c r="E54" s="4" t="s">
        <v>1</v>
      </c>
    </row>
    <row r="55" customFormat="false" ht="14.25" hidden="false" customHeight="true" outlineLevel="0" collapsed="false">
      <c r="A55" s="2" t="n">
        <v>6.5</v>
      </c>
      <c r="B55" s="3" t="n">
        <v>2.8</v>
      </c>
      <c r="C55" s="3" t="n">
        <v>4.6</v>
      </c>
      <c r="D55" s="3" t="n">
        <v>1.5</v>
      </c>
      <c r="E55" s="4" t="s">
        <v>1</v>
      </c>
    </row>
    <row r="56" customFormat="false" ht="14.25" hidden="false" customHeight="true" outlineLevel="0" collapsed="false">
      <c r="A56" s="2" t="n">
        <v>5.7</v>
      </c>
      <c r="B56" s="3" t="n">
        <v>2.8</v>
      </c>
      <c r="C56" s="3" t="n">
        <v>4.5</v>
      </c>
      <c r="D56" s="3" t="n">
        <v>1.3</v>
      </c>
      <c r="E56" s="4" t="s">
        <v>1</v>
      </c>
    </row>
    <row r="57" customFormat="false" ht="14.25" hidden="false" customHeight="true" outlineLevel="0" collapsed="false">
      <c r="A57" s="2" t="n">
        <v>6.3</v>
      </c>
      <c r="B57" s="3" t="n">
        <v>3.3</v>
      </c>
      <c r="C57" s="3" t="n">
        <v>4.7</v>
      </c>
      <c r="D57" s="3" t="n">
        <v>1.6</v>
      </c>
      <c r="E57" s="4" t="s">
        <v>1</v>
      </c>
    </row>
    <row r="58" customFormat="false" ht="14.25" hidden="false" customHeight="true" outlineLevel="0" collapsed="false">
      <c r="A58" s="2" t="n">
        <v>4.9</v>
      </c>
      <c r="B58" s="3" t="n">
        <v>2.4</v>
      </c>
      <c r="C58" s="3" t="n">
        <v>3.3</v>
      </c>
      <c r="D58" s="3" t="n">
        <v>1</v>
      </c>
      <c r="E58" s="4" t="s">
        <v>1</v>
      </c>
    </row>
    <row r="59" customFormat="false" ht="14.25" hidden="false" customHeight="true" outlineLevel="0" collapsed="false">
      <c r="A59" s="2" t="n">
        <v>6.6</v>
      </c>
      <c r="B59" s="3" t="n">
        <v>2.9</v>
      </c>
      <c r="C59" s="3" t="n">
        <v>4.6</v>
      </c>
      <c r="D59" s="3" t="n">
        <v>1.3</v>
      </c>
      <c r="E59" s="4" t="s">
        <v>1</v>
      </c>
    </row>
    <row r="60" customFormat="false" ht="14.25" hidden="false" customHeight="true" outlineLevel="0" collapsed="false">
      <c r="A60" s="2" t="n">
        <v>5.2</v>
      </c>
      <c r="B60" s="3" t="n">
        <v>2.7</v>
      </c>
      <c r="C60" s="3" t="n">
        <v>3.9</v>
      </c>
      <c r="D60" s="3" t="n">
        <v>1.4</v>
      </c>
      <c r="E60" s="4" t="s">
        <v>1</v>
      </c>
    </row>
    <row r="61" customFormat="false" ht="14.25" hidden="false" customHeight="true" outlineLevel="0" collapsed="false">
      <c r="A61" s="2" t="n">
        <v>5</v>
      </c>
      <c r="B61" s="3" t="n">
        <v>2</v>
      </c>
      <c r="C61" s="3" t="n">
        <v>3.5</v>
      </c>
      <c r="D61" s="3" t="n">
        <v>1</v>
      </c>
      <c r="E61" s="4" t="s">
        <v>1</v>
      </c>
    </row>
    <row r="62" customFormat="false" ht="14.25" hidden="false" customHeight="true" outlineLevel="0" collapsed="false">
      <c r="A62" s="2" t="n">
        <v>5.9</v>
      </c>
      <c r="B62" s="3" t="n">
        <v>3</v>
      </c>
      <c r="C62" s="3" t="n">
        <v>4.2</v>
      </c>
      <c r="D62" s="3" t="n">
        <v>1.5</v>
      </c>
      <c r="E62" s="4" t="s">
        <v>1</v>
      </c>
    </row>
    <row r="63" customFormat="false" ht="14.25" hidden="false" customHeight="true" outlineLevel="0" collapsed="false">
      <c r="A63" s="2" t="n">
        <v>6</v>
      </c>
      <c r="B63" s="3" t="n">
        <v>2.2</v>
      </c>
      <c r="C63" s="3" t="n">
        <v>4</v>
      </c>
      <c r="D63" s="3" t="n">
        <v>1</v>
      </c>
      <c r="E63" s="4" t="s">
        <v>1</v>
      </c>
    </row>
    <row r="64" customFormat="false" ht="14.25" hidden="false" customHeight="true" outlineLevel="0" collapsed="false">
      <c r="A64" s="2" t="n">
        <v>6.1</v>
      </c>
      <c r="B64" s="3" t="n">
        <v>2.9</v>
      </c>
      <c r="C64" s="3" t="n">
        <v>4.7</v>
      </c>
      <c r="D64" s="3" t="n">
        <v>1.4</v>
      </c>
      <c r="E64" s="4" t="s">
        <v>1</v>
      </c>
    </row>
    <row r="65" customFormat="false" ht="14.25" hidden="false" customHeight="true" outlineLevel="0" collapsed="false">
      <c r="A65" s="2" t="n">
        <v>5.6</v>
      </c>
      <c r="B65" s="3" t="n">
        <v>2.9</v>
      </c>
      <c r="C65" s="3" t="n">
        <v>3.6</v>
      </c>
      <c r="D65" s="3" t="n">
        <v>1.3</v>
      </c>
      <c r="E65" s="4" t="s">
        <v>1</v>
      </c>
    </row>
    <row r="66" customFormat="false" ht="14.25" hidden="false" customHeight="true" outlineLevel="0" collapsed="false">
      <c r="A66" s="2" t="n">
        <v>6.7</v>
      </c>
      <c r="B66" s="3" t="n">
        <v>3.1</v>
      </c>
      <c r="C66" s="3" t="n">
        <v>4.4</v>
      </c>
      <c r="D66" s="3" t="n">
        <v>1.4</v>
      </c>
      <c r="E66" s="4" t="s">
        <v>1</v>
      </c>
    </row>
    <row r="67" customFormat="false" ht="14.25" hidden="false" customHeight="true" outlineLevel="0" collapsed="false">
      <c r="A67" s="2" t="n">
        <v>5.6</v>
      </c>
      <c r="B67" s="3" t="n">
        <v>3</v>
      </c>
      <c r="C67" s="3" t="n">
        <v>4.5</v>
      </c>
      <c r="D67" s="3" t="n">
        <v>1.5</v>
      </c>
      <c r="E67" s="4" t="s">
        <v>1</v>
      </c>
    </row>
    <row r="68" customFormat="false" ht="14.25" hidden="false" customHeight="true" outlineLevel="0" collapsed="false">
      <c r="A68" s="2" t="n">
        <v>5.8</v>
      </c>
      <c r="B68" s="3" t="n">
        <v>2.7</v>
      </c>
      <c r="C68" s="3" t="n">
        <v>4.1</v>
      </c>
      <c r="D68" s="3" t="n">
        <v>1</v>
      </c>
      <c r="E68" s="4" t="s">
        <v>1</v>
      </c>
    </row>
    <row r="69" customFormat="false" ht="14.25" hidden="false" customHeight="true" outlineLevel="0" collapsed="false">
      <c r="A69" s="2" t="n">
        <v>6.2</v>
      </c>
      <c r="B69" s="3" t="n">
        <v>2.2</v>
      </c>
      <c r="C69" s="3" t="n">
        <v>4.5</v>
      </c>
      <c r="D69" s="3" t="n">
        <v>1.5</v>
      </c>
      <c r="E69" s="4" t="s">
        <v>1</v>
      </c>
    </row>
    <row r="70" customFormat="false" ht="14.25" hidden="false" customHeight="true" outlineLevel="0" collapsed="false">
      <c r="A70" s="2" t="n">
        <v>5.6</v>
      </c>
      <c r="B70" s="3" t="n">
        <v>2.5</v>
      </c>
      <c r="C70" s="3" t="n">
        <v>3.9</v>
      </c>
      <c r="D70" s="3" t="n">
        <v>1.1</v>
      </c>
      <c r="E70" s="4" t="s">
        <v>1</v>
      </c>
    </row>
    <row r="71" customFormat="false" ht="14.25" hidden="false" customHeight="true" outlineLevel="0" collapsed="false">
      <c r="A71" s="2" t="n">
        <v>5.9</v>
      </c>
      <c r="B71" s="3" t="n">
        <v>3.2</v>
      </c>
      <c r="C71" s="3" t="n">
        <v>4.8</v>
      </c>
      <c r="D71" s="3" t="n">
        <v>1.8</v>
      </c>
      <c r="E71" s="4" t="s">
        <v>1</v>
      </c>
    </row>
    <row r="72" customFormat="false" ht="14.25" hidden="false" customHeight="true" outlineLevel="0" collapsed="false">
      <c r="A72" s="2" t="n">
        <v>6.1</v>
      </c>
      <c r="B72" s="3" t="n">
        <v>2.8</v>
      </c>
      <c r="C72" s="3" t="n">
        <v>4</v>
      </c>
      <c r="D72" s="3" t="n">
        <v>1.3</v>
      </c>
      <c r="E72" s="4" t="s">
        <v>1</v>
      </c>
    </row>
    <row r="73" customFormat="false" ht="14.25" hidden="false" customHeight="true" outlineLevel="0" collapsed="false">
      <c r="A73" s="2" t="n">
        <v>6.3</v>
      </c>
      <c r="B73" s="3" t="n">
        <v>2.5</v>
      </c>
      <c r="C73" s="3" t="n">
        <v>4.9</v>
      </c>
      <c r="D73" s="3" t="n">
        <v>1.5</v>
      </c>
      <c r="E73" s="4" t="s">
        <v>1</v>
      </c>
    </row>
    <row r="74" customFormat="false" ht="14.25" hidden="false" customHeight="true" outlineLevel="0" collapsed="false">
      <c r="A74" s="2" t="n">
        <v>6.1</v>
      </c>
      <c r="B74" s="3" t="n">
        <v>2.8</v>
      </c>
      <c r="C74" s="3" t="n">
        <v>4.7</v>
      </c>
      <c r="D74" s="3" t="n">
        <v>1.2</v>
      </c>
      <c r="E74" s="4" t="s">
        <v>1</v>
      </c>
    </row>
    <row r="75" customFormat="false" ht="14.25" hidden="false" customHeight="true" outlineLevel="0" collapsed="false">
      <c r="A75" s="2" t="n">
        <v>6.4</v>
      </c>
      <c r="B75" s="3" t="n">
        <v>2.9</v>
      </c>
      <c r="C75" s="3" t="n">
        <v>4.3</v>
      </c>
      <c r="D75" s="3" t="n">
        <v>1.3</v>
      </c>
      <c r="E75" s="4" t="s">
        <v>1</v>
      </c>
    </row>
    <row r="76" customFormat="false" ht="14.25" hidden="false" customHeight="true" outlineLevel="0" collapsed="false">
      <c r="A76" s="2" t="n">
        <v>6.6</v>
      </c>
      <c r="B76" s="3" t="n">
        <v>3</v>
      </c>
      <c r="C76" s="3" t="n">
        <v>4.4</v>
      </c>
      <c r="D76" s="3" t="n">
        <v>1.4</v>
      </c>
      <c r="E76" s="4" t="s">
        <v>1</v>
      </c>
    </row>
    <row r="77" customFormat="false" ht="14.25" hidden="false" customHeight="true" outlineLevel="0" collapsed="false">
      <c r="A77" s="2" t="n">
        <v>6.8</v>
      </c>
      <c r="B77" s="3" t="n">
        <v>2.8</v>
      </c>
      <c r="C77" s="3" t="n">
        <v>4.8</v>
      </c>
      <c r="D77" s="3" t="n">
        <v>1.4</v>
      </c>
      <c r="E77" s="4" t="s">
        <v>1</v>
      </c>
    </row>
    <row r="78" customFormat="false" ht="14.25" hidden="false" customHeight="true" outlineLevel="0" collapsed="false">
      <c r="A78" s="2" t="n">
        <v>6.7</v>
      </c>
      <c r="B78" s="3" t="n">
        <v>3</v>
      </c>
      <c r="C78" s="3" t="n">
        <v>5</v>
      </c>
      <c r="D78" s="3" t="n">
        <v>1.7</v>
      </c>
      <c r="E78" s="4" t="s">
        <v>1</v>
      </c>
    </row>
    <row r="79" customFormat="false" ht="14.25" hidden="false" customHeight="true" outlineLevel="0" collapsed="false">
      <c r="A79" s="2" t="n">
        <v>6</v>
      </c>
      <c r="B79" s="3" t="n">
        <v>2.9</v>
      </c>
      <c r="C79" s="3" t="n">
        <v>4.5</v>
      </c>
      <c r="D79" s="3" t="n">
        <v>1.5</v>
      </c>
      <c r="E79" s="4" t="s">
        <v>1</v>
      </c>
    </row>
    <row r="80" customFormat="false" ht="14.25" hidden="false" customHeight="true" outlineLevel="0" collapsed="false">
      <c r="A80" s="2" t="n">
        <v>5.7</v>
      </c>
      <c r="B80" s="3" t="n">
        <v>2.6</v>
      </c>
      <c r="C80" s="3" t="n">
        <v>3.5</v>
      </c>
      <c r="D80" s="3" t="n">
        <v>1</v>
      </c>
      <c r="E80" s="4" t="s">
        <v>1</v>
      </c>
    </row>
    <row r="81" customFormat="false" ht="14.25" hidden="false" customHeight="true" outlineLevel="0" collapsed="false">
      <c r="A81" s="2" t="n">
        <v>5.5</v>
      </c>
      <c r="B81" s="3" t="n">
        <v>2.4</v>
      </c>
      <c r="C81" s="3" t="n">
        <v>3.8</v>
      </c>
      <c r="D81" s="3" t="n">
        <v>1.1</v>
      </c>
      <c r="E81" s="4" t="s">
        <v>1</v>
      </c>
    </row>
    <row r="82" customFormat="false" ht="14.25" hidden="false" customHeight="true" outlineLevel="0" collapsed="false">
      <c r="A82" s="2" t="n">
        <v>5.5</v>
      </c>
      <c r="B82" s="3" t="n">
        <v>2.4</v>
      </c>
      <c r="C82" s="3" t="n">
        <v>3.7</v>
      </c>
      <c r="D82" s="3" t="n">
        <v>1</v>
      </c>
      <c r="E82" s="4" t="s">
        <v>1</v>
      </c>
    </row>
    <row r="83" customFormat="false" ht="14.25" hidden="false" customHeight="true" outlineLevel="0" collapsed="false">
      <c r="A83" s="2" t="n">
        <v>5.8</v>
      </c>
      <c r="B83" s="3" t="n">
        <v>2.7</v>
      </c>
      <c r="C83" s="3" t="n">
        <v>3.9</v>
      </c>
      <c r="D83" s="3" t="n">
        <v>1.2</v>
      </c>
      <c r="E83" s="4" t="s">
        <v>1</v>
      </c>
    </row>
    <row r="84" customFormat="false" ht="14.25" hidden="false" customHeight="true" outlineLevel="0" collapsed="false">
      <c r="A84" s="2" t="n">
        <v>6</v>
      </c>
      <c r="B84" s="3" t="n">
        <v>2.7</v>
      </c>
      <c r="C84" s="3" t="n">
        <v>5.1</v>
      </c>
      <c r="D84" s="3" t="n">
        <v>1.6</v>
      </c>
      <c r="E84" s="4" t="s">
        <v>1</v>
      </c>
    </row>
    <row r="85" customFormat="false" ht="14.25" hidden="false" customHeight="true" outlineLevel="0" collapsed="false">
      <c r="A85" s="2" t="n">
        <v>5.4</v>
      </c>
      <c r="B85" s="3" t="n">
        <v>3</v>
      </c>
      <c r="C85" s="3" t="n">
        <v>4.5</v>
      </c>
      <c r="D85" s="3" t="n">
        <v>1.5</v>
      </c>
      <c r="E85" s="4" t="s">
        <v>1</v>
      </c>
    </row>
    <row r="86" customFormat="false" ht="14.25" hidden="false" customHeight="true" outlineLevel="0" collapsed="false">
      <c r="A86" s="2" t="n">
        <v>6</v>
      </c>
      <c r="B86" s="3" t="n">
        <v>3.4</v>
      </c>
      <c r="C86" s="3" t="n">
        <v>4.5</v>
      </c>
      <c r="D86" s="3" t="n">
        <v>1.6</v>
      </c>
      <c r="E86" s="4" t="s">
        <v>1</v>
      </c>
    </row>
    <row r="87" customFormat="false" ht="14.25" hidden="false" customHeight="true" outlineLevel="0" collapsed="false">
      <c r="A87" s="2" t="n">
        <v>6.7</v>
      </c>
      <c r="B87" s="3" t="n">
        <v>3.1</v>
      </c>
      <c r="C87" s="3" t="n">
        <v>4.7</v>
      </c>
      <c r="D87" s="3" t="n">
        <v>1.5</v>
      </c>
      <c r="E87" s="4" t="s">
        <v>1</v>
      </c>
    </row>
    <row r="88" customFormat="false" ht="14.25" hidden="false" customHeight="true" outlineLevel="0" collapsed="false">
      <c r="A88" s="2" t="n">
        <v>6.3</v>
      </c>
      <c r="B88" s="3" t="n">
        <v>2.3</v>
      </c>
      <c r="C88" s="3" t="n">
        <v>4.4</v>
      </c>
      <c r="D88" s="3" t="n">
        <v>1.3</v>
      </c>
      <c r="E88" s="4" t="s">
        <v>1</v>
      </c>
    </row>
    <row r="89" customFormat="false" ht="14.25" hidden="false" customHeight="true" outlineLevel="0" collapsed="false">
      <c r="A89" s="2" t="n">
        <v>5.6</v>
      </c>
      <c r="B89" s="3" t="n">
        <v>3</v>
      </c>
      <c r="C89" s="3" t="n">
        <v>4.1</v>
      </c>
      <c r="D89" s="3" t="n">
        <v>1.3</v>
      </c>
      <c r="E89" s="4" t="s">
        <v>1</v>
      </c>
    </row>
    <row r="90" customFormat="false" ht="14.25" hidden="false" customHeight="true" outlineLevel="0" collapsed="false">
      <c r="A90" s="2" t="n">
        <v>5.5</v>
      </c>
      <c r="B90" s="3" t="n">
        <v>2.5</v>
      </c>
      <c r="C90" s="3" t="n">
        <v>4</v>
      </c>
      <c r="D90" s="3" t="n">
        <v>1.3</v>
      </c>
      <c r="E90" s="4" t="s">
        <v>1</v>
      </c>
    </row>
    <row r="91" customFormat="false" ht="14.25" hidden="false" customHeight="true" outlineLevel="0" collapsed="false">
      <c r="A91" s="2" t="n">
        <v>5.5</v>
      </c>
      <c r="B91" s="3" t="n">
        <v>2.6</v>
      </c>
      <c r="C91" s="3" t="n">
        <v>4.4</v>
      </c>
      <c r="D91" s="3" t="n">
        <v>1.2</v>
      </c>
      <c r="E91" s="4" t="s">
        <v>1</v>
      </c>
    </row>
    <row r="92" customFormat="false" ht="14.25" hidden="false" customHeight="true" outlineLevel="0" collapsed="false">
      <c r="A92" s="2" t="n">
        <v>6.1</v>
      </c>
      <c r="B92" s="3" t="n">
        <v>3</v>
      </c>
      <c r="C92" s="3" t="n">
        <v>4.6</v>
      </c>
      <c r="D92" s="3" t="n">
        <v>1.4</v>
      </c>
      <c r="E92" s="4" t="s">
        <v>1</v>
      </c>
    </row>
    <row r="93" customFormat="false" ht="14.25" hidden="false" customHeight="true" outlineLevel="0" collapsed="false">
      <c r="A93" s="2" t="n">
        <v>5.8</v>
      </c>
      <c r="B93" s="3" t="n">
        <v>2.6</v>
      </c>
      <c r="C93" s="3" t="n">
        <v>4</v>
      </c>
      <c r="D93" s="3" t="n">
        <v>1.2</v>
      </c>
      <c r="E93" s="4" t="s">
        <v>1</v>
      </c>
    </row>
    <row r="94" customFormat="false" ht="14.25" hidden="false" customHeight="true" outlineLevel="0" collapsed="false">
      <c r="A94" s="2" t="n">
        <v>5</v>
      </c>
      <c r="B94" s="3" t="n">
        <v>2.3</v>
      </c>
      <c r="C94" s="3" t="n">
        <v>3.3</v>
      </c>
      <c r="D94" s="3" t="n">
        <v>1</v>
      </c>
      <c r="E94" s="4" t="s">
        <v>1</v>
      </c>
    </row>
    <row r="95" customFormat="false" ht="14.25" hidden="false" customHeight="true" outlineLevel="0" collapsed="false">
      <c r="A95" s="2" t="n">
        <v>5.6</v>
      </c>
      <c r="B95" s="3" t="n">
        <v>2.7</v>
      </c>
      <c r="C95" s="3" t="n">
        <v>4.2</v>
      </c>
      <c r="D95" s="3" t="n">
        <v>1.3</v>
      </c>
      <c r="E95" s="4" t="s">
        <v>1</v>
      </c>
    </row>
    <row r="96" customFormat="false" ht="14.25" hidden="false" customHeight="true" outlineLevel="0" collapsed="false">
      <c r="A96" s="2" t="n">
        <v>5.7</v>
      </c>
      <c r="B96" s="3" t="n">
        <v>3</v>
      </c>
      <c r="C96" s="3" t="n">
        <v>4.2</v>
      </c>
      <c r="D96" s="3" t="n">
        <v>1.2</v>
      </c>
      <c r="E96" s="4" t="s">
        <v>1</v>
      </c>
    </row>
    <row r="97" customFormat="false" ht="14.25" hidden="false" customHeight="true" outlineLevel="0" collapsed="false">
      <c r="A97" s="2" t="n">
        <v>5.7</v>
      </c>
      <c r="B97" s="3" t="n">
        <v>2.9</v>
      </c>
      <c r="C97" s="3" t="n">
        <v>4.2</v>
      </c>
      <c r="D97" s="3" t="n">
        <v>1.3</v>
      </c>
      <c r="E97" s="4" t="s">
        <v>1</v>
      </c>
    </row>
    <row r="98" customFormat="false" ht="14.25" hidden="false" customHeight="true" outlineLevel="0" collapsed="false">
      <c r="A98" s="2" t="n">
        <v>6.2</v>
      </c>
      <c r="B98" s="3" t="n">
        <v>2.9</v>
      </c>
      <c r="C98" s="3" t="n">
        <v>4.3</v>
      </c>
      <c r="D98" s="3" t="n">
        <v>1.3</v>
      </c>
      <c r="E98" s="4" t="s">
        <v>1</v>
      </c>
    </row>
    <row r="99" customFormat="false" ht="14.25" hidden="false" customHeight="true" outlineLevel="0" collapsed="false">
      <c r="A99" s="2" t="n">
        <v>5.1</v>
      </c>
      <c r="B99" s="3" t="n">
        <v>2.5</v>
      </c>
      <c r="C99" s="3" t="n">
        <v>3</v>
      </c>
      <c r="D99" s="3" t="n">
        <v>1.1</v>
      </c>
      <c r="E99" s="4" t="s">
        <v>1</v>
      </c>
    </row>
    <row r="100" customFormat="false" ht="14.25" hidden="false" customHeight="true" outlineLevel="0" collapsed="false">
      <c r="A100" s="2" t="n">
        <v>5.7</v>
      </c>
      <c r="B100" s="3" t="n">
        <v>2.8</v>
      </c>
      <c r="C100" s="3" t="n">
        <v>4.1</v>
      </c>
      <c r="D100" s="3" t="n">
        <v>1.3</v>
      </c>
      <c r="E100" s="4" t="s">
        <v>1</v>
      </c>
    </row>
    <row r="101" customFormat="false" ht="14.25" hidden="false" customHeight="true" outlineLevel="0" collapsed="false">
      <c r="A101" s="5"/>
      <c r="B101" s="6"/>
      <c r="C101" s="6"/>
      <c r="D101" s="6"/>
      <c r="E101" s="7"/>
    </row>
    <row r="102" customFormat="false" ht="14.25" hidden="false" customHeight="true" outlineLevel="0" collapsed="false">
      <c r="A102" s="5"/>
      <c r="B102" s="6"/>
      <c r="C102" s="6"/>
      <c r="D102" s="6"/>
      <c r="E102" s="7"/>
    </row>
    <row r="103" customFormat="false" ht="14.25" hidden="false" customHeight="true" outlineLevel="0" collapsed="false">
      <c r="A103" s="5"/>
      <c r="B103" s="6"/>
      <c r="C103" s="6"/>
      <c r="D103" s="6"/>
      <c r="E103" s="7"/>
    </row>
    <row r="104" customFormat="false" ht="14.25" hidden="false" customHeight="true" outlineLevel="0" collapsed="false">
      <c r="A104" s="5"/>
      <c r="B104" s="6"/>
      <c r="C104" s="6"/>
      <c r="D104" s="6"/>
      <c r="E104" s="7"/>
    </row>
    <row r="105" customFormat="false" ht="14.25" hidden="false" customHeight="true" outlineLevel="0" collapsed="false">
      <c r="A105" s="5"/>
      <c r="B105" s="6"/>
      <c r="C105" s="6"/>
      <c r="D105" s="6"/>
      <c r="E105" s="7"/>
    </row>
    <row r="106" customFormat="false" ht="14.25" hidden="false" customHeight="true" outlineLevel="0" collapsed="false">
      <c r="A106" s="5"/>
      <c r="B106" s="6"/>
      <c r="C106" s="6"/>
      <c r="D106" s="6"/>
      <c r="E106" s="7"/>
    </row>
    <row r="107" customFormat="false" ht="14.25" hidden="false" customHeight="true" outlineLevel="0" collapsed="false">
      <c r="A107" s="5"/>
      <c r="B107" s="6"/>
      <c r="C107" s="6"/>
      <c r="D107" s="6"/>
      <c r="E107" s="7"/>
    </row>
    <row r="108" customFormat="false" ht="14.25" hidden="false" customHeight="true" outlineLevel="0" collapsed="false">
      <c r="A108" s="5"/>
      <c r="B108" s="6"/>
      <c r="C108" s="6"/>
      <c r="D108" s="6"/>
      <c r="E108" s="7"/>
    </row>
    <row r="109" customFormat="false" ht="14.25" hidden="false" customHeight="true" outlineLevel="0" collapsed="false">
      <c r="A109" s="5"/>
      <c r="B109" s="6"/>
      <c r="C109" s="6"/>
      <c r="D109" s="6"/>
      <c r="E109" s="7"/>
    </row>
    <row r="110" customFormat="false" ht="14.25" hidden="false" customHeight="true" outlineLevel="0" collapsed="false">
      <c r="A110" s="5"/>
      <c r="B110" s="6"/>
      <c r="C110" s="6"/>
      <c r="D110" s="6"/>
      <c r="E110" s="7"/>
    </row>
    <row r="111" customFormat="false" ht="14.25" hidden="false" customHeight="true" outlineLevel="0" collapsed="false">
      <c r="A111" s="5"/>
      <c r="B111" s="6"/>
      <c r="C111" s="6"/>
      <c r="D111" s="6"/>
      <c r="E111" s="7"/>
    </row>
    <row r="112" customFormat="false" ht="14.25" hidden="false" customHeight="true" outlineLevel="0" collapsed="false">
      <c r="A112" s="5"/>
      <c r="B112" s="6"/>
      <c r="C112" s="6"/>
      <c r="D112" s="6"/>
      <c r="E112" s="7"/>
    </row>
    <row r="113" customFormat="false" ht="14.25" hidden="false" customHeight="true" outlineLevel="0" collapsed="false">
      <c r="A113" s="5"/>
      <c r="B113" s="6"/>
      <c r="C113" s="6"/>
      <c r="D113" s="6"/>
      <c r="E113" s="7"/>
    </row>
    <row r="114" customFormat="false" ht="14.25" hidden="false" customHeight="true" outlineLevel="0" collapsed="false">
      <c r="A114" s="5"/>
      <c r="B114" s="6"/>
      <c r="C114" s="6"/>
      <c r="D114" s="6"/>
      <c r="E114" s="7"/>
    </row>
    <row r="115" customFormat="false" ht="14.25" hidden="false" customHeight="true" outlineLevel="0" collapsed="false">
      <c r="A115" s="5"/>
      <c r="B115" s="6"/>
      <c r="C115" s="6"/>
      <c r="D115" s="6"/>
      <c r="E115" s="7"/>
    </row>
    <row r="116" customFormat="false" ht="14.25" hidden="false" customHeight="true" outlineLevel="0" collapsed="false">
      <c r="A116" s="5"/>
      <c r="B116" s="6"/>
      <c r="C116" s="6"/>
      <c r="D116" s="6"/>
      <c r="E116" s="7"/>
    </row>
    <row r="117" customFormat="false" ht="14.25" hidden="false" customHeight="true" outlineLevel="0" collapsed="false">
      <c r="A117" s="5"/>
      <c r="B117" s="6"/>
      <c r="C117" s="6"/>
      <c r="D117" s="6"/>
      <c r="E117" s="7"/>
    </row>
    <row r="118" customFormat="false" ht="14.25" hidden="false" customHeight="true" outlineLevel="0" collapsed="false">
      <c r="A118" s="5"/>
      <c r="B118" s="6"/>
      <c r="C118" s="6"/>
      <c r="D118" s="6"/>
      <c r="E118" s="7"/>
    </row>
    <row r="119" customFormat="false" ht="14.25" hidden="false" customHeight="true" outlineLevel="0" collapsed="false">
      <c r="A119" s="5"/>
      <c r="B119" s="6"/>
      <c r="C119" s="6"/>
      <c r="D119" s="6"/>
      <c r="E119" s="7"/>
    </row>
    <row r="120" customFormat="false" ht="14.25" hidden="false" customHeight="true" outlineLevel="0" collapsed="false">
      <c r="A120" s="5"/>
      <c r="B120" s="6"/>
      <c r="C120" s="6"/>
      <c r="D120" s="6"/>
      <c r="E120" s="7"/>
    </row>
    <row r="121" customFormat="false" ht="14.25" hidden="false" customHeight="true" outlineLevel="0" collapsed="false">
      <c r="A121" s="5"/>
      <c r="B121" s="6"/>
      <c r="C121" s="6"/>
      <c r="D121" s="6"/>
      <c r="E121" s="7"/>
    </row>
    <row r="122" customFormat="false" ht="14.25" hidden="false" customHeight="true" outlineLevel="0" collapsed="false">
      <c r="A122" s="5"/>
      <c r="B122" s="6"/>
      <c r="C122" s="6"/>
      <c r="D122" s="6"/>
      <c r="E122" s="7"/>
    </row>
    <row r="123" customFormat="false" ht="14.25" hidden="false" customHeight="true" outlineLevel="0" collapsed="false">
      <c r="A123" s="5"/>
      <c r="B123" s="6"/>
      <c r="C123" s="6"/>
      <c r="D123" s="6"/>
      <c r="E123" s="7"/>
    </row>
    <row r="124" customFormat="false" ht="14.25" hidden="false" customHeight="true" outlineLevel="0" collapsed="false">
      <c r="A124" s="5"/>
      <c r="B124" s="6"/>
      <c r="C124" s="6"/>
      <c r="D124" s="6"/>
      <c r="E124" s="7"/>
    </row>
    <row r="125" customFormat="false" ht="14.25" hidden="false" customHeight="true" outlineLevel="0" collapsed="false">
      <c r="A125" s="5"/>
      <c r="B125" s="6"/>
      <c r="C125" s="6"/>
      <c r="D125" s="6"/>
      <c r="E125" s="7"/>
    </row>
    <row r="126" customFormat="false" ht="14.25" hidden="false" customHeight="true" outlineLevel="0" collapsed="false">
      <c r="A126" s="5"/>
      <c r="B126" s="6"/>
      <c r="C126" s="6"/>
      <c r="D126" s="6"/>
      <c r="E126" s="7"/>
    </row>
    <row r="127" customFormat="false" ht="14.25" hidden="false" customHeight="true" outlineLevel="0" collapsed="false">
      <c r="A127" s="5"/>
      <c r="B127" s="6"/>
      <c r="C127" s="6"/>
      <c r="D127" s="6"/>
      <c r="E127" s="7"/>
    </row>
    <row r="128" customFormat="false" ht="14.25" hidden="false" customHeight="true" outlineLevel="0" collapsed="false">
      <c r="A128" s="5"/>
      <c r="B128" s="6"/>
      <c r="C128" s="6"/>
      <c r="D128" s="6"/>
      <c r="E128" s="7"/>
    </row>
    <row r="129" customFormat="false" ht="14.25" hidden="false" customHeight="true" outlineLevel="0" collapsed="false">
      <c r="A129" s="5"/>
      <c r="B129" s="6"/>
      <c r="C129" s="6"/>
      <c r="D129" s="6"/>
      <c r="E129" s="7"/>
    </row>
    <row r="130" customFormat="false" ht="14.25" hidden="false" customHeight="true" outlineLevel="0" collapsed="false">
      <c r="A130" s="5"/>
      <c r="B130" s="6"/>
      <c r="C130" s="6"/>
      <c r="D130" s="6"/>
      <c r="E130" s="7"/>
    </row>
    <row r="131" customFormat="false" ht="14.25" hidden="false" customHeight="true" outlineLevel="0" collapsed="false">
      <c r="A131" s="5"/>
      <c r="B131" s="6"/>
      <c r="C131" s="6"/>
      <c r="D131" s="6"/>
      <c r="E131" s="7"/>
    </row>
    <row r="132" customFormat="false" ht="14.25" hidden="false" customHeight="true" outlineLevel="0" collapsed="false">
      <c r="A132" s="5"/>
      <c r="B132" s="6"/>
      <c r="C132" s="6"/>
      <c r="D132" s="6"/>
      <c r="E132" s="7"/>
    </row>
    <row r="133" customFormat="false" ht="14.25" hidden="false" customHeight="true" outlineLevel="0" collapsed="false">
      <c r="A133" s="5"/>
      <c r="B133" s="6"/>
      <c r="C133" s="6"/>
      <c r="D133" s="6"/>
      <c r="E133" s="7"/>
    </row>
    <row r="134" customFormat="false" ht="14.25" hidden="false" customHeight="true" outlineLevel="0" collapsed="false">
      <c r="A134" s="5"/>
      <c r="B134" s="6"/>
      <c r="C134" s="6"/>
      <c r="D134" s="6"/>
      <c r="E134" s="7"/>
    </row>
    <row r="135" customFormat="false" ht="14.25" hidden="false" customHeight="true" outlineLevel="0" collapsed="false">
      <c r="A135" s="5"/>
      <c r="B135" s="6"/>
      <c r="C135" s="6"/>
      <c r="D135" s="6"/>
      <c r="E135" s="7"/>
    </row>
    <row r="136" customFormat="false" ht="14.25" hidden="false" customHeight="true" outlineLevel="0" collapsed="false">
      <c r="A136" s="5"/>
      <c r="B136" s="6"/>
      <c r="C136" s="6"/>
      <c r="D136" s="6"/>
      <c r="E136" s="7"/>
    </row>
    <row r="137" customFormat="false" ht="14.25" hidden="false" customHeight="true" outlineLevel="0" collapsed="false">
      <c r="A137" s="5"/>
      <c r="B137" s="6"/>
      <c r="C137" s="6"/>
      <c r="D137" s="6"/>
      <c r="E137" s="7"/>
    </row>
    <row r="138" customFormat="false" ht="14.25" hidden="false" customHeight="true" outlineLevel="0" collapsed="false">
      <c r="A138" s="5"/>
      <c r="B138" s="6"/>
      <c r="C138" s="6"/>
      <c r="D138" s="6"/>
      <c r="E138" s="7"/>
    </row>
    <row r="139" customFormat="false" ht="14.25" hidden="false" customHeight="true" outlineLevel="0" collapsed="false">
      <c r="A139" s="5"/>
      <c r="B139" s="6"/>
      <c r="C139" s="6"/>
      <c r="D139" s="6"/>
      <c r="E139" s="7"/>
    </row>
    <row r="140" customFormat="false" ht="14.25" hidden="false" customHeight="true" outlineLevel="0" collapsed="false">
      <c r="A140" s="5"/>
      <c r="B140" s="6"/>
      <c r="C140" s="6"/>
      <c r="D140" s="6"/>
      <c r="E140" s="7"/>
    </row>
    <row r="141" customFormat="false" ht="14.25" hidden="false" customHeight="true" outlineLevel="0" collapsed="false">
      <c r="A141" s="5"/>
      <c r="B141" s="6"/>
      <c r="C141" s="6"/>
      <c r="D141" s="6"/>
      <c r="E141" s="7"/>
    </row>
    <row r="142" customFormat="false" ht="14.25" hidden="false" customHeight="true" outlineLevel="0" collapsed="false">
      <c r="A142" s="5"/>
      <c r="B142" s="6"/>
      <c r="C142" s="6"/>
      <c r="D142" s="6"/>
      <c r="E142" s="7"/>
    </row>
    <row r="143" customFormat="false" ht="14.25" hidden="false" customHeight="true" outlineLevel="0" collapsed="false">
      <c r="A143" s="5"/>
      <c r="B143" s="6"/>
      <c r="C143" s="6"/>
      <c r="D143" s="6"/>
      <c r="E143" s="7"/>
    </row>
    <row r="144" customFormat="false" ht="14.25" hidden="false" customHeight="true" outlineLevel="0" collapsed="false">
      <c r="A144" s="5"/>
      <c r="B144" s="6"/>
      <c r="C144" s="6"/>
      <c r="D144" s="6"/>
      <c r="E144" s="7"/>
    </row>
    <row r="145" customFormat="false" ht="14.25" hidden="false" customHeight="true" outlineLevel="0" collapsed="false">
      <c r="A145" s="5"/>
      <c r="B145" s="6"/>
      <c r="C145" s="6"/>
      <c r="D145" s="6"/>
      <c r="E145" s="7"/>
    </row>
    <row r="146" customFormat="false" ht="14.25" hidden="false" customHeight="true" outlineLevel="0" collapsed="false">
      <c r="A146" s="5"/>
      <c r="B146" s="6"/>
      <c r="C146" s="6"/>
      <c r="D146" s="6"/>
      <c r="E146" s="7"/>
    </row>
    <row r="147" customFormat="false" ht="14.25" hidden="false" customHeight="true" outlineLevel="0" collapsed="false">
      <c r="A147" s="5"/>
      <c r="B147" s="6"/>
      <c r="C147" s="6"/>
      <c r="D147" s="6"/>
      <c r="E147" s="7"/>
    </row>
    <row r="148" customFormat="false" ht="14.25" hidden="false" customHeight="true" outlineLevel="0" collapsed="false">
      <c r="A148" s="5"/>
      <c r="B148" s="6"/>
      <c r="C148" s="6"/>
      <c r="D148" s="6"/>
      <c r="E148" s="7"/>
    </row>
    <row r="149" customFormat="false" ht="14.25" hidden="false" customHeight="true" outlineLevel="0" collapsed="false">
      <c r="A149" s="5"/>
      <c r="B149" s="6"/>
      <c r="C149" s="6"/>
      <c r="D149" s="6"/>
      <c r="E149" s="7"/>
    </row>
    <row r="150" customFormat="false" ht="14.25" hidden="false" customHeight="true" outlineLevel="0" collapsed="false">
      <c r="A150" s="5"/>
      <c r="B150" s="6"/>
      <c r="C150" s="6"/>
      <c r="D150" s="6"/>
      <c r="E150" s="7"/>
    </row>
    <row r="151" customFormat="false" ht="14.25" hidden="false" customHeight="true" outlineLevel="0" collapsed="false">
      <c r="A151" s="6"/>
      <c r="B151" s="6"/>
      <c r="C151" s="6"/>
      <c r="D151" s="6"/>
      <c r="E151" s="7"/>
    </row>
    <row r="152" customFormat="false" ht="14.25" hidden="false" customHeight="true" outlineLevel="0" collapsed="false">
      <c r="A152" s="6"/>
      <c r="B152" s="6"/>
      <c r="C152" s="6"/>
      <c r="D152" s="6"/>
      <c r="E152" s="7"/>
    </row>
    <row r="153" customFormat="false" ht="14.25" hidden="false" customHeight="true" outlineLevel="0" collapsed="false">
      <c r="A153" s="6"/>
      <c r="B153" s="6"/>
      <c r="C153" s="6"/>
      <c r="D153" s="6"/>
      <c r="E153" s="7"/>
    </row>
    <row r="154" customFormat="false" ht="14.25" hidden="false" customHeight="true" outlineLevel="0" collapsed="false">
      <c r="A154" s="6"/>
      <c r="B154" s="6"/>
      <c r="C154" s="6"/>
      <c r="D154" s="6"/>
      <c r="E154" s="7"/>
    </row>
    <row r="155" customFormat="false" ht="14.25" hidden="false" customHeight="true" outlineLevel="0" collapsed="false">
      <c r="A155" s="6"/>
      <c r="B155" s="6"/>
      <c r="C155" s="6"/>
      <c r="D155" s="6"/>
      <c r="E155" s="7"/>
    </row>
    <row r="156" customFormat="false" ht="14.25" hidden="false" customHeight="true" outlineLevel="0" collapsed="false">
      <c r="A156" s="6"/>
      <c r="B156" s="6"/>
      <c r="C156" s="6"/>
      <c r="D156" s="6"/>
      <c r="E156" s="7"/>
    </row>
    <row r="157" customFormat="false" ht="14.25" hidden="false" customHeight="true" outlineLevel="0" collapsed="false">
      <c r="A157" s="6"/>
      <c r="B157" s="6"/>
      <c r="C157" s="6"/>
      <c r="D157" s="6"/>
      <c r="E157" s="7"/>
    </row>
    <row r="158" customFormat="false" ht="14.25" hidden="false" customHeight="true" outlineLevel="0" collapsed="false">
      <c r="A158" s="6"/>
      <c r="B158" s="6"/>
      <c r="C158" s="6"/>
      <c r="D158" s="6"/>
      <c r="E158" s="7"/>
    </row>
    <row r="159" customFormat="false" ht="14.25" hidden="false" customHeight="true" outlineLevel="0" collapsed="false">
      <c r="A159" s="6"/>
      <c r="B159" s="6"/>
      <c r="C159" s="6"/>
      <c r="D159" s="6"/>
      <c r="E159" s="7"/>
    </row>
    <row r="160" customFormat="false" ht="14.25" hidden="false" customHeight="true" outlineLevel="0" collapsed="false">
      <c r="A160" s="6"/>
      <c r="B160" s="6"/>
      <c r="C160" s="6"/>
      <c r="D160" s="6"/>
      <c r="E160" s="7"/>
    </row>
    <row r="161" customFormat="false" ht="14.25" hidden="false" customHeight="true" outlineLevel="0" collapsed="false">
      <c r="A161" s="6"/>
      <c r="B161" s="6"/>
      <c r="C161" s="6"/>
      <c r="D161" s="6"/>
      <c r="E161" s="7"/>
    </row>
    <row r="162" customFormat="false" ht="14.25" hidden="false" customHeight="true" outlineLevel="0" collapsed="false">
      <c r="A162" s="6"/>
      <c r="B162" s="6"/>
      <c r="C162" s="6"/>
      <c r="D162" s="6"/>
      <c r="E162" s="7"/>
    </row>
    <row r="163" customFormat="false" ht="14.25" hidden="false" customHeight="true" outlineLevel="0" collapsed="false">
      <c r="A163" s="6"/>
      <c r="B163" s="6"/>
      <c r="C163" s="6"/>
      <c r="D163" s="6"/>
      <c r="E163" s="7"/>
    </row>
    <row r="164" customFormat="false" ht="14.25" hidden="false" customHeight="true" outlineLevel="0" collapsed="false">
      <c r="A164" s="6"/>
      <c r="B164" s="6"/>
      <c r="C164" s="6"/>
      <c r="D164" s="6"/>
      <c r="E164" s="7"/>
    </row>
    <row r="165" customFormat="false" ht="14.25" hidden="false" customHeight="true" outlineLevel="0" collapsed="false">
      <c r="A165" s="6"/>
      <c r="B165" s="6"/>
      <c r="C165" s="6"/>
      <c r="D165" s="6"/>
      <c r="E165" s="7"/>
    </row>
    <row r="166" customFormat="false" ht="14.25" hidden="false" customHeight="true" outlineLevel="0" collapsed="false">
      <c r="A166" s="6"/>
      <c r="B166" s="6"/>
      <c r="C166" s="6"/>
      <c r="D166" s="6"/>
      <c r="E166" s="7"/>
    </row>
    <row r="167" customFormat="false" ht="14.25" hidden="false" customHeight="true" outlineLevel="0" collapsed="false">
      <c r="A167" s="6"/>
      <c r="B167" s="6"/>
      <c r="C167" s="6"/>
      <c r="D167" s="6"/>
      <c r="E167" s="7"/>
    </row>
    <row r="168" customFormat="false" ht="14.25" hidden="false" customHeight="true" outlineLevel="0" collapsed="false">
      <c r="A168" s="6"/>
      <c r="B168" s="6"/>
      <c r="C168" s="6"/>
      <c r="D168" s="6"/>
      <c r="E168" s="7"/>
    </row>
    <row r="169" customFormat="false" ht="14.25" hidden="false" customHeight="true" outlineLevel="0" collapsed="false">
      <c r="A169" s="6"/>
      <c r="B169" s="6"/>
      <c r="C169" s="6"/>
      <c r="D169" s="6"/>
      <c r="E169" s="7"/>
    </row>
    <row r="170" customFormat="false" ht="14.25" hidden="false" customHeight="true" outlineLevel="0" collapsed="false">
      <c r="A170" s="6"/>
      <c r="B170" s="6"/>
      <c r="C170" s="6"/>
      <c r="D170" s="6"/>
      <c r="E170" s="7"/>
    </row>
    <row r="171" customFormat="false" ht="14.25" hidden="false" customHeight="true" outlineLevel="0" collapsed="false">
      <c r="A171" s="6"/>
      <c r="B171" s="6"/>
      <c r="C171" s="6"/>
      <c r="D171" s="6"/>
      <c r="E171" s="7"/>
    </row>
    <row r="172" customFormat="false" ht="14.25" hidden="false" customHeight="true" outlineLevel="0" collapsed="false">
      <c r="A172" s="6"/>
      <c r="B172" s="6"/>
      <c r="C172" s="6"/>
      <c r="D172" s="6"/>
      <c r="E172" s="7"/>
    </row>
    <row r="173" customFormat="false" ht="14.25" hidden="false" customHeight="true" outlineLevel="0" collapsed="false">
      <c r="A173" s="6"/>
      <c r="B173" s="6"/>
      <c r="C173" s="6"/>
      <c r="D173" s="6"/>
      <c r="E173" s="7"/>
    </row>
    <row r="174" customFormat="false" ht="14.25" hidden="false" customHeight="true" outlineLevel="0" collapsed="false">
      <c r="A174" s="6"/>
      <c r="B174" s="6"/>
      <c r="C174" s="6"/>
      <c r="D174" s="6"/>
      <c r="E174" s="7"/>
    </row>
    <row r="175" customFormat="false" ht="14.25" hidden="false" customHeight="true" outlineLevel="0" collapsed="false">
      <c r="A175" s="6"/>
      <c r="B175" s="6"/>
      <c r="C175" s="6"/>
      <c r="D175" s="6"/>
      <c r="E175" s="7"/>
    </row>
    <row r="176" customFormat="false" ht="14.25" hidden="false" customHeight="true" outlineLevel="0" collapsed="false">
      <c r="A176" s="6"/>
      <c r="B176" s="6"/>
      <c r="C176" s="6"/>
      <c r="D176" s="6"/>
      <c r="E176" s="7"/>
    </row>
    <row r="177" customFormat="false" ht="14.25" hidden="false" customHeight="true" outlineLevel="0" collapsed="false">
      <c r="A177" s="6"/>
      <c r="B177" s="6"/>
      <c r="C177" s="6"/>
      <c r="D177" s="6"/>
      <c r="E177" s="7"/>
    </row>
    <row r="178" customFormat="false" ht="14.25" hidden="false" customHeight="true" outlineLevel="0" collapsed="false">
      <c r="A178" s="6"/>
      <c r="B178" s="6"/>
      <c r="C178" s="6"/>
      <c r="D178" s="6"/>
      <c r="E178" s="7"/>
    </row>
    <row r="179" customFormat="false" ht="14.25" hidden="false" customHeight="true" outlineLevel="0" collapsed="false">
      <c r="A179" s="6"/>
      <c r="B179" s="6"/>
      <c r="C179" s="6"/>
      <c r="D179" s="6"/>
      <c r="E179" s="7"/>
    </row>
    <row r="180" customFormat="false" ht="14.25" hidden="false" customHeight="true" outlineLevel="0" collapsed="false">
      <c r="A180" s="6"/>
      <c r="B180" s="6"/>
      <c r="C180" s="6"/>
      <c r="D180" s="6"/>
      <c r="E180" s="7"/>
    </row>
    <row r="181" customFormat="false" ht="14.25" hidden="false" customHeight="true" outlineLevel="0" collapsed="false">
      <c r="A181" s="6"/>
      <c r="B181" s="6"/>
      <c r="C181" s="6"/>
      <c r="D181" s="6"/>
      <c r="E181" s="7"/>
    </row>
    <row r="182" customFormat="false" ht="14.25" hidden="false" customHeight="true" outlineLevel="0" collapsed="false">
      <c r="A182" s="6"/>
      <c r="B182" s="6"/>
      <c r="C182" s="6"/>
      <c r="D182" s="6"/>
      <c r="E182" s="7"/>
    </row>
    <row r="183" customFormat="false" ht="14.25" hidden="false" customHeight="true" outlineLevel="0" collapsed="false">
      <c r="A183" s="6"/>
      <c r="B183" s="6"/>
      <c r="C183" s="6"/>
      <c r="D183" s="6"/>
      <c r="E183" s="7"/>
    </row>
    <row r="184" customFormat="false" ht="14.25" hidden="false" customHeight="true" outlineLevel="0" collapsed="false">
      <c r="A184" s="6"/>
      <c r="B184" s="6"/>
      <c r="C184" s="6"/>
      <c r="D184" s="6"/>
      <c r="E184" s="7"/>
    </row>
    <row r="185" customFormat="false" ht="14.25" hidden="false" customHeight="true" outlineLevel="0" collapsed="false">
      <c r="A185" s="6"/>
      <c r="B185" s="6"/>
      <c r="C185" s="6"/>
      <c r="D185" s="6"/>
      <c r="E185" s="7"/>
    </row>
    <row r="186" customFormat="false" ht="14.25" hidden="false" customHeight="true" outlineLevel="0" collapsed="false">
      <c r="A186" s="6"/>
      <c r="B186" s="6"/>
      <c r="C186" s="6"/>
      <c r="D186" s="6"/>
      <c r="E186" s="7"/>
    </row>
    <row r="187" customFormat="false" ht="14.25" hidden="false" customHeight="true" outlineLevel="0" collapsed="false">
      <c r="A187" s="6"/>
      <c r="B187" s="6"/>
      <c r="C187" s="6"/>
      <c r="D187" s="6"/>
      <c r="E187" s="7"/>
    </row>
    <row r="188" customFormat="false" ht="14.25" hidden="false" customHeight="true" outlineLevel="0" collapsed="false">
      <c r="A188" s="6"/>
      <c r="B188" s="6"/>
      <c r="C188" s="6"/>
      <c r="D188" s="6"/>
      <c r="E188" s="7"/>
    </row>
    <row r="189" customFormat="false" ht="14.25" hidden="false" customHeight="true" outlineLevel="0" collapsed="false">
      <c r="A189" s="6"/>
      <c r="B189" s="6"/>
      <c r="C189" s="6"/>
      <c r="D189" s="6"/>
      <c r="E189" s="7"/>
    </row>
    <row r="190" customFormat="false" ht="14.25" hidden="false" customHeight="true" outlineLevel="0" collapsed="false">
      <c r="A190" s="6"/>
      <c r="B190" s="6"/>
      <c r="C190" s="6"/>
      <c r="D190" s="6"/>
      <c r="E190" s="7"/>
    </row>
    <row r="191" customFormat="false" ht="14.25" hidden="false" customHeight="true" outlineLevel="0" collapsed="false">
      <c r="A191" s="6"/>
      <c r="B191" s="6"/>
      <c r="C191" s="6"/>
      <c r="D191" s="6"/>
      <c r="E191" s="7"/>
    </row>
    <row r="192" customFormat="false" ht="14.25" hidden="false" customHeight="true" outlineLevel="0" collapsed="false">
      <c r="A192" s="6"/>
      <c r="B192" s="6"/>
      <c r="C192" s="6"/>
      <c r="D192" s="6"/>
      <c r="E192" s="7"/>
    </row>
    <row r="193" customFormat="false" ht="14.25" hidden="false" customHeight="true" outlineLevel="0" collapsed="false">
      <c r="A193" s="6"/>
      <c r="B193" s="6"/>
      <c r="C193" s="6"/>
      <c r="D193" s="6"/>
      <c r="E193" s="7"/>
    </row>
    <row r="194" customFormat="false" ht="14.25" hidden="false" customHeight="true" outlineLevel="0" collapsed="false">
      <c r="A194" s="6"/>
      <c r="B194" s="6"/>
      <c r="C194" s="6"/>
      <c r="D194" s="6"/>
      <c r="E194" s="7"/>
    </row>
    <row r="195" customFormat="false" ht="14.25" hidden="false" customHeight="true" outlineLevel="0" collapsed="false">
      <c r="A195" s="6"/>
      <c r="B195" s="6"/>
      <c r="C195" s="6"/>
      <c r="D195" s="6"/>
      <c r="E195" s="7"/>
    </row>
    <row r="196" customFormat="false" ht="14.25" hidden="false" customHeight="true" outlineLevel="0" collapsed="false">
      <c r="A196" s="6"/>
      <c r="B196" s="6"/>
      <c r="C196" s="6"/>
      <c r="D196" s="6"/>
      <c r="E196" s="7"/>
    </row>
    <row r="197" customFormat="false" ht="14.25" hidden="false" customHeight="true" outlineLevel="0" collapsed="false">
      <c r="A197" s="6"/>
      <c r="B197" s="6"/>
      <c r="C197" s="6"/>
      <c r="D197" s="6"/>
      <c r="E197" s="7"/>
    </row>
    <row r="198" customFormat="false" ht="14.25" hidden="false" customHeight="true" outlineLevel="0" collapsed="false">
      <c r="A198" s="6"/>
      <c r="B198" s="6"/>
      <c r="C198" s="6"/>
      <c r="D198" s="6"/>
      <c r="E198" s="7"/>
    </row>
    <row r="199" customFormat="false" ht="14.25" hidden="false" customHeight="true" outlineLevel="0" collapsed="false">
      <c r="A199" s="6"/>
      <c r="B199" s="6"/>
      <c r="C199" s="6"/>
      <c r="D199" s="6"/>
      <c r="E199" s="7"/>
    </row>
    <row r="200" customFormat="false" ht="14.25" hidden="false" customHeight="true" outlineLevel="0" collapsed="false">
      <c r="A200" s="6"/>
      <c r="B200" s="6"/>
      <c r="C200" s="6"/>
      <c r="D200" s="6"/>
      <c r="E200" s="7"/>
    </row>
    <row r="201" customFormat="false" ht="14.25" hidden="false" customHeight="true" outlineLevel="0" collapsed="false">
      <c r="A201" s="6"/>
      <c r="B201" s="6"/>
      <c r="C201" s="6"/>
      <c r="D201" s="6"/>
      <c r="E201" s="7"/>
    </row>
    <row r="202" customFormat="false" ht="14.25" hidden="false" customHeight="true" outlineLevel="0" collapsed="false">
      <c r="A202" s="6"/>
      <c r="B202" s="6"/>
      <c r="C202" s="6"/>
      <c r="D202" s="6"/>
      <c r="E202" s="7"/>
    </row>
    <row r="203" customFormat="false" ht="14.25" hidden="false" customHeight="true" outlineLevel="0" collapsed="false">
      <c r="A203" s="6"/>
      <c r="B203" s="6"/>
      <c r="C203" s="6"/>
      <c r="D203" s="6"/>
      <c r="E203" s="7"/>
    </row>
    <row r="204" customFormat="false" ht="14.25" hidden="false" customHeight="true" outlineLevel="0" collapsed="false">
      <c r="A204" s="6"/>
      <c r="B204" s="6"/>
      <c r="C204" s="6"/>
      <c r="D204" s="6"/>
      <c r="E204" s="7"/>
    </row>
    <row r="205" customFormat="false" ht="14.25" hidden="false" customHeight="true" outlineLevel="0" collapsed="false">
      <c r="A205" s="6"/>
      <c r="B205" s="6"/>
      <c r="C205" s="6"/>
      <c r="D205" s="6"/>
      <c r="E205" s="7"/>
    </row>
    <row r="206" customFormat="false" ht="14.25" hidden="false" customHeight="true" outlineLevel="0" collapsed="false">
      <c r="A206" s="6"/>
      <c r="B206" s="6"/>
      <c r="C206" s="6"/>
      <c r="D206" s="6"/>
      <c r="E206" s="7"/>
    </row>
    <row r="207" customFormat="false" ht="14.25" hidden="false" customHeight="true" outlineLevel="0" collapsed="false">
      <c r="A207" s="6"/>
      <c r="B207" s="6"/>
      <c r="C207" s="6"/>
      <c r="D207" s="6"/>
      <c r="E207" s="7"/>
    </row>
    <row r="208" customFormat="false" ht="14.25" hidden="false" customHeight="true" outlineLevel="0" collapsed="false">
      <c r="A208" s="6"/>
      <c r="B208" s="6"/>
      <c r="C208" s="6"/>
      <c r="D208" s="6"/>
      <c r="E208" s="7"/>
    </row>
    <row r="209" customFormat="false" ht="14.25" hidden="false" customHeight="true" outlineLevel="0" collapsed="false">
      <c r="A209" s="6"/>
      <c r="B209" s="6"/>
      <c r="C209" s="6"/>
      <c r="D209" s="6"/>
      <c r="E209" s="7"/>
    </row>
    <row r="210" customFormat="false" ht="14.25" hidden="false" customHeight="true" outlineLevel="0" collapsed="false">
      <c r="A210" s="6"/>
      <c r="B210" s="6"/>
      <c r="C210" s="6"/>
      <c r="D210" s="6"/>
      <c r="E210" s="7"/>
    </row>
    <row r="211" customFormat="false" ht="14.25" hidden="false" customHeight="true" outlineLevel="0" collapsed="false">
      <c r="A211" s="6"/>
      <c r="B211" s="6"/>
      <c r="C211" s="6"/>
      <c r="D211" s="6"/>
      <c r="E211" s="7"/>
    </row>
    <row r="212" customFormat="false" ht="14.25" hidden="false" customHeight="true" outlineLevel="0" collapsed="false">
      <c r="A212" s="6"/>
      <c r="B212" s="6"/>
      <c r="C212" s="6"/>
      <c r="D212" s="6"/>
      <c r="E212" s="7"/>
    </row>
    <row r="213" customFormat="false" ht="14.25" hidden="false" customHeight="true" outlineLevel="0" collapsed="false">
      <c r="A213" s="6"/>
      <c r="B213" s="6"/>
      <c r="C213" s="6"/>
      <c r="D213" s="6"/>
      <c r="E213" s="7"/>
    </row>
    <row r="214" customFormat="false" ht="14.25" hidden="false" customHeight="true" outlineLevel="0" collapsed="false">
      <c r="A214" s="6"/>
      <c r="B214" s="6"/>
      <c r="C214" s="6"/>
      <c r="D214" s="6"/>
      <c r="E214" s="7"/>
    </row>
    <row r="215" customFormat="false" ht="14.25" hidden="false" customHeight="true" outlineLevel="0" collapsed="false">
      <c r="A215" s="6"/>
      <c r="B215" s="6"/>
      <c r="C215" s="6"/>
      <c r="D215" s="6"/>
      <c r="E215" s="7"/>
    </row>
    <row r="216" customFormat="false" ht="14.25" hidden="false" customHeight="true" outlineLevel="0" collapsed="false">
      <c r="A216" s="6"/>
      <c r="B216" s="6"/>
      <c r="C216" s="6"/>
      <c r="D216" s="6"/>
      <c r="E216" s="7"/>
    </row>
    <row r="217" customFormat="false" ht="14.25" hidden="false" customHeight="true" outlineLevel="0" collapsed="false">
      <c r="A217" s="6"/>
      <c r="B217" s="6"/>
      <c r="C217" s="6"/>
      <c r="D217" s="6"/>
      <c r="E217" s="7"/>
    </row>
    <row r="218" customFormat="false" ht="14.25" hidden="false" customHeight="true" outlineLevel="0" collapsed="false">
      <c r="A218" s="6"/>
      <c r="B218" s="6"/>
      <c r="C218" s="6"/>
      <c r="D218" s="6"/>
      <c r="E218" s="7"/>
    </row>
    <row r="219" customFormat="false" ht="14.25" hidden="false" customHeight="true" outlineLevel="0" collapsed="false">
      <c r="A219" s="6"/>
      <c r="B219" s="6"/>
      <c r="C219" s="6"/>
      <c r="D219" s="6"/>
      <c r="E219" s="7"/>
    </row>
    <row r="220" customFormat="false" ht="14.25" hidden="false" customHeight="true" outlineLevel="0" collapsed="false">
      <c r="A220" s="6"/>
      <c r="B220" s="6"/>
      <c r="C220" s="6"/>
      <c r="D220" s="6"/>
      <c r="E220" s="7"/>
    </row>
    <row r="221" customFormat="false" ht="14.25" hidden="false" customHeight="true" outlineLevel="0" collapsed="false">
      <c r="A221" s="6"/>
      <c r="B221" s="6"/>
      <c r="C221" s="6"/>
      <c r="D221" s="6"/>
      <c r="E221" s="7"/>
    </row>
    <row r="222" customFormat="false" ht="14.25" hidden="false" customHeight="true" outlineLevel="0" collapsed="false">
      <c r="A222" s="6"/>
      <c r="B222" s="6"/>
      <c r="C222" s="6"/>
      <c r="D222" s="6"/>
      <c r="E222" s="7"/>
    </row>
    <row r="223" customFormat="false" ht="14.25" hidden="false" customHeight="true" outlineLevel="0" collapsed="false">
      <c r="A223" s="6"/>
      <c r="B223" s="6"/>
      <c r="C223" s="6"/>
      <c r="D223" s="6"/>
      <c r="E223" s="7"/>
    </row>
    <row r="224" customFormat="false" ht="14.25" hidden="false" customHeight="true" outlineLevel="0" collapsed="false">
      <c r="A224" s="6"/>
      <c r="B224" s="6"/>
      <c r="C224" s="6"/>
      <c r="D224" s="6"/>
      <c r="E224" s="7"/>
    </row>
    <row r="225" customFormat="false" ht="14.25" hidden="false" customHeight="true" outlineLevel="0" collapsed="false">
      <c r="A225" s="6"/>
      <c r="B225" s="6"/>
      <c r="C225" s="6"/>
      <c r="D225" s="6"/>
      <c r="E225" s="7"/>
    </row>
    <row r="226" customFormat="false" ht="14.25" hidden="false" customHeight="true" outlineLevel="0" collapsed="false">
      <c r="A226" s="6"/>
      <c r="B226" s="6"/>
      <c r="C226" s="6"/>
      <c r="D226" s="6"/>
      <c r="E226" s="7"/>
    </row>
    <row r="227" customFormat="false" ht="14.25" hidden="false" customHeight="true" outlineLevel="0" collapsed="false">
      <c r="A227" s="6"/>
      <c r="B227" s="6"/>
      <c r="C227" s="6"/>
      <c r="D227" s="6"/>
      <c r="E227" s="7"/>
    </row>
    <row r="228" customFormat="false" ht="14.25" hidden="false" customHeight="true" outlineLevel="0" collapsed="false">
      <c r="A228" s="6"/>
      <c r="B228" s="6"/>
      <c r="C228" s="6"/>
      <c r="D228" s="6"/>
      <c r="E228" s="7"/>
    </row>
    <row r="229" customFormat="false" ht="14.25" hidden="false" customHeight="true" outlineLevel="0" collapsed="false">
      <c r="A229" s="6"/>
      <c r="B229" s="6"/>
      <c r="C229" s="6"/>
      <c r="D229" s="6"/>
      <c r="E229" s="7"/>
    </row>
    <row r="230" customFormat="false" ht="14.25" hidden="false" customHeight="true" outlineLevel="0" collapsed="false">
      <c r="A230" s="6"/>
      <c r="B230" s="6"/>
      <c r="C230" s="6"/>
      <c r="D230" s="6"/>
      <c r="E230" s="7"/>
    </row>
    <row r="231" customFormat="false" ht="14.25" hidden="false" customHeight="true" outlineLevel="0" collapsed="false">
      <c r="A231" s="6"/>
      <c r="B231" s="6"/>
      <c r="C231" s="6"/>
      <c r="D231" s="6"/>
      <c r="E231" s="7"/>
    </row>
    <row r="232" customFormat="false" ht="14.25" hidden="false" customHeight="true" outlineLevel="0" collapsed="false">
      <c r="A232" s="6"/>
      <c r="B232" s="6"/>
      <c r="C232" s="6"/>
      <c r="D232" s="6"/>
      <c r="E232" s="7"/>
    </row>
    <row r="233" customFormat="false" ht="14.25" hidden="false" customHeight="true" outlineLevel="0" collapsed="false">
      <c r="A233" s="6"/>
      <c r="B233" s="6"/>
      <c r="C233" s="6"/>
      <c r="D233" s="6"/>
      <c r="E233" s="7"/>
    </row>
    <row r="234" customFormat="false" ht="14.25" hidden="false" customHeight="true" outlineLevel="0" collapsed="false">
      <c r="A234" s="6"/>
      <c r="B234" s="6"/>
      <c r="C234" s="6"/>
      <c r="D234" s="6"/>
      <c r="E234" s="7"/>
    </row>
    <row r="235" customFormat="false" ht="14.25" hidden="false" customHeight="true" outlineLevel="0" collapsed="false">
      <c r="A235" s="6"/>
      <c r="B235" s="6"/>
      <c r="C235" s="6"/>
      <c r="D235" s="6"/>
      <c r="E235" s="7"/>
    </row>
    <row r="236" customFormat="false" ht="14.25" hidden="false" customHeight="true" outlineLevel="0" collapsed="false">
      <c r="A236" s="6"/>
      <c r="B236" s="6"/>
      <c r="C236" s="6"/>
      <c r="D236" s="6"/>
      <c r="E236" s="7"/>
    </row>
    <row r="237" customFormat="false" ht="14.25" hidden="false" customHeight="true" outlineLevel="0" collapsed="false">
      <c r="A237" s="6"/>
      <c r="B237" s="6"/>
      <c r="C237" s="6"/>
      <c r="D237" s="6"/>
      <c r="E237" s="7"/>
    </row>
    <row r="238" customFormat="false" ht="14.25" hidden="false" customHeight="true" outlineLevel="0" collapsed="false">
      <c r="A238" s="6"/>
      <c r="B238" s="6"/>
      <c r="C238" s="6"/>
      <c r="D238" s="6"/>
      <c r="E238" s="7"/>
    </row>
    <row r="239" customFormat="false" ht="14.25" hidden="false" customHeight="true" outlineLevel="0" collapsed="false">
      <c r="A239" s="6"/>
      <c r="B239" s="6"/>
      <c r="C239" s="6"/>
      <c r="D239" s="6"/>
      <c r="E239" s="7"/>
    </row>
    <row r="240" customFormat="false" ht="14.25" hidden="false" customHeight="true" outlineLevel="0" collapsed="false">
      <c r="A240" s="6"/>
      <c r="B240" s="6"/>
      <c r="C240" s="6"/>
      <c r="D240" s="6"/>
      <c r="E240" s="7"/>
    </row>
    <row r="241" customFormat="false" ht="14.25" hidden="false" customHeight="true" outlineLevel="0" collapsed="false">
      <c r="A241" s="6"/>
      <c r="B241" s="6"/>
      <c r="C241" s="6"/>
      <c r="D241" s="6"/>
      <c r="E241" s="7"/>
    </row>
    <row r="242" customFormat="false" ht="14.25" hidden="false" customHeight="true" outlineLevel="0" collapsed="false">
      <c r="A242" s="6"/>
      <c r="B242" s="6"/>
      <c r="C242" s="6"/>
      <c r="D242" s="6"/>
      <c r="E242" s="7"/>
    </row>
    <row r="243" customFormat="false" ht="14.25" hidden="false" customHeight="true" outlineLevel="0" collapsed="false">
      <c r="A243" s="6"/>
      <c r="B243" s="6"/>
      <c r="C243" s="6"/>
      <c r="D243" s="6"/>
      <c r="E243" s="7"/>
    </row>
    <row r="244" customFormat="false" ht="14.25" hidden="false" customHeight="true" outlineLevel="0" collapsed="false">
      <c r="A244" s="6"/>
      <c r="B244" s="6"/>
      <c r="C244" s="6"/>
      <c r="D244" s="6"/>
      <c r="E244" s="7"/>
    </row>
    <row r="245" customFormat="false" ht="14.25" hidden="false" customHeight="true" outlineLevel="0" collapsed="false">
      <c r="A245" s="6"/>
      <c r="B245" s="6"/>
      <c r="C245" s="6"/>
      <c r="D245" s="6"/>
      <c r="E245" s="7"/>
    </row>
    <row r="246" customFormat="false" ht="14.25" hidden="false" customHeight="true" outlineLevel="0" collapsed="false">
      <c r="A246" s="6"/>
      <c r="B246" s="6"/>
      <c r="C246" s="6"/>
      <c r="D246" s="6"/>
      <c r="E246" s="7"/>
    </row>
    <row r="247" customFormat="false" ht="14.25" hidden="false" customHeight="true" outlineLevel="0" collapsed="false">
      <c r="A247" s="6"/>
      <c r="B247" s="6"/>
      <c r="C247" s="6"/>
      <c r="D247" s="6"/>
      <c r="E247" s="7"/>
    </row>
    <row r="248" customFormat="false" ht="14.25" hidden="false" customHeight="true" outlineLevel="0" collapsed="false">
      <c r="A248" s="6"/>
      <c r="B248" s="6"/>
      <c r="C248" s="6"/>
      <c r="D248" s="6"/>
      <c r="E248" s="7"/>
    </row>
    <row r="249" customFormat="false" ht="14.25" hidden="false" customHeight="true" outlineLevel="0" collapsed="false">
      <c r="A249" s="6"/>
      <c r="B249" s="6"/>
      <c r="C249" s="6"/>
      <c r="D249" s="6"/>
      <c r="E249" s="7"/>
    </row>
    <row r="250" customFormat="false" ht="14.25" hidden="false" customHeight="true" outlineLevel="0" collapsed="false">
      <c r="A250" s="6"/>
      <c r="B250" s="6"/>
      <c r="C250" s="6"/>
      <c r="D250" s="6"/>
      <c r="E250" s="7"/>
    </row>
    <row r="251" customFormat="false" ht="14.25" hidden="false" customHeight="true" outlineLevel="0" collapsed="false">
      <c r="A251" s="6"/>
      <c r="B251" s="6"/>
      <c r="C251" s="6"/>
      <c r="D251" s="6"/>
      <c r="E251" s="7"/>
    </row>
    <row r="252" customFormat="false" ht="14.25" hidden="false" customHeight="true" outlineLevel="0" collapsed="false">
      <c r="A252" s="6"/>
      <c r="B252" s="6"/>
      <c r="C252" s="6"/>
      <c r="D252" s="6"/>
      <c r="E252" s="7"/>
    </row>
    <row r="253" customFormat="false" ht="14.25" hidden="false" customHeight="true" outlineLevel="0" collapsed="false">
      <c r="A253" s="6"/>
      <c r="B253" s="6"/>
      <c r="C253" s="6"/>
      <c r="D253" s="6"/>
      <c r="E253" s="7"/>
    </row>
    <row r="254" customFormat="false" ht="14.25" hidden="false" customHeight="true" outlineLevel="0" collapsed="false">
      <c r="A254" s="6"/>
      <c r="B254" s="6"/>
      <c r="C254" s="6"/>
      <c r="D254" s="6"/>
      <c r="E254" s="7"/>
    </row>
    <row r="255" customFormat="false" ht="14.25" hidden="false" customHeight="true" outlineLevel="0" collapsed="false">
      <c r="A255" s="6"/>
      <c r="B255" s="6"/>
      <c r="C255" s="6"/>
      <c r="D255" s="6"/>
      <c r="E255" s="7"/>
    </row>
    <row r="256" customFormat="false" ht="14.25" hidden="false" customHeight="true" outlineLevel="0" collapsed="false">
      <c r="A256" s="6"/>
      <c r="B256" s="6"/>
      <c r="C256" s="6"/>
      <c r="D256" s="6"/>
      <c r="E256" s="7"/>
    </row>
    <row r="257" customFormat="false" ht="14.25" hidden="false" customHeight="true" outlineLevel="0" collapsed="false">
      <c r="A257" s="6"/>
      <c r="B257" s="6"/>
      <c r="C257" s="6"/>
      <c r="D257" s="6"/>
      <c r="E257" s="7"/>
    </row>
    <row r="258" customFormat="false" ht="14.25" hidden="false" customHeight="true" outlineLevel="0" collapsed="false">
      <c r="A258" s="6"/>
      <c r="B258" s="6"/>
      <c r="C258" s="6"/>
      <c r="D258" s="6"/>
      <c r="E258" s="7"/>
    </row>
    <row r="259" customFormat="false" ht="14.25" hidden="false" customHeight="true" outlineLevel="0" collapsed="false">
      <c r="A259" s="6"/>
      <c r="B259" s="6"/>
      <c r="C259" s="6"/>
      <c r="D259" s="6"/>
      <c r="E259" s="7"/>
    </row>
    <row r="260" customFormat="false" ht="14.25" hidden="false" customHeight="true" outlineLevel="0" collapsed="false">
      <c r="A260" s="6"/>
      <c r="B260" s="6"/>
      <c r="C260" s="6"/>
      <c r="D260" s="6"/>
      <c r="E260" s="7"/>
    </row>
    <row r="261" customFormat="false" ht="14.25" hidden="false" customHeight="true" outlineLevel="0" collapsed="false">
      <c r="A261" s="6"/>
      <c r="B261" s="6"/>
      <c r="C261" s="6"/>
      <c r="D261" s="6"/>
      <c r="E261" s="7"/>
    </row>
    <row r="262" customFormat="false" ht="14.25" hidden="false" customHeight="true" outlineLevel="0" collapsed="false">
      <c r="A262" s="6"/>
      <c r="B262" s="6"/>
      <c r="C262" s="6"/>
      <c r="D262" s="6"/>
      <c r="E262" s="7"/>
    </row>
    <row r="263" customFormat="false" ht="14.25" hidden="false" customHeight="true" outlineLevel="0" collapsed="false">
      <c r="A263" s="6"/>
      <c r="B263" s="6"/>
      <c r="C263" s="6"/>
      <c r="D263" s="6"/>
      <c r="E263" s="7"/>
    </row>
    <row r="264" customFormat="false" ht="14.25" hidden="false" customHeight="true" outlineLevel="0" collapsed="false">
      <c r="A264" s="6"/>
      <c r="B264" s="6"/>
      <c r="C264" s="6"/>
      <c r="D264" s="6"/>
      <c r="E264" s="7"/>
    </row>
    <row r="265" customFormat="false" ht="14.25" hidden="false" customHeight="true" outlineLevel="0" collapsed="false">
      <c r="A265" s="6"/>
      <c r="B265" s="6"/>
      <c r="C265" s="6"/>
      <c r="D265" s="6"/>
      <c r="E265" s="7"/>
    </row>
    <row r="266" customFormat="false" ht="14.25" hidden="false" customHeight="true" outlineLevel="0" collapsed="false">
      <c r="A266" s="6"/>
      <c r="B266" s="6"/>
      <c r="C266" s="6"/>
      <c r="D266" s="6"/>
      <c r="E266" s="7"/>
    </row>
    <row r="267" customFormat="false" ht="14.25" hidden="false" customHeight="true" outlineLevel="0" collapsed="false">
      <c r="A267" s="6"/>
      <c r="B267" s="6"/>
      <c r="C267" s="6"/>
      <c r="D267" s="6"/>
      <c r="E267" s="7"/>
    </row>
    <row r="268" customFormat="false" ht="14.25" hidden="false" customHeight="true" outlineLevel="0" collapsed="false">
      <c r="A268" s="6"/>
      <c r="B268" s="6"/>
      <c r="C268" s="6"/>
      <c r="D268" s="6"/>
      <c r="E268" s="7"/>
    </row>
    <row r="269" customFormat="false" ht="14.25" hidden="false" customHeight="true" outlineLevel="0" collapsed="false">
      <c r="A269" s="6"/>
      <c r="B269" s="6"/>
      <c r="C269" s="6"/>
      <c r="D269" s="6"/>
      <c r="E269" s="7"/>
    </row>
    <row r="270" customFormat="false" ht="14.25" hidden="false" customHeight="true" outlineLevel="0" collapsed="false">
      <c r="A270" s="6"/>
      <c r="B270" s="6"/>
      <c r="C270" s="6"/>
      <c r="D270" s="6"/>
      <c r="E270" s="7"/>
    </row>
    <row r="271" customFormat="false" ht="14.25" hidden="false" customHeight="true" outlineLevel="0" collapsed="false">
      <c r="A271" s="6"/>
      <c r="B271" s="6"/>
      <c r="C271" s="6"/>
      <c r="D271" s="6"/>
      <c r="E271" s="7"/>
    </row>
    <row r="272" customFormat="false" ht="14.25" hidden="false" customHeight="true" outlineLevel="0" collapsed="false">
      <c r="A272" s="6"/>
      <c r="B272" s="6"/>
      <c r="C272" s="6"/>
      <c r="D272" s="6"/>
      <c r="E272" s="7"/>
    </row>
    <row r="273" customFormat="false" ht="14.25" hidden="false" customHeight="true" outlineLevel="0" collapsed="false">
      <c r="A273" s="6"/>
      <c r="B273" s="6"/>
      <c r="C273" s="6"/>
      <c r="D273" s="6"/>
      <c r="E273" s="7"/>
    </row>
    <row r="274" customFormat="false" ht="14.25" hidden="false" customHeight="true" outlineLevel="0" collapsed="false">
      <c r="A274" s="6"/>
      <c r="B274" s="6"/>
      <c r="C274" s="6"/>
      <c r="D274" s="6"/>
      <c r="E274" s="7"/>
    </row>
    <row r="275" customFormat="false" ht="14.25" hidden="false" customHeight="true" outlineLevel="0" collapsed="false">
      <c r="A275" s="6"/>
      <c r="B275" s="6"/>
      <c r="C275" s="6"/>
      <c r="D275" s="6"/>
      <c r="E275" s="7"/>
    </row>
    <row r="276" customFormat="false" ht="14.25" hidden="false" customHeight="true" outlineLevel="0" collapsed="false">
      <c r="A276" s="6"/>
      <c r="B276" s="6"/>
      <c r="C276" s="6"/>
      <c r="D276" s="6"/>
      <c r="E276" s="7"/>
    </row>
    <row r="277" customFormat="false" ht="14.25" hidden="false" customHeight="true" outlineLevel="0" collapsed="false">
      <c r="A277" s="6"/>
      <c r="B277" s="6"/>
      <c r="C277" s="6"/>
      <c r="D277" s="6"/>
      <c r="E277" s="7"/>
    </row>
    <row r="278" customFormat="false" ht="14.25" hidden="false" customHeight="true" outlineLevel="0" collapsed="false">
      <c r="A278" s="6"/>
      <c r="B278" s="6"/>
      <c r="C278" s="6"/>
      <c r="D278" s="6"/>
      <c r="E278" s="7"/>
    </row>
    <row r="279" customFormat="false" ht="14.25" hidden="false" customHeight="true" outlineLevel="0" collapsed="false">
      <c r="A279" s="6"/>
      <c r="B279" s="6"/>
      <c r="C279" s="6"/>
      <c r="D279" s="6"/>
      <c r="E279" s="7"/>
    </row>
    <row r="280" customFormat="false" ht="14.25" hidden="false" customHeight="true" outlineLevel="0" collapsed="false">
      <c r="A280" s="6"/>
      <c r="B280" s="6"/>
      <c r="C280" s="6"/>
      <c r="D280" s="6"/>
      <c r="E280" s="7"/>
    </row>
    <row r="281" customFormat="false" ht="14.25" hidden="false" customHeight="true" outlineLevel="0" collapsed="false">
      <c r="A281" s="6"/>
      <c r="B281" s="6"/>
      <c r="C281" s="6"/>
      <c r="D281" s="6"/>
      <c r="E281" s="7"/>
    </row>
    <row r="282" customFormat="false" ht="14.25" hidden="false" customHeight="true" outlineLevel="0" collapsed="false">
      <c r="A282" s="6"/>
      <c r="B282" s="6"/>
      <c r="C282" s="6"/>
      <c r="D282" s="6"/>
      <c r="E282" s="7"/>
    </row>
    <row r="283" customFormat="false" ht="14.25" hidden="false" customHeight="true" outlineLevel="0" collapsed="false">
      <c r="A283" s="6"/>
      <c r="B283" s="6"/>
      <c r="C283" s="6"/>
      <c r="D283" s="6"/>
      <c r="E283" s="7"/>
    </row>
    <row r="284" customFormat="false" ht="14.25" hidden="false" customHeight="true" outlineLevel="0" collapsed="false">
      <c r="A284" s="6"/>
      <c r="B284" s="6"/>
      <c r="C284" s="6"/>
      <c r="D284" s="6"/>
      <c r="E284" s="7"/>
    </row>
    <row r="285" customFormat="false" ht="14.25" hidden="false" customHeight="true" outlineLevel="0" collapsed="false">
      <c r="A285" s="6"/>
      <c r="B285" s="6"/>
      <c r="C285" s="6"/>
      <c r="D285" s="6"/>
      <c r="E285" s="7"/>
    </row>
    <row r="286" customFormat="false" ht="14.25" hidden="false" customHeight="true" outlineLevel="0" collapsed="false">
      <c r="A286" s="6"/>
      <c r="B286" s="6"/>
      <c r="C286" s="6"/>
      <c r="D286" s="6"/>
      <c r="E286" s="7"/>
    </row>
    <row r="287" customFormat="false" ht="14.25" hidden="false" customHeight="true" outlineLevel="0" collapsed="false">
      <c r="A287" s="6"/>
      <c r="B287" s="6"/>
      <c r="C287" s="6"/>
      <c r="D287" s="6"/>
      <c r="E287" s="7"/>
    </row>
    <row r="288" customFormat="false" ht="14.25" hidden="false" customHeight="true" outlineLevel="0" collapsed="false">
      <c r="A288" s="6"/>
      <c r="B288" s="6"/>
      <c r="C288" s="6"/>
      <c r="D288" s="6"/>
      <c r="E288" s="7"/>
    </row>
    <row r="289" customFormat="false" ht="14.25" hidden="false" customHeight="true" outlineLevel="0" collapsed="false">
      <c r="A289" s="6"/>
      <c r="B289" s="6"/>
      <c r="C289" s="6"/>
      <c r="D289" s="6"/>
      <c r="E289" s="7"/>
    </row>
    <row r="290" customFormat="false" ht="14.25" hidden="false" customHeight="true" outlineLevel="0" collapsed="false">
      <c r="A290" s="6"/>
      <c r="B290" s="6"/>
      <c r="C290" s="6"/>
      <c r="D290" s="6"/>
      <c r="E290" s="7"/>
    </row>
    <row r="291" customFormat="false" ht="14.25" hidden="false" customHeight="true" outlineLevel="0" collapsed="false">
      <c r="A291" s="6"/>
      <c r="B291" s="6"/>
      <c r="C291" s="6"/>
      <c r="D291" s="6"/>
      <c r="E291" s="7"/>
    </row>
    <row r="292" customFormat="false" ht="14.25" hidden="false" customHeight="true" outlineLevel="0" collapsed="false">
      <c r="A292" s="6"/>
      <c r="B292" s="6"/>
      <c r="C292" s="6"/>
      <c r="D292" s="6"/>
      <c r="E292" s="7"/>
    </row>
    <row r="293" customFormat="false" ht="14.25" hidden="false" customHeight="true" outlineLevel="0" collapsed="false">
      <c r="A293" s="6"/>
      <c r="B293" s="6"/>
      <c r="C293" s="6"/>
      <c r="D293" s="6"/>
      <c r="E293" s="7"/>
    </row>
    <row r="294" customFormat="false" ht="14.25" hidden="false" customHeight="true" outlineLevel="0" collapsed="false">
      <c r="A294" s="6"/>
      <c r="B294" s="6"/>
      <c r="C294" s="6"/>
      <c r="D294" s="6"/>
      <c r="E294" s="7"/>
    </row>
    <row r="295" customFormat="false" ht="14.25" hidden="false" customHeight="true" outlineLevel="0" collapsed="false">
      <c r="A295" s="6"/>
      <c r="B295" s="6"/>
      <c r="C295" s="6"/>
      <c r="D295" s="6"/>
      <c r="E295" s="7"/>
    </row>
    <row r="296" customFormat="false" ht="14.25" hidden="false" customHeight="true" outlineLevel="0" collapsed="false">
      <c r="A296" s="6"/>
      <c r="B296" s="6"/>
      <c r="C296" s="6"/>
      <c r="D296" s="6"/>
      <c r="E296" s="7"/>
    </row>
    <row r="297" customFormat="false" ht="14.25" hidden="false" customHeight="true" outlineLevel="0" collapsed="false">
      <c r="A297" s="6"/>
      <c r="B297" s="6"/>
      <c r="C297" s="6"/>
      <c r="D297" s="6"/>
      <c r="E297" s="7"/>
    </row>
    <row r="298" customFormat="false" ht="14.25" hidden="false" customHeight="true" outlineLevel="0" collapsed="false">
      <c r="A298" s="6"/>
      <c r="B298" s="6"/>
      <c r="C298" s="6"/>
      <c r="D298" s="6"/>
      <c r="E298" s="7"/>
    </row>
    <row r="299" customFormat="false" ht="14.25" hidden="false" customHeight="true" outlineLevel="0" collapsed="false">
      <c r="A299" s="6"/>
      <c r="B299" s="6"/>
      <c r="C299" s="6"/>
      <c r="D299" s="6"/>
      <c r="E299" s="7"/>
    </row>
    <row r="300" customFormat="false" ht="14.25" hidden="false" customHeight="true" outlineLevel="0" collapsed="false">
      <c r="A300" s="6"/>
      <c r="B300" s="6"/>
      <c r="C300" s="6"/>
      <c r="D300" s="6"/>
      <c r="E300" s="7"/>
    </row>
    <row r="301" customFormat="false" ht="14.25" hidden="false" customHeight="true" outlineLevel="0" collapsed="false">
      <c r="A301" s="6"/>
      <c r="B301" s="6"/>
      <c r="C301" s="6"/>
      <c r="D301" s="6"/>
      <c r="E301" s="7"/>
    </row>
    <row r="302" customFormat="false" ht="14.25" hidden="false" customHeight="true" outlineLevel="0" collapsed="false">
      <c r="A302" s="6"/>
      <c r="B302" s="6"/>
      <c r="C302" s="6"/>
      <c r="D302" s="6"/>
      <c r="E302" s="7"/>
    </row>
    <row r="303" customFormat="false" ht="14.25" hidden="false" customHeight="true" outlineLevel="0" collapsed="false">
      <c r="A303" s="6"/>
      <c r="B303" s="6"/>
      <c r="C303" s="6"/>
      <c r="D303" s="6"/>
      <c r="E303" s="7"/>
    </row>
    <row r="304" customFormat="false" ht="14.25" hidden="false" customHeight="true" outlineLevel="0" collapsed="false">
      <c r="A304" s="6"/>
      <c r="B304" s="6"/>
      <c r="C304" s="6"/>
      <c r="D304" s="6"/>
      <c r="E304" s="7"/>
    </row>
    <row r="305" customFormat="false" ht="14.25" hidden="false" customHeight="true" outlineLevel="0" collapsed="false">
      <c r="A305" s="6"/>
      <c r="B305" s="6"/>
      <c r="C305" s="6"/>
      <c r="D305" s="6"/>
      <c r="E305" s="7"/>
    </row>
    <row r="306" customFormat="false" ht="14.25" hidden="false" customHeight="true" outlineLevel="0" collapsed="false">
      <c r="A306" s="6"/>
      <c r="B306" s="6"/>
      <c r="C306" s="6"/>
      <c r="D306" s="6"/>
      <c r="E306" s="7"/>
    </row>
    <row r="307" customFormat="false" ht="14.25" hidden="false" customHeight="true" outlineLevel="0" collapsed="false">
      <c r="A307" s="6"/>
      <c r="B307" s="6"/>
      <c r="C307" s="6"/>
      <c r="D307" s="6"/>
      <c r="E307" s="7"/>
    </row>
    <row r="308" customFormat="false" ht="14.25" hidden="false" customHeight="true" outlineLevel="0" collapsed="false">
      <c r="A308" s="6"/>
      <c r="B308" s="6"/>
      <c r="C308" s="6"/>
      <c r="D308" s="6"/>
      <c r="E308" s="7"/>
    </row>
    <row r="309" customFormat="false" ht="14.25" hidden="false" customHeight="true" outlineLevel="0" collapsed="false">
      <c r="A309" s="6"/>
      <c r="B309" s="6"/>
      <c r="C309" s="6"/>
      <c r="D309" s="6"/>
      <c r="E309" s="7"/>
    </row>
    <row r="310" customFormat="false" ht="14.25" hidden="false" customHeight="true" outlineLevel="0" collapsed="false">
      <c r="A310" s="6"/>
      <c r="B310" s="6"/>
      <c r="C310" s="6"/>
      <c r="D310" s="6"/>
      <c r="E310" s="7"/>
    </row>
    <row r="311" customFormat="false" ht="14.25" hidden="false" customHeight="true" outlineLevel="0" collapsed="false">
      <c r="A311" s="6"/>
      <c r="B311" s="6"/>
      <c r="C311" s="6"/>
      <c r="D311" s="6"/>
      <c r="E311" s="7"/>
    </row>
    <row r="312" customFormat="false" ht="14.25" hidden="false" customHeight="true" outlineLevel="0" collapsed="false">
      <c r="A312" s="6"/>
      <c r="B312" s="6"/>
      <c r="C312" s="6"/>
      <c r="D312" s="6"/>
      <c r="E312" s="7"/>
    </row>
    <row r="313" customFormat="false" ht="14.25" hidden="false" customHeight="true" outlineLevel="0" collapsed="false">
      <c r="A313" s="6"/>
      <c r="B313" s="6"/>
      <c r="C313" s="6"/>
      <c r="D313" s="6"/>
      <c r="E313" s="7"/>
    </row>
    <row r="314" customFormat="false" ht="14.25" hidden="false" customHeight="true" outlineLevel="0" collapsed="false">
      <c r="A314" s="6"/>
      <c r="B314" s="6"/>
      <c r="C314" s="6"/>
      <c r="D314" s="6"/>
      <c r="E314" s="7"/>
    </row>
    <row r="315" customFormat="false" ht="14.25" hidden="false" customHeight="true" outlineLevel="0" collapsed="false">
      <c r="A315" s="6"/>
      <c r="B315" s="6"/>
      <c r="C315" s="6"/>
      <c r="D315" s="6"/>
      <c r="E315" s="7"/>
    </row>
    <row r="316" customFormat="false" ht="14.25" hidden="false" customHeight="true" outlineLevel="0" collapsed="false">
      <c r="A316" s="6"/>
      <c r="B316" s="6"/>
      <c r="C316" s="6"/>
      <c r="D316" s="6"/>
      <c r="E316" s="7"/>
    </row>
    <row r="317" customFormat="false" ht="14.25" hidden="false" customHeight="true" outlineLevel="0" collapsed="false">
      <c r="A317" s="6"/>
      <c r="B317" s="6"/>
      <c r="C317" s="6"/>
      <c r="D317" s="6"/>
      <c r="E317" s="7"/>
    </row>
    <row r="318" customFormat="false" ht="14.25" hidden="false" customHeight="true" outlineLevel="0" collapsed="false">
      <c r="A318" s="6"/>
      <c r="B318" s="6"/>
      <c r="C318" s="6"/>
      <c r="D318" s="6"/>
      <c r="E318" s="7"/>
    </row>
    <row r="319" customFormat="false" ht="14.25" hidden="false" customHeight="true" outlineLevel="0" collapsed="false">
      <c r="A319" s="6"/>
      <c r="B319" s="6"/>
      <c r="C319" s="6"/>
      <c r="D319" s="6"/>
      <c r="E319" s="7"/>
    </row>
    <row r="320" customFormat="false" ht="14.25" hidden="false" customHeight="true" outlineLevel="0" collapsed="false">
      <c r="A320" s="6"/>
      <c r="B320" s="6"/>
      <c r="C320" s="6"/>
      <c r="D320" s="6"/>
      <c r="E320" s="7"/>
    </row>
    <row r="321" customFormat="false" ht="14.25" hidden="false" customHeight="true" outlineLevel="0" collapsed="false">
      <c r="A321" s="6"/>
      <c r="B321" s="6"/>
      <c r="C321" s="6"/>
      <c r="D321" s="6"/>
      <c r="E321" s="7"/>
    </row>
    <row r="322" customFormat="false" ht="14.25" hidden="false" customHeight="true" outlineLevel="0" collapsed="false">
      <c r="A322" s="6"/>
      <c r="B322" s="6"/>
      <c r="C322" s="6"/>
      <c r="D322" s="6"/>
      <c r="E322" s="7"/>
    </row>
    <row r="323" customFormat="false" ht="14.25" hidden="false" customHeight="true" outlineLevel="0" collapsed="false">
      <c r="A323" s="6"/>
      <c r="B323" s="6"/>
      <c r="C323" s="6"/>
      <c r="D323" s="6"/>
      <c r="E323" s="7"/>
    </row>
    <row r="324" customFormat="false" ht="14.25" hidden="false" customHeight="true" outlineLevel="0" collapsed="false">
      <c r="A324" s="6"/>
      <c r="B324" s="6"/>
      <c r="C324" s="6"/>
      <c r="D324" s="6"/>
      <c r="E324" s="7"/>
    </row>
    <row r="325" customFormat="false" ht="14.25" hidden="false" customHeight="true" outlineLevel="0" collapsed="false">
      <c r="A325" s="6"/>
      <c r="B325" s="6"/>
      <c r="C325" s="6"/>
      <c r="D325" s="6"/>
      <c r="E325" s="7"/>
    </row>
    <row r="326" customFormat="false" ht="14.25" hidden="false" customHeight="true" outlineLevel="0" collapsed="false">
      <c r="A326" s="6"/>
      <c r="B326" s="6"/>
      <c r="C326" s="6"/>
      <c r="D326" s="6"/>
      <c r="E326" s="7"/>
    </row>
    <row r="327" customFormat="false" ht="14.25" hidden="false" customHeight="true" outlineLevel="0" collapsed="false">
      <c r="A327" s="6"/>
      <c r="B327" s="6"/>
      <c r="C327" s="6"/>
      <c r="D327" s="6"/>
      <c r="E327" s="7"/>
    </row>
    <row r="328" customFormat="false" ht="14.25" hidden="false" customHeight="true" outlineLevel="0" collapsed="false">
      <c r="A328" s="6"/>
      <c r="B328" s="6"/>
      <c r="C328" s="6"/>
      <c r="D328" s="6"/>
      <c r="E328" s="7"/>
    </row>
    <row r="329" customFormat="false" ht="14.25" hidden="false" customHeight="true" outlineLevel="0" collapsed="false">
      <c r="A329" s="6"/>
      <c r="B329" s="6"/>
      <c r="C329" s="6"/>
      <c r="D329" s="6"/>
      <c r="E329" s="7"/>
    </row>
    <row r="330" customFormat="false" ht="14.25" hidden="false" customHeight="true" outlineLevel="0" collapsed="false">
      <c r="A330" s="6"/>
      <c r="B330" s="6"/>
      <c r="C330" s="6"/>
      <c r="D330" s="6"/>
      <c r="E330" s="7"/>
    </row>
    <row r="331" customFormat="false" ht="14.25" hidden="false" customHeight="true" outlineLevel="0" collapsed="false">
      <c r="A331" s="6"/>
      <c r="B331" s="6"/>
      <c r="C331" s="6"/>
      <c r="D331" s="6"/>
      <c r="E331" s="7"/>
    </row>
    <row r="332" customFormat="false" ht="14.25" hidden="false" customHeight="true" outlineLevel="0" collapsed="false">
      <c r="A332" s="6"/>
      <c r="B332" s="6"/>
      <c r="C332" s="6"/>
      <c r="D332" s="6"/>
      <c r="E332" s="7"/>
    </row>
    <row r="333" customFormat="false" ht="14.25" hidden="false" customHeight="true" outlineLevel="0" collapsed="false">
      <c r="A333" s="6"/>
      <c r="B333" s="6"/>
      <c r="C333" s="6"/>
      <c r="D333" s="6"/>
      <c r="E333" s="7"/>
    </row>
    <row r="334" customFormat="false" ht="14.25" hidden="false" customHeight="true" outlineLevel="0" collapsed="false">
      <c r="A334" s="6"/>
      <c r="B334" s="6"/>
      <c r="C334" s="6"/>
      <c r="D334" s="6"/>
      <c r="E334" s="7"/>
    </row>
    <row r="335" customFormat="false" ht="14.25" hidden="false" customHeight="true" outlineLevel="0" collapsed="false">
      <c r="A335" s="6"/>
      <c r="B335" s="6"/>
      <c r="C335" s="6"/>
      <c r="D335" s="6"/>
      <c r="E335" s="7"/>
    </row>
    <row r="336" customFormat="false" ht="14.25" hidden="false" customHeight="true" outlineLevel="0" collapsed="false">
      <c r="A336" s="6"/>
      <c r="B336" s="6"/>
      <c r="C336" s="6"/>
      <c r="D336" s="6"/>
      <c r="E336" s="7"/>
    </row>
    <row r="337" customFormat="false" ht="14.25" hidden="false" customHeight="true" outlineLevel="0" collapsed="false">
      <c r="A337" s="6"/>
      <c r="B337" s="6"/>
      <c r="C337" s="6"/>
      <c r="D337" s="6"/>
      <c r="E337" s="7"/>
    </row>
    <row r="338" customFormat="false" ht="14.25" hidden="false" customHeight="true" outlineLevel="0" collapsed="false">
      <c r="A338" s="6"/>
      <c r="B338" s="6"/>
      <c r="C338" s="6"/>
      <c r="D338" s="6"/>
      <c r="E338" s="7"/>
    </row>
    <row r="339" customFormat="false" ht="14.25" hidden="false" customHeight="true" outlineLevel="0" collapsed="false">
      <c r="A339" s="6"/>
      <c r="B339" s="6"/>
      <c r="C339" s="6"/>
      <c r="D339" s="6"/>
      <c r="E339" s="7"/>
    </row>
    <row r="340" customFormat="false" ht="14.25" hidden="false" customHeight="true" outlineLevel="0" collapsed="false">
      <c r="A340" s="6"/>
      <c r="B340" s="6"/>
      <c r="C340" s="6"/>
      <c r="D340" s="6"/>
      <c r="E340" s="7"/>
    </row>
    <row r="341" customFormat="false" ht="14.25" hidden="false" customHeight="true" outlineLevel="0" collapsed="false">
      <c r="A341" s="6"/>
      <c r="B341" s="6"/>
      <c r="C341" s="6"/>
      <c r="D341" s="6"/>
      <c r="E341" s="7"/>
    </row>
    <row r="342" customFormat="false" ht="14.25" hidden="false" customHeight="true" outlineLevel="0" collapsed="false">
      <c r="A342" s="6"/>
      <c r="B342" s="6"/>
      <c r="C342" s="6"/>
      <c r="D342" s="6"/>
      <c r="E342" s="7"/>
    </row>
    <row r="343" customFormat="false" ht="14.25" hidden="false" customHeight="true" outlineLevel="0" collapsed="false">
      <c r="A343" s="6"/>
      <c r="B343" s="6"/>
      <c r="C343" s="6"/>
      <c r="D343" s="6"/>
      <c r="E343" s="7"/>
    </row>
    <row r="344" customFormat="false" ht="14.25" hidden="false" customHeight="true" outlineLevel="0" collapsed="false">
      <c r="A344" s="6"/>
      <c r="B344" s="6"/>
      <c r="C344" s="6"/>
      <c r="D344" s="6"/>
      <c r="E344" s="7"/>
    </row>
    <row r="345" customFormat="false" ht="14.25" hidden="false" customHeight="true" outlineLevel="0" collapsed="false">
      <c r="A345" s="6"/>
      <c r="B345" s="6"/>
      <c r="C345" s="6"/>
      <c r="D345" s="6"/>
      <c r="E345" s="7"/>
    </row>
    <row r="346" customFormat="false" ht="14.25" hidden="false" customHeight="true" outlineLevel="0" collapsed="false">
      <c r="A346" s="6"/>
      <c r="B346" s="6"/>
      <c r="C346" s="6"/>
      <c r="D346" s="6"/>
      <c r="E346" s="7"/>
    </row>
    <row r="347" customFormat="false" ht="14.25" hidden="false" customHeight="true" outlineLevel="0" collapsed="false">
      <c r="A347" s="6"/>
      <c r="B347" s="6"/>
      <c r="C347" s="6"/>
      <c r="D347" s="6"/>
      <c r="E347" s="7"/>
    </row>
    <row r="348" customFormat="false" ht="14.25" hidden="false" customHeight="true" outlineLevel="0" collapsed="false">
      <c r="A348" s="6"/>
      <c r="B348" s="6"/>
      <c r="C348" s="6"/>
      <c r="D348" s="6"/>
      <c r="E348" s="7"/>
    </row>
    <row r="349" customFormat="false" ht="14.25" hidden="false" customHeight="true" outlineLevel="0" collapsed="false">
      <c r="A349" s="6"/>
      <c r="B349" s="6"/>
      <c r="C349" s="6"/>
      <c r="D349" s="6"/>
      <c r="E349" s="7"/>
    </row>
    <row r="350" customFormat="false" ht="14.25" hidden="false" customHeight="true" outlineLevel="0" collapsed="false">
      <c r="A350" s="6"/>
      <c r="B350" s="6"/>
      <c r="C350" s="6"/>
      <c r="D350" s="6"/>
      <c r="E350" s="7"/>
    </row>
    <row r="351" customFormat="false" ht="14.25" hidden="false" customHeight="true" outlineLevel="0" collapsed="false">
      <c r="A351" s="6"/>
      <c r="B351" s="6"/>
      <c r="C351" s="6"/>
      <c r="D351" s="6"/>
      <c r="E351" s="7"/>
    </row>
    <row r="352" customFormat="false" ht="14.25" hidden="false" customHeight="true" outlineLevel="0" collapsed="false">
      <c r="A352" s="6"/>
      <c r="B352" s="6"/>
      <c r="C352" s="6"/>
      <c r="D352" s="6"/>
      <c r="E352" s="7"/>
    </row>
    <row r="353" customFormat="false" ht="14.25" hidden="false" customHeight="true" outlineLevel="0" collapsed="false">
      <c r="A353" s="6"/>
      <c r="B353" s="6"/>
      <c r="C353" s="6"/>
      <c r="D353" s="6"/>
      <c r="E353" s="7"/>
    </row>
    <row r="354" customFormat="false" ht="14.25" hidden="false" customHeight="true" outlineLevel="0" collapsed="false">
      <c r="A354" s="6"/>
      <c r="B354" s="6"/>
      <c r="C354" s="6"/>
      <c r="D354" s="6"/>
      <c r="E354" s="7"/>
    </row>
    <row r="355" customFormat="false" ht="14.25" hidden="false" customHeight="true" outlineLevel="0" collapsed="false">
      <c r="A355" s="6"/>
      <c r="B355" s="6"/>
      <c r="C355" s="6"/>
      <c r="D355" s="6"/>
      <c r="E355" s="7"/>
    </row>
    <row r="356" customFormat="false" ht="14.25" hidden="false" customHeight="true" outlineLevel="0" collapsed="false">
      <c r="A356" s="6"/>
      <c r="B356" s="6"/>
      <c r="C356" s="6"/>
      <c r="D356" s="6"/>
      <c r="E356" s="7"/>
    </row>
    <row r="357" customFormat="false" ht="14.25" hidden="false" customHeight="true" outlineLevel="0" collapsed="false">
      <c r="A357" s="6"/>
      <c r="B357" s="6"/>
      <c r="C357" s="6"/>
      <c r="D357" s="6"/>
      <c r="E357" s="7"/>
    </row>
    <row r="358" customFormat="false" ht="14.25" hidden="false" customHeight="true" outlineLevel="0" collapsed="false">
      <c r="A358" s="6"/>
      <c r="B358" s="6"/>
      <c r="C358" s="6"/>
      <c r="D358" s="6"/>
      <c r="E358" s="7"/>
    </row>
    <row r="359" customFormat="false" ht="14.25" hidden="false" customHeight="true" outlineLevel="0" collapsed="false">
      <c r="A359" s="6"/>
      <c r="B359" s="6"/>
      <c r="C359" s="6"/>
      <c r="D359" s="6"/>
      <c r="E359" s="7"/>
    </row>
    <row r="360" customFormat="false" ht="14.25" hidden="false" customHeight="true" outlineLevel="0" collapsed="false">
      <c r="A360" s="6"/>
      <c r="B360" s="6"/>
      <c r="C360" s="6"/>
      <c r="D360" s="6"/>
      <c r="E360" s="7"/>
    </row>
    <row r="361" customFormat="false" ht="14.25" hidden="false" customHeight="true" outlineLevel="0" collapsed="false">
      <c r="A361" s="6"/>
      <c r="B361" s="6"/>
      <c r="C361" s="6"/>
      <c r="D361" s="6"/>
      <c r="E361" s="7"/>
    </row>
    <row r="362" customFormat="false" ht="14.25" hidden="false" customHeight="true" outlineLevel="0" collapsed="false">
      <c r="A362" s="6"/>
      <c r="B362" s="6"/>
      <c r="C362" s="6"/>
      <c r="D362" s="6"/>
      <c r="E362" s="7"/>
    </row>
    <row r="363" customFormat="false" ht="14.25" hidden="false" customHeight="true" outlineLevel="0" collapsed="false">
      <c r="A363" s="6"/>
      <c r="B363" s="6"/>
      <c r="C363" s="6"/>
      <c r="D363" s="6"/>
      <c r="E363" s="7"/>
    </row>
    <row r="364" customFormat="false" ht="14.25" hidden="false" customHeight="true" outlineLevel="0" collapsed="false">
      <c r="A364" s="6"/>
      <c r="B364" s="6"/>
      <c r="C364" s="6"/>
      <c r="D364" s="6"/>
      <c r="E364" s="7"/>
    </row>
    <row r="365" customFormat="false" ht="14.25" hidden="false" customHeight="true" outlineLevel="0" collapsed="false">
      <c r="A365" s="6"/>
      <c r="B365" s="6"/>
      <c r="C365" s="6"/>
      <c r="D365" s="6"/>
      <c r="E365" s="7"/>
    </row>
    <row r="366" customFormat="false" ht="14.25" hidden="false" customHeight="true" outlineLevel="0" collapsed="false">
      <c r="A366" s="6"/>
      <c r="B366" s="6"/>
      <c r="C366" s="6"/>
      <c r="D366" s="6"/>
      <c r="E366" s="7"/>
    </row>
    <row r="367" customFormat="false" ht="14.25" hidden="false" customHeight="true" outlineLevel="0" collapsed="false">
      <c r="A367" s="6"/>
      <c r="B367" s="6"/>
      <c r="C367" s="6"/>
      <c r="D367" s="6"/>
      <c r="E367" s="7"/>
    </row>
    <row r="368" customFormat="false" ht="14.25" hidden="false" customHeight="true" outlineLevel="0" collapsed="false">
      <c r="A368" s="6"/>
      <c r="B368" s="6"/>
      <c r="C368" s="6"/>
      <c r="D368" s="6"/>
      <c r="E368" s="7"/>
    </row>
    <row r="369" customFormat="false" ht="14.25" hidden="false" customHeight="true" outlineLevel="0" collapsed="false">
      <c r="A369" s="6"/>
      <c r="B369" s="6"/>
      <c r="C369" s="6"/>
      <c r="D369" s="6"/>
      <c r="E369" s="7"/>
    </row>
    <row r="370" customFormat="false" ht="14.25" hidden="false" customHeight="true" outlineLevel="0" collapsed="false">
      <c r="A370" s="6"/>
      <c r="B370" s="6"/>
      <c r="C370" s="6"/>
      <c r="D370" s="6"/>
      <c r="E370" s="7"/>
    </row>
    <row r="371" customFormat="false" ht="14.25" hidden="false" customHeight="true" outlineLevel="0" collapsed="false">
      <c r="A371" s="6"/>
      <c r="B371" s="6"/>
      <c r="C371" s="6"/>
      <c r="D371" s="6"/>
      <c r="E371" s="7"/>
    </row>
    <row r="372" customFormat="false" ht="14.25" hidden="false" customHeight="true" outlineLevel="0" collapsed="false">
      <c r="A372" s="6"/>
      <c r="B372" s="6"/>
      <c r="C372" s="6"/>
      <c r="D372" s="6"/>
      <c r="E372" s="7"/>
    </row>
    <row r="373" customFormat="false" ht="14.25" hidden="false" customHeight="true" outlineLevel="0" collapsed="false">
      <c r="A373" s="6"/>
      <c r="B373" s="6"/>
      <c r="C373" s="6"/>
      <c r="D373" s="6"/>
      <c r="E373" s="7"/>
    </row>
    <row r="374" customFormat="false" ht="14.25" hidden="false" customHeight="true" outlineLevel="0" collapsed="false">
      <c r="A374" s="6"/>
      <c r="B374" s="6"/>
      <c r="C374" s="6"/>
      <c r="D374" s="6"/>
      <c r="E374" s="7"/>
    </row>
    <row r="375" customFormat="false" ht="14.25" hidden="false" customHeight="true" outlineLevel="0" collapsed="false">
      <c r="A375" s="6"/>
      <c r="B375" s="6"/>
      <c r="C375" s="6"/>
      <c r="D375" s="6"/>
      <c r="E375" s="7"/>
    </row>
    <row r="376" customFormat="false" ht="14.25" hidden="false" customHeight="true" outlineLevel="0" collapsed="false">
      <c r="A376" s="6"/>
      <c r="B376" s="6"/>
      <c r="C376" s="6"/>
      <c r="D376" s="6"/>
      <c r="E376" s="7"/>
    </row>
    <row r="377" customFormat="false" ht="14.25" hidden="false" customHeight="true" outlineLevel="0" collapsed="false">
      <c r="A377" s="6"/>
      <c r="B377" s="6"/>
      <c r="C377" s="6"/>
      <c r="D377" s="6"/>
      <c r="E377" s="7"/>
    </row>
    <row r="378" customFormat="false" ht="14.25" hidden="false" customHeight="true" outlineLevel="0" collapsed="false">
      <c r="A378" s="6"/>
      <c r="B378" s="6"/>
      <c r="C378" s="6"/>
      <c r="D378" s="6"/>
      <c r="E378" s="7"/>
    </row>
    <row r="379" customFormat="false" ht="14.25" hidden="false" customHeight="true" outlineLevel="0" collapsed="false">
      <c r="A379" s="6"/>
      <c r="B379" s="6"/>
      <c r="C379" s="6"/>
      <c r="D379" s="6"/>
      <c r="E379" s="7"/>
    </row>
    <row r="380" customFormat="false" ht="14.25" hidden="false" customHeight="true" outlineLevel="0" collapsed="false">
      <c r="A380" s="6"/>
      <c r="B380" s="6"/>
      <c r="C380" s="6"/>
      <c r="D380" s="6"/>
      <c r="E380" s="7"/>
    </row>
    <row r="381" customFormat="false" ht="14.25" hidden="false" customHeight="true" outlineLevel="0" collapsed="false">
      <c r="A381" s="6"/>
      <c r="B381" s="6"/>
      <c r="C381" s="6"/>
      <c r="D381" s="6"/>
      <c r="E381" s="7"/>
    </row>
    <row r="382" customFormat="false" ht="14.25" hidden="false" customHeight="true" outlineLevel="0" collapsed="false">
      <c r="A382" s="6"/>
      <c r="B382" s="6"/>
      <c r="C382" s="6"/>
      <c r="D382" s="6"/>
      <c r="E382" s="7"/>
    </row>
    <row r="383" customFormat="false" ht="14.25" hidden="false" customHeight="true" outlineLevel="0" collapsed="false">
      <c r="A383" s="6"/>
      <c r="B383" s="6"/>
      <c r="C383" s="6"/>
      <c r="D383" s="6"/>
      <c r="E383" s="7"/>
    </row>
    <row r="384" customFormat="false" ht="14.25" hidden="false" customHeight="true" outlineLevel="0" collapsed="false">
      <c r="A384" s="6"/>
      <c r="B384" s="6"/>
      <c r="C384" s="6"/>
      <c r="D384" s="6"/>
      <c r="E384" s="7"/>
    </row>
    <row r="385" customFormat="false" ht="14.25" hidden="false" customHeight="true" outlineLevel="0" collapsed="false">
      <c r="A385" s="6"/>
      <c r="B385" s="6"/>
      <c r="C385" s="6"/>
      <c r="D385" s="6"/>
      <c r="E385" s="7"/>
    </row>
    <row r="386" customFormat="false" ht="14.25" hidden="false" customHeight="true" outlineLevel="0" collapsed="false">
      <c r="A386" s="6"/>
      <c r="B386" s="6"/>
      <c r="C386" s="6"/>
      <c r="D386" s="6"/>
      <c r="E386" s="7"/>
    </row>
    <row r="387" customFormat="false" ht="14.25" hidden="false" customHeight="true" outlineLevel="0" collapsed="false">
      <c r="A387" s="6"/>
      <c r="B387" s="6"/>
      <c r="C387" s="6"/>
      <c r="D387" s="6"/>
      <c r="E387" s="7"/>
    </row>
    <row r="388" customFormat="false" ht="14.25" hidden="false" customHeight="true" outlineLevel="0" collapsed="false">
      <c r="A388" s="6"/>
      <c r="B388" s="6"/>
      <c r="C388" s="6"/>
      <c r="D388" s="6"/>
      <c r="E388" s="7"/>
    </row>
    <row r="389" customFormat="false" ht="14.25" hidden="false" customHeight="true" outlineLevel="0" collapsed="false">
      <c r="A389" s="6"/>
      <c r="B389" s="6"/>
      <c r="C389" s="6"/>
      <c r="D389" s="6"/>
      <c r="E389" s="7"/>
    </row>
    <row r="390" customFormat="false" ht="14.25" hidden="false" customHeight="true" outlineLevel="0" collapsed="false">
      <c r="A390" s="6"/>
      <c r="B390" s="6"/>
      <c r="C390" s="6"/>
      <c r="D390" s="6"/>
      <c r="E390" s="7"/>
    </row>
    <row r="391" customFormat="false" ht="14.25" hidden="false" customHeight="true" outlineLevel="0" collapsed="false">
      <c r="A391" s="6"/>
      <c r="B391" s="6"/>
      <c r="C391" s="6"/>
      <c r="D391" s="6"/>
      <c r="E391" s="7"/>
    </row>
    <row r="392" customFormat="false" ht="14.25" hidden="false" customHeight="true" outlineLevel="0" collapsed="false">
      <c r="A392" s="6"/>
      <c r="B392" s="6"/>
      <c r="C392" s="6"/>
      <c r="D392" s="6"/>
      <c r="E392" s="7"/>
    </row>
    <row r="393" customFormat="false" ht="14.25" hidden="false" customHeight="true" outlineLevel="0" collapsed="false">
      <c r="A393" s="6"/>
      <c r="B393" s="6"/>
      <c r="C393" s="6"/>
      <c r="D393" s="6"/>
      <c r="E393" s="7"/>
    </row>
    <row r="394" customFormat="false" ht="14.25" hidden="false" customHeight="true" outlineLevel="0" collapsed="false">
      <c r="A394" s="6"/>
      <c r="B394" s="6"/>
      <c r="C394" s="6"/>
      <c r="D394" s="6"/>
      <c r="E394" s="7"/>
    </row>
    <row r="395" customFormat="false" ht="14.25" hidden="false" customHeight="true" outlineLevel="0" collapsed="false">
      <c r="A395" s="6"/>
      <c r="B395" s="6"/>
      <c r="C395" s="6"/>
      <c r="D395" s="6"/>
      <c r="E395" s="7"/>
    </row>
    <row r="396" customFormat="false" ht="14.25" hidden="false" customHeight="true" outlineLevel="0" collapsed="false">
      <c r="A396" s="6"/>
      <c r="B396" s="6"/>
      <c r="C396" s="6"/>
      <c r="D396" s="6"/>
      <c r="E396" s="7"/>
    </row>
    <row r="397" customFormat="false" ht="14.25" hidden="false" customHeight="true" outlineLevel="0" collapsed="false">
      <c r="A397" s="6"/>
      <c r="B397" s="6"/>
      <c r="C397" s="6"/>
      <c r="D397" s="6"/>
      <c r="E397" s="7"/>
    </row>
    <row r="398" customFormat="false" ht="14.25" hidden="false" customHeight="true" outlineLevel="0" collapsed="false">
      <c r="A398" s="6"/>
      <c r="B398" s="6"/>
      <c r="C398" s="6"/>
      <c r="D398" s="6"/>
      <c r="E398" s="7"/>
    </row>
    <row r="399" customFormat="false" ht="14.25" hidden="false" customHeight="true" outlineLevel="0" collapsed="false">
      <c r="A399" s="6"/>
      <c r="B399" s="6"/>
      <c r="C399" s="6"/>
      <c r="D399" s="6"/>
      <c r="E399" s="7"/>
    </row>
    <row r="400" customFormat="false" ht="14.25" hidden="false" customHeight="true" outlineLevel="0" collapsed="false">
      <c r="A400" s="6"/>
      <c r="B400" s="6"/>
      <c r="C400" s="6"/>
      <c r="D400" s="6"/>
      <c r="E400" s="7"/>
    </row>
    <row r="401" customFormat="false" ht="14.25" hidden="false" customHeight="true" outlineLevel="0" collapsed="false">
      <c r="A401" s="6"/>
      <c r="B401" s="6"/>
      <c r="C401" s="6"/>
      <c r="D401" s="6"/>
      <c r="E401" s="7"/>
    </row>
    <row r="402" customFormat="false" ht="14.25" hidden="false" customHeight="true" outlineLevel="0" collapsed="false">
      <c r="A402" s="6"/>
      <c r="B402" s="6"/>
      <c r="C402" s="6"/>
      <c r="D402" s="6"/>
      <c r="E402" s="7"/>
    </row>
    <row r="403" customFormat="false" ht="14.25" hidden="false" customHeight="true" outlineLevel="0" collapsed="false">
      <c r="A403" s="6"/>
      <c r="B403" s="6"/>
      <c r="C403" s="6"/>
      <c r="D403" s="6"/>
      <c r="E403" s="7"/>
    </row>
    <row r="404" customFormat="false" ht="14.25" hidden="false" customHeight="true" outlineLevel="0" collapsed="false">
      <c r="A404" s="6"/>
      <c r="B404" s="6"/>
      <c r="C404" s="6"/>
      <c r="D404" s="6"/>
      <c r="E404" s="7"/>
    </row>
    <row r="405" customFormat="false" ht="14.25" hidden="false" customHeight="true" outlineLevel="0" collapsed="false">
      <c r="A405" s="6"/>
      <c r="B405" s="6"/>
      <c r="C405" s="6"/>
      <c r="D405" s="6"/>
      <c r="E405" s="7"/>
    </row>
    <row r="406" customFormat="false" ht="14.25" hidden="false" customHeight="true" outlineLevel="0" collapsed="false">
      <c r="A406" s="6"/>
      <c r="B406" s="6"/>
      <c r="C406" s="6"/>
      <c r="D406" s="6"/>
      <c r="E406" s="7"/>
    </row>
    <row r="407" customFormat="false" ht="14.25" hidden="false" customHeight="true" outlineLevel="0" collapsed="false">
      <c r="A407" s="6"/>
      <c r="B407" s="6"/>
      <c r="C407" s="6"/>
      <c r="D407" s="6"/>
      <c r="E407" s="7"/>
    </row>
    <row r="408" customFormat="false" ht="14.25" hidden="false" customHeight="true" outlineLevel="0" collapsed="false">
      <c r="A408" s="6"/>
      <c r="B408" s="6"/>
      <c r="C408" s="6"/>
      <c r="D408" s="6"/>
      <c r="E408" s="7"/>
    </row>
    <row r="409" customFormat="false" ht="14.25" hidden="false" customHeight="true" outlineLevel="0" collapsed="false">
      <c r="A409" s="6"/>
      <c r="B409" s="6"/>
      <c r="C409" s="6"/>
      <c r="D409" s="6"/>
      <c r="E409" s="7"/>
    </row>
    <row r="410" customFormat="false" ht="14.25" hidden="false" customHeight="true" outlineLevel="0" collapsed="false">
      <c r="A410" s="6"/>
      <c r="B410" s="6"/>
      <c r="C410" s="6"/>
      <c r="D410" s="6"/>
      <c r="E410" s="7"/>
    </row>
    <row r="411" customFormat="false" ht="14.25" hidden="false" customHeight="true" outlineLevel="0" collapsed="false">
      <c r="A411" s="6"/>
      <c r="B411" s="6"/>
      <c r="C411" s="6"/>
      <c r="D411" s="6"/>
      <c r="E411" s="7"/>
    </row>
    <row r="412" customFormat="false" ht="14.25" hidden="false" customHeight="true" outlineLevel="0" collapsed="false">
      <c r="A412" s="6"/>
      <c r="B412" s="6"/>
      <c r="C412" s="6"/>
      <c r="D412" s="6"/>
      <c r="E412" s="7"/>
    </row>
    <row r="413" customFormat="false" ht="14.25" hidden="false" customHeight="true" outlineLevel="0" collapsed="false">
      <c r="A413" s="6"/>
      <c r="B413" s="6"/>
      <c r="C413" s="6"/>
      <c r="D413" s="6"/>
      <c r="E413" s="7"/>
    </row>
    <row r="414" customFormat="false" ht="14.25" hidden="false" customHeight="true" outlineLevel="0" collapsed="false">
      <c r="A414" s="6"/>
      <c r="B414" s="6"/>
      <c r="C414" s="6"/>
      <c r="D414" s="6"/>
      <c r="E414" s="7"/>
    </row>
    <row r="415" customFormat="false" ht="14.25" hidden="false" customHeight="true" outlineLevel="0" collapsed="false">
      <c r="A415" s="6"/>
      <c r="B415" s="6"/>
      <c r="C415" s="6"/>
      <c r="D415" s="6"/>
      <c r="E415" s="7"/>
    </row>
    <row r="416" customFormat="false" ht="14.25" hidden="false" customHeight="true" outlineLevel="0" collapsed="false">
      <c r="A416" s="6"/>
      <c r="B416" s="6"/>
      <c r="C416" s="6"/>
      <c r="D416" s="6"/>
      <c r="E416" s="7"/>
    </row>
    <row r="417" customFormat="false" ht="14.25" hidden="false" customHeight="true" outlineLevel="0" collapsed="false">
      <c r="A417" s="6"/>
      <c r="B417" s="6"/>
      <c r="C417" s="6"/>
      <c r="D417" s="6"/>
      <c r="E417" s="7"/>
    </row>
    <row r="418" customFormat="false" ht="14.25" hidden="false" customHeight="true" outlineLevel="0" collapsed="false">
      <c r="A418" s="6"/>
      <c r="B418" s="6"/>
      <c r="C418" s="6"/>
      <c r="D418" s="6"/>
      <c r="E418" s="7"/>
    </row>
    <row r="419" customFormat="false" ht="14.25" hidden="false" customHeight="true" outlineLevel="0" collapsed="false">
      <c r="A419" s="6"/>
      <c r="B419" s="6"/>
      <c r="C419" s="6"/>
      <c r="D419" s="6"/>
      <c r="E419" s="7"/>
    </row>
    <row r="420" customFormat="false" ht="14.25" hidden="false" customHeight="true" outlineLevel="0" collapsed="false">
      <c r="A420" s="6"/>
      <c r="B420" s="6"/>
      <c r="C420" s="6"/>
      <c r="D420" s="6"/>
      <c r="E420" s="7"/>
    </row>
    <row r="421" customFormat="false" ht="14.25" hidden="false" customHeight="true" outlineLevel="0" collapsed="false">
      <c r="A421" s="6"/>
      <c r="B421" s="6"/>
      <c r="C421" s="6"/>
      <c r="D421" s="6"/>
      <c r="E421" s="7"/>
    </row>
    <row r="422" customFormat="false" ht="14.25" hidden="false" customHeight="true" outlineLevel="0" collapsed="false">
      <c r="A422" s="6"/>
      <c r="B422" s="6"/>
      <c r="C422" s="6"/>
      <c r="D422" s="6"/>
      <c r="E422" s="7"/>
    </row>
    <row r="423" customFormat="false" ht="14.25" hidden="false" customHeight="true" outlineLevel="0" collapsed="false">
      <c r="A423" s="6"/>
      <c r="B423" s="6"/>
      <c r="C423" s="6"/>
      <c r="D423" s="6"/>
      <c r="E423" s="7"/>
    </row>
    <row r="424" customFormat="false" ht="14.25" hidden="false" customHeight="true" outlineLevel="0" collapsed="false">
      <c r="A424" s="6"/>
      <c r="B424" s="6"/>
      <c r="C424" s="6"/>
      <c r="D424" s="6"/>
      <c r="E424" s="7"/>
    </row>
    <row r="425" customFormat="false" ht="14.25" hidden="false" customHeight="true" outlineLevel="0" collapsed="false">
      <c r="A425" s="6"/>
      <c r="B425" s="6"/>
      <c r="C425" s="6"/>
      <c r="D425" s="6"/>
      <c r="E425" s="7"/>
    </row>
    <row r="426" customFormat="false" ht="14.25" hidden="false" customHeight="true" outlineLevel="0" collapsed="false">
      <c r="A426" s="6"/>
      <c r="B426" s="6"/>
      <c r="C426" s="6"/>
      <c r="D426" s="6"/>
      <c r="E426" s="7"/>
    </row>
    <row r="427" customFormat="false" ht="14.25" hidden="false" customHeight="true" outlineLevel="0" collapsed="false">
      <c r="A427" s="6"/>
      <c r="B427" s="6"/>
      <c r="C427" s="6"/>
      <c r="D427" s="6"/>
      <c r="E427" s="7"/>
    </row>
    <row r="428" customFormat="false" ht="14.25" hidden="false" customHeight="true" outlineLevel="0" collapsed="false">
      <c r="A428" s="6"/>
      <c r="B428" s="6"/>
      <c r="C428" s="6"/>
      <c r="D428" s="6"/>
      <c r="E428" s="7"/>
    </row>
    <row r="429" customFormat="false" ht="14.25" hidden="false" customHeight="true" outlineLevel="0" collapsed="false">
      <c r="A429" s="6"/>
      <c r="B429" s="6"/>
      <c r="C429" s="6"/>
      <c r="D429" s="6"/>
      <c r="E429" s="7"/>
    </row>
    <row r="430" customFormat="false" ht="14.25" hidden="false" customHeight="true" outlineLevel="0" collapsed="false">
      <c r="A430" s="6"/>
      <c r="B430" s="6"/>
      <c r="C430" s="6"/>
      <c r="D430" s="6"/>
      <c r="E430" s="7"/>
    </row>
    <row r="431" customFormat="false" ht="14.25" hidden="false" customHeight="true" outlineLevel="0" collapsed="false">
      <c r="A431" s="6"/>
      <c r="B431" s="6"/>
      <c r="C431" s="6"/>
      <c r="D431" s="6"/>
      <c r="E431" s="7"/>
    </row>
    <row r="432" customFormat="false" ht="14.25" hidden="false" customHeight="true" outlineLevel="0" collapsed="false">
      <c r="A432" s="6"/>
      <c r="B432" s="6"/>
      <c r="C432" s="6"/>
      <c r="D432" s="6"/>
      <c r="E432" s="7"/>
    </row>
    <row r="433" customFormat="false" ht="14.25" hidden="false" customHeight="true" outlineLevel="0" collapsed="false">
      <c r="A433" s="6"/>
      <c r="B433" s="6"/>
      <c r="C433" s="6"/>
      <c r="D433" s="6"/>
      <c r="E433" s="7"/>
    </row>
    <row r="434" customFormat="false" ht="14.25" hidden="false" customHeight="true" outlineLevel="0" collapsed="false">
      <c r="A434" s="6"/>
      <c r="B434" s="6"/>
      <c r="C434" s="6"/>
      <c r="D434" s="6"/>
      <c r="E434" s="7"/>
    </row>
    <row r="435" customFormat="false" ht="14.25" hidden="false" customHeight="true" outlineLevel="0" collapsed="false">
      <c r="A435" s="6"/>
      <c r="B435" s="6"/>
      <c r="C435" s="6"/>
      <c r="D435" s="6"/>
      <c r="E435" s="7"/>
    </row>
    <row r="436" customFormat="false" ht="14.25" hidden="false" customHeight="true" outlineLevel="0" collapsed="false">
      <c r="A436" s="6"/>
      <c r="B436" s="6"/>
      <c r="C436" s="6"/>
      <c r="D436" s="6"/>
      <c r="E436" s="7"/>
    </row>
    <row r="437" customFormat="false" ht="14.25" hidden="false" customHeight="true" outlineLevel="0" collapsed="false">
      <c r="A437" s="6"/>
      <c r="B437" s="6"/>
      <c r="C437" s="6"/>
      <c r="D437" s="6"/>
      <c r="E437" s="7"/>
    </row>
    <row r="438" customFormat="false" ht="14.25" hidden="false" customHeight="true" outlineLevel="0" collapsed="false">
      <c r="A438" s="6"/>
      <c r="B438" s="6"/>
      <c r="C438" s="6"/>
      <c r="D438" s="6"/>
      <c r="E438" s="7"/>
    </row>
    <row r="439" customFormat="false" ht="14.25" hidden="false" customHeight="true" outlineLevel="0" collapsed="false">
      <c r="A439" s="6"/>
      <c r="B439" s="6"/>
      <c r="C439" s="6"/>
      <c r="D439" s="6"/>
      <c r="E439" s="7"/>
    </row>
    <row r="440" customFormat="false" ht="14.25" hidden="false" customHeight="true" outlineLevel="0" collapsed="false">
      <c r="A440" s="6"/>
      <c r="B440" s="6"/>
      <c r="C440" s="6"/>
      <c r="D440" s="6"/>
      <c r="E440" s="7"/>
    </row>
    <row r="441" customFormat="false" ht="14.25" hidden="false" customHeight="true" outlineLevel="0" collapsed="false">
      <c r="A441" s="6"/>
      <c r="B441" s="6"/>
      <c r="C441" s="6"/>
      <c r="D441" s="6"/>
      <c r="E441" s="7"/>
    </row>
    <row r="442" customFormat="false" ht="14.25" hidden="false" customHeight="true" outlineLevel="0" collapsed="false">
      <c r="A442" s="6"/>
      <c r="B442" s="6"/>
      <c r="C442" s="6"/>
      <c r="D442" s="6"/>
      <c r="E442" s="7"/>
    </row>
    <row r="443" customFormat="false" ht="14.25" hidden="false" customHeight="true" outlineLevel="0" collapsed="false">
      <c r="A443" s="6"/>
      <c r="B443" s="6"/>
      <c r="C443" s="6"/>
      <c r="D443" s="6"/>
      <c r="E443" s="7"/>
    </row>
    <row r="444" customFormat="false" ht="14.25" hidden="false" customHeight="true" outlineLevel="0" collapsed="false">
      <c r="A444" s="6"/>
      <c r="B444" s="6"/>
      <c r="C444" s="6"/>
      <c r="D444" s="6"/>
      <c r="E444" s="7"/>
    </row>
    <row r="445" customFormat="false" ht="14.25" hidden="false" customHeight="true" outlineLevel="0" collapsed="false">
      <c r="A445" s="6"/>
      <c r="B445" s="6"/>
      <c r="C445" s="6"/>
      <c r="D445" s="6"/>
      <c r="E445" s="7"/>
    </row>
    <row r="446" customFormat="false" ht="14.25" hidden="false" customHeight="true" outlineLevel="0" collapsed="false">
      <c r="A446" s="6"/>
      <c r="B446" s="6"/>
      <c r="C446" s="6"/>
      <c r="D446" s="6"/>
      <c r="E446" s="7"/>
    </row>
    <row r="447" customFormat="false" ht="14.25" hidden="false" customHeight="true" outlineLevel="0" collapsed="false">
      <c r="A447" s="6"/>
      <c r="B447" s="6"/>
      <c r="C447" s="6"/>
      <c r="D447" s="6"/>
      <c r="E447" s="7"/>
    </row>
    <row r="448" customFormat="false" ht="14.25" hidden="false" customHeight="true" outlineLevel="0" collapsed="false">
      <c r="A448" s="6"/>
      <c r="B448" s="6"/>
      <c r="C448" s="6"/>
      <c r="D448" s="6"/>
      <c r="E448" s="7"/>
    </row>
    <row r="449" customFormat="false" ht="14.25" hidden="false" customHeight="true" outlineLevel="0" collapsed="false">
      <c r="A449" s="6"/>
      <c r="B449" s="6"/>
      <c r="C449" s="6"/>
      <c r="D449" s="6"/>
      <c r="E449" s="7"/>
    </row>
    <row r="450" customFormat="false" ht="14.25" hidden="false" customHeight="true" outlineLevel="0" collapsed="false">
      <c r="A450" s="6"/>
      <c r="B450" s="6"/>
      <c r="C450" s="6"/>
      <c r="D450" s="6"/>
      <c r="E450" s="7"/>
    </row>
    <row r="451" customFormat="false" ht="14.25" hidden="false" customHeight="true" outlineLevel="0" collapsed="false">
      <c r="A451" s="6"/>
      <c r="B451" s="6"/>
      <c r="C451" s="6"/>
      <c r="D451" s="6"/>
      <c r="E451" s="7"/>
    </row>
    <row r="452" customFormat="false" ht="14.25" hidden="false" customHeight="true" outlineLevel="0" collapsed="false">
      <c r="A452" s="6"/>
      <c r="B452" s="6"/>
      <c r="C452" s="6"/>
      <c r="D452" s="6"/>
      <c r="E452" s="7"/>
    </row>
    <row r="453" customFormat="false" ht="14.25" hidden="false" customHeight="true" outlineLevel="0" collapsed="false">
      <c r="A453" s="6"/>
      <c r="B453" s="6"/>
      <c r="C453" s="6"/>
      <c r="D453" s="6"/>
      <c r="E453" s="7"/>
    </row>
    <row r="454" customFormat="false" ht="14.25" hidden="false" customHeight="true" outlineLevel="0" collapsed="false">
      <c r="A454" s="6"/>
      <c r="B454" s="6"/>
      <c r="C454" s="6"/>
      <c r="D454" s="6"/>
      <c r="E454" s="7"/>
    </row>
    <row r="455" customFormat="false" ht="14.25" hidden="false" customHeight="true" outlineLevel="0" collapsed="false">
      <c r="A455" s="6"/>
      <c r="B455" s="6"/>
      <c r="C455" s="6"/>
      <c r="D455" s="6"/>
      <c r="E455" s="7"/>
    </row>
    <row r="456" customFormat="false" ht="14.25" hidden="false" customHeight="true" outlineLevel="0" collapsed="false">
      <c r="A456" s="6"/>
      <c r="B456" s="6"/>
      <c r="C456" s="6"/>
      <c r="D456" s="6"/>
      <c r="E456" s="7"/>
    </row>
    <row r="457" customFormat="false" ht="14.25" hidden="false" customHeight="true" outlineLevel="0" collapsed="false">
      <c r="A457" s="6"/>
      <c r="B457" s="6"/>
      <c r="C457" s="6"/>
      <c r="D457" s="6"/>
      <c r="E457" s="7"/>
    </row>
    <row r="458" customFormat="false" ht="14.25" hidden="false" customHeight="true" outlineLevel="0" collapsed="false">
      <c r="A458" s="6"/>
      <c r="B458" s="6"/>
      <c r="C458" s="6"/>
      <c r="D458" s="6"/>
      <c r="E458" s="7"/>
    </row>
    <row r="459" customFormat="false" ht="14.25" hidden="false" customHeight="true" outlineLevel="0" collapsed="false">
      <c r="A459" s="6"/>
      <c r="B459" s="6"/>
      <c r="C459" s="6"/>
      <c r="D459" s="6"/>
      <c r="E459" s="7"/>
    </row>
    <row r="460" customFormat="false" ht="14.25" hidden="false" customHeight="true" outlineLevel="0" collapsed="false">
      <c r="A460" s="6"/>
      <c r="B460" s="6"/>
      <c r="C460" s="6"/>
      <c r="D460" s="6"/>
      <c r="E460" s="7"/>
    </row>
    <row r="461" customFormat="false" ht="14.25" hidden="false" customHeight="true" outlineLevel="0" collapsed="false">
      <c r="A461" s="6"/>
      <c r="B461" s="6"/>
      <c r="C461" s="6"/>
      <c r="D461" s="6"/>
      <c r="E461" s="7"/>
    </row>
    <row r="462" customFormat="false" ht="14.25" hidden="false" customHeight="true" outlineLevel="0" collapsed="false">
      <c r="A462" s="6"/>
      <c r="B462" s="6"/>
      <c r="C462" s="6"/>
      <c r="D462" s="6"/>
      <c r="E462" s="7"/>
    </row>
    <row r="463" customFormat="false" ht="14.25" hidden="false" customHeight="true" outlineLevel="0" collapsed="false">
      <c r="A463" s="6"/>
      <c r="B463" s="6"/>
      <c r="C463" s="6"/>
      <c r="D463" s="6"/>
      <c r="E463" s="7"/>
    </row>
    <row r="464" customFormat="false" ht="14.25" hidden="false" customHeight="true" outlineLevel="0" collapsed="false">
      <c r="A464" s="6"/>
      <c r="B464" s="6"/>
      <c r="C464" s="6"/>
      <c r="D464" s="6"/>
      <c r="E464" s="7"/>
    </row>
    <row r="465" customFormat="false" ht="14.25" hidden="false" customHeight="true" outlineLevel="0" collapsed="false">
      <c r="A465" s="6"/>
      <c r="B465" s="6"/>
      <c r="C465" s="6"/>
      <c r="D465" s="6"/>
      <c r="E465" s="7"/>
    </row>
    <row r="466" customFormat="false" ht="14.25" hidden="false" customHeight="true" outlineLevel="0" collapsed="false">
      <c r="A466" s="6"/>
      <c r="B466" s="6"/>
      <c r="C466" s="6"/>
      <c r="D466" s="6"/>
      <c r="E466" s="7"/>
    </row>
    <row r="467" customFormat="false" ht="14.25" hidden="false" customHeight="true" outlineLevel="0" collapsed="false">
      <c r="A467" s="6"/>
      <c r="B467" s="6"/>
      <c r="C467" s="6"/>
      <c r="D467" s="6"/>
      <c r="E467" s="7"/>
    </row>
    <row r="468" customFormat="false" ht="14.25" hidden="false" customHeight="true" outlineLevel="0" collapsed="false">
      <c r="A468" s="6"/>
      <c r="B468" s="6"/>
      <c r="C468" s="6"/>
      <c r="D468" s="6"/>
      <c r="E468" s="7"/>
    </row>
    <row r="469" customFormat="false" ht="14.25" hidden="false" customHeight="true" outlineLevel="0" collapsed="false">
      <c r="A469" s="6"/>
      <c r="B469" s="6"/>
      <c r="C469" s="6"/>
      <c r="D469" s="6"/>
      <c r="E469" s="7"/>
    </row>
    <row r="470" customFormat="false" ht="14.25" hidden="false" customHeight="true" outlineLevel="0" collapsed="false">
      <c r="A470" s="6"/>
      <c r="B470" s="6"/>
      <c r="C470" s="6"/>
      <c r="D470" s="6"/>
      <c r="E470" s="7"/>
    </row>
    <row r="471" customFormat="false" ht="14.25" hidden="false" customHeight="true" outlineLevel="0" collapsed="false">
      <c r="A471" s="6"/>
      <c r="B471" s="6"/>
      <c r="C471" s="6"/>
      <c r="D471" s="6"/>
      <c r="E471" s="7"/>
    </row>
    <row r="472" customFormat="false" ht="14.25" hidden="false" customHeight="true" outlineLevel="0" collapsed="false">
      <c r="A472" s="6"/>
      <c r="B472" s="6"/>
      <c r="C472" s="6"/>
      <c r="D472" s="6"/>
      <c r="E472" s="7"/>
    </row>
    <row r="473" customFormat="false" ht="14.25" hidden="false" customHeight="true" outlineLevel="0" collapsed="false">
      <c r="A473" s="6"/>
      <c r="B473" s="6"/>
      <c r="C473" s="6"/>
      <c r="D473" s="6"/>
      <c r="E473" s="7"/>
    </row>
    <row r="474" customFormat="false" ht="14.25" hidden="false" customHeight="true" outlineLevel="0" collapsed="false">
      <c r="A474" s="6"/>
      <c r="B474" s="6"/>
      <c r="C474" s="6"/>
      <c r="D474" s="6"/>
      <c r="E474" s="7"/>
    </row>
    <row r="475" customFormat="false" ht="14.25" hidden="false" customHeight="true" outlineLevel="0" collapsed="false">
      <c r="A475" s="6"/>
      <c r="B475" s="6"/>
      <c r="C475" s="6"/>
      <c r="D475" s="6"/>
      <c r="E475" s="7"/>
    </row>
    <row r="476" customFormat="false" ht="14.25" hidden="false" customHeight="true" outlineLevel="0" collapsed="false">
      <c r="A476" s="6"/>
      <c r="B476" s="6"/>
      <c r="C476" s="6"/>
      <c r="D476" s="6"/>
      <c r="E476" s="7"/>
    </row>
    <row r="477" customFormat="false" ht="14.25" hidden="false" customHeight="true" outlineLevel="0" collapsed="false">
      <c r="A477" s="6"/>
      <c r="B477" s="6"/>
      <c r="C477" s="6"/>
      <c r="D477" s="6"/>
      <c r="E477" s="7"/>
    </row>
    <row r="478" customFormat="false" ht="14.25" hidden="false" customHeight="true" outlineLevel="0" collapsed="false">
      <c r="A478" s="6"/>
      <c r="B478" s="6"/>
      <c r="C478" s="6"/>
      <c r="D478" s="6"/>
      <c r="E478" s="7"/>
    </row>
    <row r="479" customFormat="false" ht="14.25" hidden="false" customHeight="true" outlineLevel="0" collapsed="false">
      <c r="A479" s="6"/>
      <c r="B479" s="6"/>
      <c r="C479" s="6"/>
      <c r="D479" s="6"/>
      <c r="E479" s="7"/>
    </row>
    <row r="480" customFormat="false" ht="14.25" hidden="false" customHeight="true" outlineLevel="0" collapsed="false">
      <c r="A480" s="6"/>
      <c r="B480" s="6"/>
      <c r="C480" s="6"/>
      <c r="D480" s="6"/>
      <c r="E480" s="7"/>
    </row>
    <row r="481" customFormat="false" ht="14.25" hidden="false" customHeight="true" outlineLevel="0" collapsed="false">
      <c r="A481" s="6"/>
      <c r="B481" s="6"/>
      <c r="C481" s="6"/>
      <c r="D481" s="6"/>
      <c r="E481" s="7"/>
    </row>
    <row r="482" customFormat="false" ht="14.25" hidden="false" customHeight="true" outlineLevel="0" collapsed="false">
      <c r="A482" s="6"/>
      <c r="B482" s="6"/>
      <c r="C482" s="6"/>
      <c r="D482" s="6"/>
      <c r="E482" s="7"/>
    </row>
    <row r="483" customFormat="false" ht="14.25" hidden="false" customHeight="true" outlineLevel="0" collapsed="false">
      <c r="A483" s="6"/>
      <c r="B483" s="6"/>
      <c r="C483" s="6"/>
      <c r="D483" s="6"/>
      <c r="E483" s="7"/>
    </row>
    <row r="484" customFormat="false" ht="14.25" hidden="false" customHeight="true" outlineLevel="0" collapsed="false">
      <c r="A484" s="6"/>
      <c r="B484" s="6"/>
      <c r="C484" s="6"/>
      <c r="D484" s="6"/>
      <c r="E484" s="7"/>
    </row>
    <row r="485" customFormat="false" ht="14.25" hidden="false" customHeight="true" outlineLevel="0" collapsed="false">
      <c r="A485" s="6"/>
      <c r="B485" s="6"/>
      <c r="C485" s="6"/>
      <c r="D485" s="6"/>
      <c r="E485" s="7"/>
    </row>
    <row r="486" customFormat="false" ht="14.25" hidden="false" customHeight="true" outlineLevel="0" collapsed="false">
      <c r="A486" s="6"/>
      <c r="B486" s="6"/>
      <c r="C486" s="6"/>
      <c r="D486" s="6"/>
      <c r="E486" s="7"/>
    </row>
    <row r="487" customFormat="false" ht="14.25" hidden="false" customHeight="true" outlineLevel="0" collapsed="false">
      <c r="A487" s="6"/>
      <c r="B487" s="6"/>
      <c r="C487" s="6"/>
      <c r="D487" s="6"/>
      <c r="E487" s="7"/>
    </row>
    <row r="488" customFormat="false" ht="14.25" hidden="false" customHeight="true" outlineLevel="0" collapsed="false">
      <c r="A488" s="6"/>
      <c r="B488" s="6"/>
      <c r="C488" s="6"/>
      <c r="D488" s="6"/>
      <c r="E488" s="7"/>
    </row>
    <row r="489" customFormat="false" ht="14.25" hidden="false" customHeight="true" outlineLevel="0" collapsed="false">
      <c r="A489" s="6"/>
      <c r="B489" s="6"/>
      <c r="C489" s="6"/>
      <c r="D489" s="6"/>
      <c r="E489" s="7"/>
    </row>
    <row r="490" customFormat="false" ht="14.25" hidden="false" customHeight="true" outlineLevel="0" collapsed="false">
      <c r="A490" s="6"/>
      <c r="B490" s="6"/>
      <c r="C490" s="6"/>
      <c r="D490" s="6"/>
      <c r="E490" s="7"/>
    </row>
    <row r="491" customFormat="false" ht="14.25" hidden="false" customHeight="true" outlineLevel="0" collapsed="false">
      <c r="A491" s="6"/>
      <c r="B491" s="6"/>
      <c r="C491" s="6"/>
      <c r="D491" s="6"/>
      <c r="E491" s="7"/>
    </row>
    <row r="492" customFormat="false" ht="14.25" hidden="false" customHeight="true" outlineLevel="0" collapsed="false">
      <c r="A492" s="6"/>
      <c r="B492" s="6"/>
      <c r="C492" s="6"/>
      <c r="D492" s="6"/>
      <c r="E492" s="7"/>
    </row>
    <row r="493" customFormat="false" ht="14.25" hidden="false" customHeight="true" outlineLevel="0" collapsed="false">
      <c r="A493" s="6"/>
      <c r="B493" s="6"/>
      <c r="C493" s="6"/>
      <c r="D493" s="6"/>
      <c r="E493" s="7"/>
    </row>
    <row r="494" customFormat="false" ht="14.25" hidden="false" customHeight="true" outlineLevel="0" collapsed="false">
      <c r="A494" s="6"/>
      <c r="B494" s="6"/>
      <c r="C494" s="6"/>
      <c r="D494" s="6"/>
      <c r="E494" s="7"/>
    </row>
    <row r="495" customFormat="false" ht="14.25" hidden="false" customHeight="true" outlineLevel="0" collapsed="false">
      <c r="A495" s="6"/>
      <c r="B495" s="6"/>
      <c r="C495" s="6"/>
      <c r="D495" s="6"/>
      <c r="E495" s="7"/>
    </row>
    <row r="496" customFormat="false" ht="14.25" hidden="false" customHeight="true" outlineLevel="0" collapsed="false">
      <c r="A496" s="6"/>
      <c r="B496" s="6"/>
      <c r="C496" s="6"/>
      <c r="D496" s="6"/>
      <c r="E496" s="7"/>
    </row>
    <row r="497" customFormat="false" ht="14.25" hidden="false" customHeight="true" outlineLevel="0" collapsed="false">
      <c r="A497" s="6"/>
      <c r="B497" s="6"/>
      <c r="C497" s="6"/>
      <c r="D497" s="6"/>
      <c r="E497" s="7"/>
    </row>
    <row r="498" customFormat="false" ht="14.25" hidden="false" customHeight="true" outlineLevel="0" collapsed="false">
      <c r="A498" s="6"/>
      <c r="B498" s="6"/>
      <c r="C498" s="6"/>
      <c r="D498" s="6"/>
      <c r="E498" s="7"/>
    </row>
    <row r="499" customFormat="false" ht="14.25" hidden="false" customHeight="true" outlineLevel="0" collapsed="false">
      <c r="A499" s="6"/>
      <c r="B499" s="6"/>
      <c r="C499" s="6"/>
      <c r="D499" s="6"/>
      <c r="E499" s="7"/>
    </row>
    <row r="500" customFormat="false" ht="14.25" hidden="false" customHeight="true" outlineLevel="0" collapsed="false">
      <c r="A500" s="6"/>
      <c r="B500" s="6"/>
      <c r="C500" s="6"/>
      <c r="D500" s="6"/>
      <c r="E500" s="7"/>
    </row>
    <row r="501" customFormat="false" ht="14.25" hidden="false" customHeight="true" outlineLevel="0" collapsed="false">
      <c r="A501" s="6"/>
      <c r="B501" s="6"/>
      <c r="C501" s="6"/>
      <c r="D501" s="6"/>
      <c r="E501" s="7"/>
    </row>
    <row r="502" customFormat="false" ht="14.25" hidden="false" customHeight="true" outlineLevel="0" collapsed="false">
      <c r="A502" s="6"/>
      <c r="B502" s="6"/>
      <c r="C502" s="6"/>
      <c r="D502" s="6"/>
      <c r="E502" s="7"/>
    </row>
    <row r="503" customFormat="false" ht="14.25" hidden="false" customHeight="true" outlineLevel="0" collapsed="false">
      <c r="A503" s="6"/>
      <c r="B503" s="6"/>
      <c r="C503" s="6"/>
      <c r="D503" s="6"/>
      <c r="E503" s="7"/>
    </row>
    <row r="504" customFormat="false" ht="14.25" hidden="false" customHeight="true" outlineLevel="0" collapsed="false">
      <c r="A504" s="6"/>
      <c r="B504" s="6"/>
      <c r="C504" s="6"/>
      <c r="D504" s="6"/>
      <c r="E504" s="7"/>
    </row>
    <row r="505" customFormat="false" ht="14.25" hidden="false" customHeight="true" outlineLevel="0" collapsed="false">
      <c r="A505" s="6"/>
      <c r="B505" s="6"/>
      <c r="C505" s="6"/>
      <c r="D505" s="6"/>
      <c r="E505" s="7"/>
    </row>
    <row r="506" customFormat="false" ht="14.25" hidden="false" customHeight="true" outlineLevel="0" collapsed="false">
      <c r="A506" s="6"/>
      <c r="B506" s="6"/>
      <c r="C506" s="6"/>
      <c r="D506" s="6"/>
      <c r="E506" s="7"/>
    </row>
    <row r="507" customFormat="false" ht="14.25" hidden="false" customHeight="true" outlineLevel="0" collapsed="false">
      <c r="A507" s="6"/>
      <c r="B507" s="6"/>
      <c r="C507" s="6"/>
      <c r="D507" s="6"/>
      <c r="E507" s="7"/>
    </row>
    <row r="508" customFormat="false" ht="14.25" hidden="false" customHeight="true" outlineLevel="0" collapsed="false">
      <c r="A508" s="6"/>
      <c r="B508" s="6"/>
      <c r="C508" s="6"/>
      <c r="D508" s="6"/>
      <c r="E508" s="7"/>
    </row>
    <row r="509" customFormat="false" ht="14.25" hidden="false" customHeight="true" outlineLevel="0" collapsed="false">
      <c r="A509" s="6"/>
      <c r="B509" s="6"/>
      <c r="C509" s="6"/>
      <c r="D509" s="6"/>
      <c r="E509" s="7"/>
    </row>
    <row r="510" customFormat="false" ht="14.25" hidden="false" customHeight="true" outlineLevel="0" collapsed="false">
      <c r="A510" s="6"/>
      <c r="B510" s="6"/>
      <c r="C510" s="6"/>
      <c r="D510" s="6"/>
      <c r="E510" s="7"/>
    </row>
    <row r="511" customFormat="false" ht="14.25" hidden="false" customHeight="true" outlineLevel="0" collapsed="false">
      <c r="A511" s="6"/>
      <c r="B511" s="6"/>
      <c r="C511" s="6"/>
      <c r="D511" s="6"/>
      <c r="E511" s="7"/>
    </row>
    <row r="512" customFormat="false" ht="14.25" hidden="false" customHeight="true" outlineLevel="0" collapsed="false">
      <c r="A512" s="6"/>
      <c r="B512" s="6"/>
      <c r="C512" s="6"/>
      <c r="D512" s="6"/>
      <c r="E512" s="7"/>
    </row>
    <row r="513" customFormat="false" ht="14.25" hidden="false" customHeight="true" outlineLevel="0" collapsed="false">
      <c r="A513" s="6"/>
      <c r="B513" s="6"/>
      <c r="C513" s="6"/>
      <c r="D513" s="6"/>
      <c r="E513" s="7"/>
    </row>
    <row r="514" customFormat="false" ht="14.25" hidden="false" customHeight="true" outlineLevel="0" collapsed="false">
      <c r="A514" s="6"/>
      <c r="B514" s="6"/>
      <c r="C514" s="6"/>
      <c r="D514" s="6"/>
      <c r="E514" s="7"/>
    </row>
    <row r="515" customFormat="false" ht="14.25" hidden="false" customHeight="true" outlineLevel="0" collapsed="false">
      <c r="A515" s="6"/>
      <c r="B515" s="6"/>
      <c r="C515" s="6"/>
      <c r="D515" s="6"/>
      <c r="E515" s="7"/>
    </row>
    <row r="516" customFormat="false" ht="14.25" hidden="false" customHeight="true" outlineLevel="0" collapsed="false">
      <c r="A516" s="6"/>
      <c r="B516" s="6"/>
      <c r="C516" s="6"/>
      <c r="D516" s="6"/>
      <c r="E516" s="7"/>
    </row>
    <row r="517" customFormat="false" ht="14.25" hidden="false" customHeight="true" outlineLevel="0" collapsed="false">
      <c r="A517" s="6"/>
      <c r="B517" s="6"/>
      <c r="C517" s="6"/>
      <c r="D517" s="6"/>
      <c r="E517" s="7"/>
    </row>
    <row r="518" customFormat="false" ht="14.25" hidden="false" customHeight="true" outlineLevel="0" collapsed="false">
      <c r="A518" s="6"/>
      <c r="B518" s="6"/>
      <c r="C518" s="6"/>
      <c r="D518" s="6"/>
      <c r="E518" s="7"/>
    </row>
    <row r="519" customFormat="false" ht="14.25" hidden="false" customHeight="true" outlineLevel="0" collapsed="false">
      <c r="A519" s="6"/>
      <c r="B519" s="6"/>
      <c r="C519" s="6"/>
      <c r="D519" s="6"/>
      <c r="E519" s="7"/>
    </row>
    <row r="520" customFormat="false" ht="14.25" hidden="false" customHeight="true" outlineLevel="0" collapsed="false">
      <c r="A520" s="6"/>
      <c r="B520" s="6"/>
      <c r="C520" s="6"/>
      <c r="D520" s="6"/>
      <c r="E520" s="7"/>
    </row>
    <row r="521" customFormat="false" ht="14.25" hidden="false" customHeight="true" outlineLevel="0" collapsed="false">
      <c r="A521" s="6"/>
      <c r="B521" s="6"/>
      <c r="C521" s="6"/>
      <c r="D521" s="6"/>
      <c r="E521" s="7"/>
    </row>
    <row r="522" customFormat="false" ht="14.25" hidden="false" customHeight="true" outlineLevel="0" collapsed="false">
      <c r="A522" s="6"/>
      <c r="B522" s="6"/>
      <c r="C522" s="6"/>
      <c r="D522" s="6"/>
      <c r="E522" s="7"/>
    </row>
    <row r="523" customFormat="false" ht="14.25" hidden="false" customHeight="true" outlineLevel="0" collapsed="false">
      <c r="A523" s="6"/>
      <c r="B523" s="6"/>
      <c r="C523" s="6"/>
      <c r="D523" s="6"/>
      <c r="E523" s="7"/>
    </row>
    <row r="524" customFormat="false" ht="14.25" hidden="false" customHeight="true" outlineLevel="0" collapsed="false">
      <c r="A524" s="6"/>
      <c r="B524" s="6"/>
      <c r="C524" s="6"/>
      <c r="D524" s="6"/>
      <c r="E524" s="7"/>
    </row>
    <row r="525" customFormat="false" ht="14.25" hidden="false" customHeight="true" outlineLevel="0" collapsed="false">
      <c r="A525" s="6"/>
      <c r="B525" s="6"/>
      <c r="C525" s="6"/>
      <c r="D525" s="6"/>
      <c r="E525" s="7"/>
    </row>
    <row r="526" customFormat="false" ht="14.25" hidden="false" customHeight="true" outlineLevel="0" collapsed="false">
      <c r="A526" s="6"/>
      <c r="B526" s="6"/>
      <c r="C526" s="6"/>
      <c r="D526" s="6"/>
      <c r="E526" s="7"/>
    </row>
    <row r="527" customFormat="false" ht="14.25" hidden="false" customHeight="true" outlineLevel="0" collapsed="false">
      <c r="A527" s="6"/>
      <c r="B527" s="6"/>
      <c r="C527" s="6"/>
      <c r="D527" s="6"/>
      <c r="E527" s="7"/>
    </row>
    <row r="528" customFormat="false" ht="14.25" hidden="false" customHeight="true" outlineLevel="0" collapsed="false">
      <c r="A528" s="6"/>
      <c r="B528" s="6"/>
      <c r="C528" s="6"/>
      <c r="D528" s="6"/>
      <c r="E528" s="7"/>
    </row>
    <row r="529" customFormat="false" ht="14.25" hidden="false" customHeight="true" outlineLevel="0" collapsed="false">
      <c r="A529" s="6"/>
      <c r="B529" s="6"/>
      <c r="C529" s="6"/>
      <c r="D529" s="6"/>
      <c r="E529" s="7"/>
    </row>
    <row r="530" customFormat="false" ht="14.25" hidden="false" customHeight="true" outlineLevel="0" collapsed="false">
      <c r="A530" s="6"/>
      <c r="B530" s="6"/>
      <c r="C530" s="6"/>
      <c r="D530" s="6"/>
      <c r="E530" s="7"/>
    </row>
    <row r="531" customFormat="false" ht="14.25" hidden="false" customHeight="true" outlineLevel="0" collapsed="false">
      <c r="A531" s="6"/>
      <c r="B531" s="6"/>
      <c r="C531" s="6"/>
      <c r="D531" s="6"/>
      <c r="E531" s="7"/>
    </row>
    <row r="532" customFormat="false" ht="14.25" hidden="false" customHeight="true" outlineLevel="0" collapsed="false">
      <c r="A532" s="6"/>
      <c r="B532" s="6"/>
      <c r="C532" s="6"/>
      <c r="D532" s="6"/>
      <c r="E532" s="7"/>
    </row>
    <row r="533" customFormat="false" ht="14.25" hidden="false" customHeight="true" outlineLevel="0" collapsed="false">
      <c r="A533" s="6"/>
      <c r="B533" s="6"/>
      <c r="C533" s="6"/>
      <c r="D533" s="6"/>
      <c r="E533" s="7"/>
    </row>
    <row r="534" customFormat="false" ht="14.25" hidden="false" customHeight="true" outlineLevel="0" collapsed="false">
      <c r="A534" s="6"/>
      <c r="B534" s="6"/>
      <c r="C534" s="6"/>
      <c r="D534" s="6"/>
      <c r="E534" s="7"/>
    </row>
    <row r="535" customFormat="false" ht="14.25" hidden="false" customHeight="true" outlineLevel="0" collapsed="false">
      <c r="A535" s="6"/>
      <c r="B535" s="6"/>
      <c r="C535" s="6"/>
      <c r="D535" s="6"/>
      <c r="E535" s="7"/>
    </row>
    <row r="536" customFormat="false" ht="14.25" hidden="false" customHeight="true" outlineLevel="0" collapsed="false">
      <c r="A536" s="6"/>
      <c r="B536" s="6"/>
      <c r="C536" s="6"/>
      <c r="D536" s="6"/>
      <c r="E536" s="7"/>
    </row>
    <row r="537" customFormat="false" ht="14.25" hidden="false" customHeight="true" outlineLevel="0" collapsed="false">
      <c r="A537" s="6"/>
      <c r="B537" s="6"/>
      <c r="C537" s="6"/>
      <c r="D537" s="6"/>
      <c r="E537" s="7"/>
    </row>
    <row r="538" customFormat="false" ht="14.25" hidden="false" customHeight="true" outlineLevel="0" collapsed="false">
      <c r="A538" s="6"/>
      <c r="B538" s="6"/>
      <c r="C538" s="6"/>
      <c r="D538" s="6"/>
      <c r="E538" s="7"/>
    </row>
    <row r="539" customFormat="false" ht="14.25" hidden="false" customHeight="true" outlineLevel="0" collapsed="false">
      <c r="A539" s="6"/>
      <c r="B539" s="6"/>
      <c r="C539" s="6"/>
      <c r="D539" s="6"/>
      <c r="E539" s="7"/>
    </row>
    <row r="540" customFormat="false" ht="14.25" hidden="false" customHeight="true" outlineLevel="0" collapsed="false">
      <c r="A540" s="6"/>
      <c r="B540" s="6"/>
      <c r="C540" s="6"/>
      <c r="D540" s="6"/>
      <c r="E540" s="7"/>
    </row>
    <row r="541" customFormat="false" ht="14.25" hidden="false" customHeight="true" outlineLevel="0" collapsed="false">
      <c r="A541" s="6"/>
      <c r="B541" s="6"/>
      <c r="C541" s="6"/>
      <c r="D541" s="6"/>
      <c r="E541" s="7"/>
    </row>
    <row r="542" customFormat="false" ht="14.25" hidden="false" customHeight="true" outlineLevel="0" collapsed="false">
      <c r="A542" s="6"/>
      <c r="B542" s="6"/>
      <c r="C542" s="6"/>
      <c r="D542" s="6"/>
      <c r="E542" s="7"/>
    </row>
    <row r="543" customFormat="false" ht="14.25" hidden="false" customHeight="true" outlineLevel="0" collapsed="false">
      <c r="A543" s="6"/>
      <c r="B543" s="6"/>
      <c r="C543" s="6"/>
      <c r="D543" s="6"/>
      <c r="E543" s="7"/>
    </row>
    <row r="544" customFormat="false" ht="14.25" hidden="false" customHeight="true" outlineLevel="0" collapsed="false">
      <c r="A544" s="6"/>
      <c r="B544" s="6"/>
      <c r="C544" s="6"/>
      <c r="D544" s="6"/>
      <c r="E544" s="7"/>
    </row>
    <row r="545" customFormat="false" ht="14.25" hidden="false" customHeight="true" outlineLevel="0" collapsed="false">
      <c r="A545" s="6"/>
      <c r="B545" s="6"/>
      <c r="C545" s="6"/>
      <c r="D545" s="6"/>
      <c r="E545" s="7"/>
    </row>
    <row r="546" customFormat="false" ht="14.25" hidden="false" customHeight="true" outlineLevel="0" collapsed="false">
      <c r="A546" s="6"/>
      <c r="B546" s="6"/>
      <c r="C546" s="6"/>
      <c r="D546" s="6"/>
      <c r="E546" s="7"/>
    </row>
    <row r="547" customFormat="false" ht="14.25" hidden="false" customHeight="true" outlineLevel="0" collapsed="false">
      <c r="A547" s="6"/>
      <c r="B547" s="6"/>
      <c r="C547" s="6"/>
      <c r="D547" s="6"/>
      <c r="E547" s="7"/>
    </row>
    <row r="548" customFormat="false" ht="14.25" hidden="false" customHeight="true" outlineLevel="0" collapsed="false">
      <c r="A548" s="6"/>
      <c r="B548" s="6"/>
      <c r="C548" s="6"/>
      <c r="D548" s="6"/>
      <c r="E548" s="7"/>
    </row>
    <row r="549" customFormat="false" ht="14.25" hidden="false" customHeight="true" outlineLevel="0" collapsed="false">
      <c r="A549" s="6"/>
      <c r="B549" s="6"/>
      <c r="C549" s="6"/>
      <c r="D549" s="6"/>
      <c r="E549" s="7"/>
    </row>
    <row r="550" customFormat="false" ht="14.25" hidden="false" customHeight="true" outlineLevel="0" collapsed="false">
      <c r="A550" s="6"/>
      <c r="B550" s="6"/>
      <c r="C550" s="6"/>
      <c r="D550" s="6"/>
      <c r="E550" s="7"/>
    </row>
    <row r="551" customFormat="false" ht="14.25" hidden="false" customHeight="true" outlineLevel="0" collapsed="false">
      <c r="A551" s="6"/>
      <c r="B551" s="6"/>
      <c r="C551" s="6"/>
      <c r="D551" s="6"/>
      <c r="E551" s="7"/>
    </row>
    <row r="552" customFormat="false" ht="14.25" hidden="false" customHeight="true" outlineLevel="0" collapsed="false">
      <c r="A552" s="6"/>
      <c r="B552" s="6"/>
      <c r="C552" s="6"/>
      <c r="D552" s="6"/>
      <c r="E552" s="7"/>
    </row>
    <row r="553" customFormat="false" ht="14.25" hidden="false" customHeight="true" outlineLevel="0" collapsed="false">
      <c r="A553" s="6"/>
      <c r="B553" s="6"/>
      <c r="C553" s="6"/>
      <c r="D553" s="6"/>
      <c r="E553" s="7"/>
    </row>
    <row r="554" customFormat="false" ht="14.25" hidden="false" customHeight="true" outlineLevel="0" collapsed="false">
      <c r="A554" s="6"/>
      <c r="B554" s="6"/>
      <c r="C554" s="6"/>
      <c r="D554" s="6"/>
      <c r="E554" s="7"/>
    </row>
    <row r="555" customFormat="false" ht="14.25" hidden="false" customHeight="true" outlineLevel="0" collapsed="false">
      <c r="A555" s="6"/>
      <c r="B555" s="6"/>
      <c r="C555" s="6"/>
      <c r="D555" s="6"/>
      <c r="E555" s="7"/>
    </row>
    <row r="556" customFormat="false" ht="14.25" hidden="false" customHeight="true" outlineLevel="0" collapsed="false">
      <c r="A556" s="6"/>
      <c r="B556" s="6"/>
      <c r="C556" s="6"/>
      <c r="D556" s="6"/>
      <c r="E556" s="7"/>
    </row>
    <row r="557" customFormat="false" ht="14.25" hidden="false" customHeight="true" outlineLevel="0" collapsed="false">
      <c r="A557" s="6"/>
      <c r="B557" s="6"/>
      <c r="C557" s="6"/>
      <c r="D557" s="6"/>
      <c r="E557" s="7"/>
    </row>
    <row r="558" customFormat="false" ht="14.25" hidden="false" customHeight="true" outlineLevel="0" collapsed="false">
      <c r="A558" s="6"/>
      <c r="B558" s="6"/>
      <c r="C558" s="6"/>
      <c r="D558" s="6"/>
      <c r="E558" s="7"/>
    </row>
    <row r="559" customFormat="false" ht="14.25" hidden="false" customHeight="true" outlineLevel="0" collapsed="false">
      <c r="A559" s="6"/>
      <c r="B559" s="6"/>
      <c r="C559" s="6"/>
      <c r="D559" s="6"/>
      <c r="E559" s="7"/>
    </row>
    <row r="560" customFormat="false" ht="14.25" hidden="false" customHeight="true" outlineLevel="0" collapsed="false">
      <c r="A560" s="6"/>
      <c r="B560" s="6"/>
      <c r="C560" s="6"/>
      <c r="D560" s="6"/>
      <c r="E560" s="7"/>
    </row>
    <row r="561" customFormat="false" ht="14.25" hidden="false" customHeight="true" outlineLevel="0" collapsed="false">
      <c r="A561" s="6"/>
      <c r="B561" s="6"/>
      <c r="C561" s="6"/>
      <c r="D561" s="6"/>
      <c r="E561" s="7"/>
    </row>
    <row r="562" customFormat="false" ht="14.25" hidden="false" customHeight="true" outlineLevel="0" collapsed="false">
      <c r="A562" s="6"/>
      <c r="B562" s="6"/>
      <c r="C562" s="6"/>
      <c r="D562" s="6"/>
      <c r="E562" s="7"/>
    </row>
    <row r="563" customFormat="false" ht="14.25" hidden="false" customHeight="true" outlineLevel="0" collapsed="false">
      <c r="A563" s="6"/>
      <c r="B563" s="6"/>
      <c r="C563" s="6"/>
      <c r="D563" s="6"/>
      <c r="E563" s="7"/>
    </row>
    <row r="564" customFormat="false" ht="14.25" hidden="false" customHeight="true" outlineLevel="0" collapsed="false">
      <c r="A564" s="6"/>
      <c r="B564" s="6"/>
      <c r="C564" s="6"/>
      <c r="D564" s="6"/>
      <c r="E564" s="7"/>
    </row>
    <row r="565" customFormat="false" ht="14.25" hidden="false" customHeight="true" outlineLevel="0" collapsed="false">
      <c r="A565" s="6"/>
      <c r="B565" s="6"/>
      <c r="C565" s="6"/>
      <c r="D565" s="6"/>
      <c r="E565" s="7"/>
    </row>
    <row r="566" customFormat="false" ht="14.25" hidden="false" customHeight="true" outlineLevel="0" collapsed="false">
      <c r="A566" s="6"/>
      <c r="B566" s="6"/>
      <c r="C566" s="6"/>
      <c r="D566" s="6"/>
      <c r="E566" s="7"/>
    </row>
    <row r="567" customFormat="false" ht="14.25" hidden="false" customHeight="true" outlineLevel="0" collapsed="false">
      <c r="A567" s="6"/>
      <c r="B567" s="6"/>
      <c r="C567" s="6"/>
      <c r="D567" s="6"/>
      <c r="E567" s="7"/>
    </row>
    <row r="568" customFormat="false" ht="14.25" hidden="false" customHeight="true" outlineLevel="0" collapsed="false">
      <c r="A568" s="6"/>
      <c r="B568" s="6"/>
      <c r="C568" s="6"/>
      <c r="D568" s="6"/>
      <c r="E568" s="7"/>
    </row>
    <row r="569" customFormat="false" ht="14.25" hidden="false" customHeight="true" outlineLevel="0" collapsed="false">
      <c r="A569" s="6"/>
      <c r="B569" s="6"/>
      <c r="C569" s="6"/>
      <c r="D569" s="6"/>
      <c r="E569" s="7"/>
    </row>
    <row r="570" customFormat="false" ht="14.25" hidden="false" customHeight="true" outlineLevel="0" collapsed="false">
      <c r="A570" s="6"/>
      <c r="B570" s="6"/>
      <c r="C570" s="6"/>
      <c r="D570" s="6"/>
      <c r="E570" s="7"/>
    </row>
    <row r="571" customFormat="false" ht="14.25" hidden="false" customHeight="true" outlineLevel="0" collapsed="false">
      <c r="A571" s="6"/>
      <c r="B571" s="6"/>
      <c r="C571" s="6"/>
      <c r="D571" s="6"/>
      <c r="E571" s="7"/>
    </row>
    <row r="572" customFormat="false" ht="14.25" hidden="false" customHeight="true" outlineLevel="0" collapsed="false">
      <c r="A572" s="6"/>
      <c r="B572" s="6"/>
      <c r="C572" s="6"/>
      <c r="D572" s="6"/>
      <c r="E572" s="7"/>
    </row>
    <row r="573" customFormat="false" ht="14.25" hidden="false" customHeight="true" outlineLevel="0" collapsed="false">
      <c r="A573" s="6"/>
      <c r="B573" s="6"/>
      <c r="C573" s="6"/>
      <c r="D573" s="6"/>
      <c r="E573" s="7"/>
    </row>
    <row r="574" customFormat="false" ht="14.25" hidden="false" customHeight="true" outlineLevel="0" collapsed="false">
      <c r="A574" s="6"/>
      <c r="B574" s="6"/>
      <c r="C574" s="6"/>
      <c r="D574" s="6"/>
      <c r="E574" s="7"/>
    </row>
    <row r="575" customFormat="false" ht="14.25" hidden="false" customHeight="true" outlineLevel="0" collapsed="false">
      <c r="A575" s="6"/>
      <c r="B575" s="6"/>
      <c r="C575" s="6"/>
      <c r="D575" s="6"/>
      <c r="E575" s="7"/>
    </row>
    <row r="576" customFormat="false" ht="14.25" hidden="false" customHeight="true" outlineLevel="0" collapsed="false">
      <c r="A576" s="6"/>
      <c r="B576" s="6"/>
      <c r="C576" s="6"/>
      <c r="D576" s="6"/>
      <c r="E576" s="7"/>
    </row>
    <row r="577" customFormat="false" ht="14.25" hidden="false" customHeight="true" outlineLevel="0" collapsed="false">
      <c r="A577" s="6"/>
      <c r="B577" s="6"/>
      <c r="C577" s="6"/>
      <c r="D577" s="6"/>
      <c r="E577" s="7"/>
    </row>
    <row r="578" customFormat="false" ht="14.25" hidden="false" customHeight="true" outlineLevel="0" collapsed="false">
      <c r="A578" s="6"/>
      <c r="B578" s="6"/>
      <c r="C578" s="6"/>
      <c r="D578" s="6"/>
      <c r="E578" s="7"/>
    </row>
    <row r="579" customFormat="false" ht="14.25" hidden="false" customHeight="true" outlineLevel="0" collapsed="false">
      <c r="A579" s="6"/>
      <c r="B579" s="6"/>
      <c r="C579" s="6"/>
      <c r="D579" s="6"/>
      <c r="E579" s="7"/>
    </row>
    <row r="580" customFormat="false" ht="14.25" hidden="false" customHeight="true" outlineLevel="0" collapsed="false">
      <c r="A580" s="6"/>
      <c r="B580" s="6"/>
      <c r="C580" s="6"/>
      <c r="D580" s="6"/>
      <c r="E580" s="7"/>
    </row>
    <row r="581" customFormat="false" ht="14.25" hidden="false" customHeight="true" outlineLevel="0" collapsed="false">
      <c r="A581" s="6"/>
      <c r="B581" s="6"/>
      <c r="C581" s="6"/>
      <c r="D581" s="6"/>
      <c r="E581" s="7"/>
    </row>
    <row r="582" customFormat="false" ht="14.25" hidden="false" customHeight="true" outlineLevel="0" collapsed="false">
      <c r="A582" s="6"/>
      <c r="B582" s="6"/>
      <c r="C582" s="6"/>
      <c r="D582" s="6"/>
      <c r="E582" s="7"/>
    </row>
    <row r="583" customFormat="false" ht="14.25" hidden="false" customHeight="true" outlineLevel="0" collapsed="false">
      <c r="A583" s="6"/>
      <c r="B583" s="6"/>
      <c r="C583" s="6"/>
      <c r="D583" s="6"/>
      <c r="E583" s="7"/>
    </row>
    <row r="584" customFormat="false" ht="14.25" hidden="false" customHeight="true" outlineLevel="0" collapsed="false">
      <c r="A584" s="6"/>
      <c r="B584" s="6"/>
      <c r="C584" s="6"/>
      <c r="D584" s="6"/>
      <c r="E584" s="7"/>
    </row>
    <row r="585" customFormat="false" ht="14.25" hidden="false" customHeight="true" outlineLevel="0" collapsed="false">
      <c r="A585" s="6"/>
      <c r="B585" s="6"/>
      <c r="C585" s="6"/>
      <c r="D585" s="6"/>
      <c r="E585" s="7"/>
    </row>
    <row r="586" customFormat="false" ht="14.25" hidden="false" customHeight="true" outlineLevel="0" collapsed="false">
      <c r="A586" s="6"/>
      <c r="B586" s="6"/>
      <c r="C586" s="6"/>
      <c r="D586" s="6"/>
      <c r="E586" s="7"/>
    </row>
    <row r="587" customFormat="false" ht="14.25" hidden="false" customHeight="true" outlineLevel="0" collapsed="false">
      <c r="A587" s="6"/>
      <c r="B587" s="6"/>
      <c r="C587" s="6"/>
      <c r="D587" s="6"/>
      <c r="E587" s="7"/>
    </row>
    <row r="588" customFormat="false" ht="14.25" hidden="false" customHeight="true" outlineLevel="0" collapsed="false">
      <c r="A588" s="6"/>
      <c r="B588" s="6"/>
      <c r="C588" s="6"/>
      <c r="D588" s="6"/>
      <c r="E588" s="7"/>
    </row>
    <row r="589" customFormat="false" ht="14.25" hidden="false" customHeight="true" outlineLevel="0" collapsed="false">
      <c r="A589" s="6"/>
      <c r="B589" s="6"/>
      <c r="C589" s="6"/>
      <c r="D589" s="6"/>
      <c r="E589" s="7"/>
    </row>
    <row r="590" customFormat="false" ht="14.25" hidden="false" customHeight="true" outlineLevel="0" collapsed="false">
      <c r="A590" s="6"/>
      <c r="B590" s="6"/>
      <c r="C590" s="6"/>
      <c r="D590" s="6"/>
      <c r="E590" s="7"/>
    </row>
    <row r="591" customFormat="false" ht="14.25" hidden="false" customHeight="true" outlineLevel="0" collapsed="false">
      <c r="A591" s="6"/>
      <c r="B591" s="6"/>
      <c r="C591" s="6"/>
      <c r="D591" s="6"/>
      <c r="E591" s="7"/>
    </row>
    <row r="592" customFormat="false" ht="14.25" hidden="false" customHeight="true" outlineLevel="0" collapsed="false">
      <c r="A592" s="6"/>
      <c r="B592" s="6"/>
      <c r="C592" s="6"/>
      <c r="D592" s="6"/>
      <c r="E592" s="7"/>
    </row>
    <row r="593" customFormat="false" ht="14.25" hidden="false" customHeight="true" outlineLevel="0" collapsed="false">
      <c r="A593" s="6"/>
      <c r="B593" s="6"/>
      <c r="C593" s="6"/>
      <c r="D593" s="6"/>
      <c r="E593" s="7"/>
    </row>
    <row r="594" customFormat="false" ht="14.25" hidden="false" customHeight="true" outlineLevel="0" collapsed="false">
      <c r="A594" s="6"/>
      <c r="B594" s="6"/>
      <c r="C594" s="6"/>
      <c r="D594" s="6"/>
      <c r="E594" s="7"/>
    </row>
    <row r="595" customFormat="false" ht="14.25" hidden="false" customHeight="true" outlineLevel="0" collapsed="false">
      <c r="A595" s="6"/>
      <c r="B595" s="6"/>
      <c r="C595" s="6"/>
      <c r="D595" s="6"/>
      <c r="E595" s="7"/>
    </row>
    <row r="596" customFormat="false" ht="14.25" hidden="false" customHeight="true" outlineLevel="0" collapsed="false">
      <c r="A596" s="6"/>
      <c r="B596" s="6"/>
      <c r="C596" s="6"/>
      <c r="D596" s="6"/>
      <c r="E596" s="7"/>
    </row>
    <row r="597" customFormat="false" ht="14.25" hidden="false" customHeight="true" outlineLevel="0" collapsed="false">
      <c r="A597" s="6"/>
      <c r="B597" s="6"/>
      <c r="C597" s="6"/>
      <c r="D597" s="6"/>
      <c r="E597" s="7"/>
    </row>
    <row r="598" customFormat="false" ht="14.25" hidden="false" customHeight="true" outlineLevel="0" collapsed="false">
      <c r="A598" s="6"/>
      <c r="B598" s="6"/>
      <c r="C598" s="6"/>
      <c r="D598" s="6"/>
      <c r="E598" s="7"/>
    </row>
    <row r="599" customFormat="false" ht="14.25" hidden="false" customHeight="true" outlineLevel="0" collapsed="false">
      <c r="A599" s="6"/>
      <c r="B599" s="6"/>
      <c r="C599" s="6"/>
      <c r="D599" s="6"/>
      <c r="E599" s="7"/>
    </row>
    <row r="600" customFormat="false" ht="14.25" hidden="false" customHeight="true" outlineLevel="0" collapsed="false">
      <c r="A600" s="6"/>
      <c r="B600" s="6"/>
      <c r="C600" s="6"/>
      <c r="D600" s="6"/>
      <c r="E600" s="7"/>
    </row>
    <row r="601" customFormat="false" ht="14.25" hidden="false" customHeight="true" outlineLevel="0" collapsed="false">
      <c r="A601" s="6"/>
      <c r="B601" s="6"/>
      <c r="C601" s="6"/>
      <c r="D601" s="6"/>
      <c r="E601" s="7"/>
    </row>
    <row r="602" customFormat="false" ht="14.25" hidden="false" customHeight="true" outlineLevel="0" collapsed="false">
      <c r="A602" s="6"/>
      <c r="B602" s="6"/>
      <c r="C602" s="6"/>
      <c r="D602" s="6"/>
      <c r="E602" s="7"/>
    </row>
    <row r="603" customFormat="false" ht="14.25" hidden="false" customHeight="true" outlineLevel="0" collapsed="false">
      <c r="A603" s="6"/>
      <c r="B603" s="6"/>
      <c r="C603" s="6"/>
      <c r="D603" s="6"/>
      <c r="E603" s="7"/>
    </row>
    <row r="604" customFormat="false" ht="14.25" hidden="false" customHeight="true" outlineLevel="0" collapsed="false">
      <c r="A604" s="6"/>
      <c r="B604" s="6"/>
      <c r="C604" s="6"/>
      <c r="D604" s="6"/>
      <c r="E604" s="7"/>
    </row>
    <row r="605" customFormat="false" ht="14.25" hidden="false" customHeight="true" outlineLevel="0" collapsed="false">
      <c r="A605" s="6"/>
      <c r="B605" s="6"/>
      <c r="C605" s="6"/>
      <c r="D605" s="6"/>
      <c r="E605" s="7"/>
    </row>
    <row r="606" customFormat="false" ht="14.25" hidden="false" customHeight="true" outlineLevel="0" collapsed="false">
      <c r="A606" s="6"/>
      <c r="B606" s="6"/>
      <c r="C606" s="6"/>
      <c r="D606" s="6"/>
      <c r="E606" s="7"/>
    </row>
    <row r="607" customFormat="false" ht="14.25" hidden="false" customHeight="true" outlineLevel="0" collapsed="false">
      <c r="A607" s="6"/>
      <c r="B607" s="6"/>
      <c r="C607" s="6"/>
      <c r="D607" s="6"/>
      <c r="E607" s="7"/>
    </row>
    <row r="608" customFormat="false" ht="14.25" hidden="false" customHeight="true" outlineLevel="0" collapsed="false">
      <c r="A608" s="6"/>
      <c r="B608" s="6"/>
      <c r="C608" s="6"/>
      <c r="D608" s="6"/>
      <c r="E608" s="7"/>
    </row>
    <row r="609" customFormat="false" ht="14.25" hidden="false" customHeight="true" outlineLevel="0" collapsed="false">
      <c r="A609" s="6"/>
      <c r="B609" s="6"/>
      <c r="C609" s="6"/>
      <c r="D609" s="6"/>
      <c r="E609" s="7"/>
    </row>
    <row r="610" customFormat="false" ht="14.25" hidden="false" customHeight="true" outlineLevel="0" collapsed="false">
      <c r="A610" s="6"/>
      <c r="B610" s="6"/>
      <c r="C610" s="6"/>
      <c r="D610" s="6"/>
      <c r="E610" s="7"/>
    </row>
    <row r="611" customFormat="false" ht="14.25" hidden="false" customHeight="true" outlineLevel="0" collapsed="false">
      <c r="A611" s="6"/>
      <c r="B611" s="6"/>
      <c r="C611" s="6"/>
      <c r="D611" s="6"/>
      <c r="E611" s="7"/>
    </row>
    <row r="612" customFormat="false" ht="14.25" hidden="false" customHeight="true" outlineLevel="0" collapsed="false">
      <c r="A612" s="6"/>
      <c r="B612" s="6"/>
      <c r="C612" s="6"/>
      <c r="D612" s="6"/>
      <c r="E612" s="7"/>
    </row>
    <row r="613" customFormat="false" ht="14.25" hidden="false" customHeight="true" outlineLevel="0" collapsed="false">
      <c r="A613" s="6"/>
      <c r="B613" s="6"/>
      <c r="C613" s="6"/>
      <c r="D613" s="6"/>
      <c r="E613" s="7"/>
    </row>
    <row r="614" customFormat="false" ht="14.25" hidden="false" customHeight="true" outlineLevel="0" collapsed="false">
      <c r="A614" s="6"/>
      <c r="B614" s="6"/>
      <c r="C614" s="6"/>
      <c r="D614" s="6"/>
      <c r="E614" s="7"/>
    </row>
    <row r="615" customFormat="false" ht="14.25" hidden="false" customHeight="true" outlineLevel="0" collapsed="false">
      <c r="A615" s="6"/>
      <c r="B615" s="6"/>
      <c r="C615" s="6"/>
      <c r="D615" s="6"/>
      <c r="E615" s="7"/>
    </row>
    <row r="616" customFormat="false" ht="14.25" hidden="false" customHeight="true" outlineLevel="0" collapsed="false">
      <c r="A616" s="6"/>
      <c r="B616" s="6"/>
      <c r="C616" s="6"/>
      <c r="D616" s="6"/>
      <c r="E616" s="7"/>
    </row>
    <row r="617" customFormat="false" ht="14.25" hidden="false" customHeight="true" outlineLevel="0" collapsed="false">
      <c r="A617" s="6"/>
      <c r="B617" s="6"/>
      <c r="C617" s="6"/>
      <c r="D617" s="6"/>
      <c r="E617" s="7"/>
    </row>
    <row r="618" customFormat="false" ht="14.25" hidden="false" customHeight="true" outlineLevel="0" collapsed="false">
      <c r="A618" s="6"/>
      <c r="B618" s="6"/>
      <c r="C618" s="6"/>
      <c r="D618" s="6"/>
      <c r="E618" s="7"/>
    </row>
    <row r="619" customFormat="false" ht="14.25" hidden="false" customHeight="true" outlineLevel="0" collapsed="false">
      <c r="A619" s="6"/>
      <c r="B619" s="6"/>
      <c r="C619" s="6"/>
      <c r="D619" s="6"/>
      <c r="E619" s="7"/>
    </row>
    <row r="620" customFormat="false" ht="14.25" hidden="false" customHeight="true" outlineLevel="0" collapsed="false">
      <c r="A620" s="6"/>
      <c r="B620" s="6"/>
      <c r="C620" s="6"/>
      <c r="D620" s="6"/>
      <c r="E620" s="7"/>
    </row>
    <row r="621" customFormat="false" ht="14.25" hidden="false" customHeight="true" outlineLevel="0" collapsed="false">
      <c r="A621" s="6"/>
      <c r="B621" s="6"/>
      <c r="C621" s="6"/>
      <c r="D621" s="6"/>
      <c r="E621" s="7"/>
    </row>
    <row r="622" customFormat="false" ht="14.25" hidden="false" customHeight="true" outlineLevel="0" collapsed="false">
      <c r="A622" s="6"/>
      <c r="B622" s="6"/>
      <c r="C622" s="6"/>
      <c r="D622" s="6"/>
      <c r="E622" s="7"/>
    </row>
    <row r="623" customFormat="false" ht="14.25" hidden="false" customHeight="true" outlineLevel="0" collapsed="false">
      <c r="A623" s="6"/>
      <c r="B623" s="6"/>
      <c r="C623" s="6"/>
      <c r="D623" s="6"/>
      <c r="E623" s="7"/>
    </row>
    <row r="624" customFormat="false" ht="14.25" hidden="false" customHeight="true" outlineLevel="0" collapsed="false">
      <c r="A624" s="6"/>
      <c r="B624" s="6"/>
      <c r="C624" s="6"/>
      <c r="D624" s="6"/>
      <c r="E624" s="7"/>
    </row>
    <row r="625" customFormat="false" ht="14.25" hidden="false" customHeight="true" outlineLevel="0" collapsed="false">
      <c r="A625" s="6"/>
      <c r="B625" s="6"/>
      <c r="C625" s="6"/>
      <c r="D625" s="6"/>
      <c r="E625" s="7"/>
    </row>
    <row r="626" customFormat="false" ht="14.25" hidden="false" customHeight="true" outlineLevel="0" collapsed="false">
      <c r="A626" s="6"/>
      <c r="B626" s="6"/>
      <c r="C626" s="6"/>
      <c r="D626" s="6"/>
      <c r="E626" s="7"/>
    </row>
    <row r="627" customFormat="false" ht="14.25" hidden="false" customHeight="true" outlineLevel="0" collapsed="false">
      <c r="A627" s="6"/>
      <c r="B627" s="6"/>
      <c r="C627" s="6"/>
      <c r="D627" s="6"/>
      <c r="E627" s="7"/>
    </row>
    <row r="628" customFormat="false" ht="14.25" hidden="false" customHeight="true" outlineLevel="0" collapsed="false">
      <c r="A628" s="6"/>
      <c r="B628" s="6"/>
      <c r="C628" s="6"/>
      <c r="D628" s="6"/>
      <c r="E628" s="7"/>
    </row>
    <row r="629" customFormat="false" ht="14.25" hidden="false" customHeight="true" outlineLevel="0" collapsed="false">
      <c r="A629" s="6"/>
      <c r="B629" s="6"/>
      <c r="C629" s="6"/>
      <c r="D629" s="6"/>
      <c r="E629" s="7"/>
    </row>
    <row r="630" customFormat="false" ht="14.25" hidden="false" customHeight="true" outlineLevel="0" collapsed="false">
      <c r="A630" s="6"/>
      <c r="B630" s="6"/>
      <c r="C630" s="6"/>
      <c r="D630" s="6"/>
      <c r="E630" s="7"/>
    </row>
    <row r="631" customFormat="false" ht="14.25" hidden="false" customHeight="true" outlineLevel="0" collapsed="false">
      <c r="A631" s="6"/>
      <c r="B631" s="6"/>
      <c r="C631" s="6"/>
      <c r="D631" s="6"/>
      <c r="E631" s="7"/>
    </row>
    <row r="632" customFormat="false" ht="14.25" hidden="false" customHeight="true" outlineLevel="0" collapsed="false">
      <c r="A632" s="6"/>
      <c r="B632" s="6"/>
      <c r="C632" s="6"/>
      <c r="D632" s="6"/>
      <c r="E632" s="7"/>
    </row>
    <row r="633" customFormat="false" ht="14.25" hidden="false" customHeight="true" outlineLevel="0" collapsed="false">
      <c r="A633" s="6"/>
      <c r="B633" s="6"/>
      <c r="C633" s="6"/>
      <c r="D633" s="6"/>
      <c r="E633" s="7"/>
    </row>
    <row r="634" customFormat="false" ht="14.25" hidden="false" customHeight="true" outlineLevel="0" collapsed="false">
      <c r="A634" s="6"/>
      <c r="B634" s="6"/>
      <c r="C634" s="6"/>
      <c r="D634" s="6"/>
      <c r="E634" s="7"/>
    </row>
    <row r="635" customFormat="false" ht="14.25" hidden="false" customHeight="true" outlineLevel="0" collapsed="false">
      <c r="A635" s="6"/>
      <c r="B635" s="6"/>
      <c r="C635" s="6"/>
      <c r="D635" s="6"/>
      <c r="E635" s="7"/>
    </row>
    <row r="636" customFormat="false" ht="14.25" hidden="false" customHeight="true" outlineLevel="0" collapsed="false">
      <c r="A636" s="6"/>
      <c r="B636" s="6"/>
      <c r="C636" s="6"/>
      <c r="D636" s="6"/>
      <c r="E636" s="7"/>
    </row>
    <row r="637" customFormat="false" ht="14.25" hidden="false" customHeight="true" outlineLevel="0" collapsed="false">
      <c r="A637" s="6"/>
      <c r="B637" s="6"/>
      <c r="C637" s="6"/>
      <c r="D637" s="6"/>
      <c r="E637" s="7"/>
    </row>
    <row r="638" customFormat="false" ht="14.25" hidden="false" customHeight="true" outlineLevel="0" collapsed="false">
      <c r="A638" s="6"/>
      <c r="B638" s="6"/>
      <c r="C638" s="6"/>
      <c r="D638" s="6"/>
      <c r="E638" s="7"/>
    </row>
    <row r="639" customFormat="false" ht="14.25" hidden="false" customHeight="true" outlineLevel="0" collapsed="false">
      <c r="A639" s="6"/>
      <c r="B639" s="6"/>
      <c r="C639" s="6"/>
      <c r="D639" s="6"/>
      <c r="E639" s="7"/>
    </row>
    <row r="640" customFormat="false" ht="14.25" hidden="false" customHeight="true" outlineLevel="0" collapsed="false">
      <c r="A640" s="6"/>
      <c r="B640" s="6"/>
      <c r="C640" s="6"/>
      <c r="D640" s="6"/>
      <c r="E640" s="7"/>
    </row>
    <row r="641" customFormat="false" ht="14.25" hidden="false" customHeight="true" outlineLevel="0" collapsed="false">
      <c r="A641" s="6"/>
      <c r="B641" s="6"/>
      <c r="C641" s="6"/>
      <c r="D641" s="6"/>
      <c r="E641" s="7"/>
    </row>
    <row r="642" customFormat="false" ht="14.25" hidden="false" customHeight="true" outlineLevel="0" collapsed="false">
      <c r="A642" s="6"/>
      <c r="B642" s="6"/>
      <c r="C642" s="6"/>
      <c r="D642" s="6"/>
      <c r="E642" s="7"/>
    </row>
    <row r="643" customFormat="false" ht="14.25" hidden="false" customHeight="true" outlineLevel="0" collapsed="false">
      <c r="A643" s="6"/>
      <c r="B643" s="6"/>
      <c r="C643" s="6"/>
      <c r="D643" s="6"/>
      <c r="E643" s="7"/>
    </row>
    <row r="644" customFormat="false" ht="14.25" hidden="false" customHeight="true" outlineLevel="0" collapsed="false">
      <c r="A644" s="6"/>
      <c r="B644" s="6"/>
      <c r="C644" s="6"/>
      <c r="D644" s="6"/>
      <c r="E644" s="7"/>
    </row>
    <row r="645" customFormat="false" ht="14.25" hidden="false" customHeight="true" outlineLevel="0" collapsed="false">
      <c r="A645" s="6"/>
      <c r="B645" s="6"/>
      <c r="C645" s="6"/>
      <c r="D645" s="6"/>
      <c r="E645" s="7"/>
    </row>
    <row r="646" customFormat="false" ht="14.25" hidden="false" customHeight="true" outlineLevel="0" collapsed="false">
      <c r="A646" s="6"/>
      <c r="B646" s="6"/>
      <c r="C646" s="6"/>
      <c r="D646" s="6"/>
      <c r="E646" s="7"/>
    </row>
    <row r="647" customFormat="false" ht="14.25" hidden="false" customHeight="true" outlineLevel="0" collapsed="false">
      <c r="A647" s="6"/>
      <c r="B647" s="6"/>
      <c r="C647" s="6"/>
      <c r="D647" s="6"/>
      <c r="E647" s="7"/>
    </row>
    <row r="648" customFormat="false" ht="14.25" hidden="false" customHeight="true" outlineLevel="0" collapsed="false">
      <c r="A648" s="6"/>
      <c r="B648" s="6"/>
      <c r="C648" s="6"/>
      <c r="D648" s="6"/>
      <c r="E648" s="7"/>
    </row>
    <row r="649" customFormat="false" ht="14.25" hidden="false" customHeight="true" outlineLevel="0" collapsed="false">
      <c r="A649" s="6"/>
      <c r="B649" s="6"/>
      <c r="C649" s="6"/>
      <c r="D649" s="6"/>
      <c r="E649" s="7"/>
    </row>
    <row r="650" customFormat="false" ht="14.25" hidden="false" customHeight="true" outlineLevel="0" collapsed="false">
      <c r="A650" s="6"/>
      <c r="B650" s="6"/>
      <c r="C650" s="6"/>
      <c r="D650" s="6"/>
      <c r="E650" s="7"/>
    </row>
    <row r="651" customFormat="false" ht="14.25" hidden="false" customHeight="true" outlineLevel="0" collapsed="false">
      <c r="A651" s="6"/>
      <c r="B651" s="6"/>
      <c r="C651" s="6"/>
      <c r="D651" s="6"/>
      <c r="E651" s="7"/>
    </row>
    <row r="652" customFormat="false" ht="14.25" hidden="false" customHeight="true" outlineLevel="0" collapsed="false">
      <c r="A652" s="6"/>
      <c r="B652" s="6"/>
      <c r="C652" s="6"/>
      <c r="D652" s="6"/>
      <c r="E652" s="7"/>
    </row>
    <row r="653" customFormat="false" ht="14.25" hidden="false" customHeight="true" outlineLevel="0" collapsed="false">
      <c r="A653" s="6"/>
      <c r="B653" s="6"/>
      <c r="C653" s="6"/>
      <c r="D653" s="6"/>
      <c r="E653" s="7"/>
    </row>
    <row r="654" customFormat="false" ht="14.25" hidden="false" customHeight="true" outlineLevel="0" collapsed="false">
      <c r="A654" s="6"/>
      <c r="B654" s="6"/>
      <c r="C654" s="6"/>
      <c r="D654" s="6"/>
      <c r="E654" s="7"/>
    </row>
    <row r="655" customFormat="false" ht="14.25" hidden="false" customHeight="true" outlineLevel="0" collapsed="false">
      <c r="A655" s="6"/>
      <c r="B655" s="6"/>
      <c r="C655" s="6"/>
      <c r="D655" s="6"/>
      <c r="E655" s="7"/>
    </row>
    <row r="656" customFormat="false" ht="14.25" hidden="false" customHeight="true" outlineLevel="0" collapsed="false">
      <c r="A656" s="6"/>
      <c r="B656" s="6"/>
      <c r="C656" s="6"/>
      <c r="D656" s="6"/>
      <c r="E656" s="7"/>
    </row>
    <row r="657" customFormat="false" ht="14.25" hidden="false" customHeight="true" outlineLevel="0" collapsed="false">
      <c r="A657" s="6"/>
      <c r="B657" s="6"/>
      <c r="C657" s="6"/>
      <c r="D657" s="6"/>
      <c r="E657" s="7"/>
    </row>
    <row r="658" customFormat="false" ht="14.25" hidden="false" customHeight="true" outlineLevel="0" collapsed="false">
      <c r="A658" s="6"/>
      <c r="B658" s="6"/>
      <c r="C658" s="6"/>
      <c r="D658" s="6"/>
      <c r="E658" s="7"/>
    </row>
    <row r="659" customFormat="false" ht="14.25" hidden="false" customHeight="true" outlineLevel="0" collapsed="false">
      <c r="A659" s="6"/>
      <c r="B659" s="6"/>
      <c r="C659" s="6"/>
      <c r="D659" s="6"/>
      <c r="E659" s="7"/>
    </row>
    <row r="660" customFormat="false" ht="14.25" hidden="false" customHeight="true" outlineLevel="0" collapsed="false">
      <c r="A660" s="6"/>
      <c r="B660" s="6"/>
      <c r="C660" s="6"/>
      <c r="D660" s="6"/>
      <c r="E660" s="7"/>
    </row>
    <row r="661" customFormat="false" ht="14.25" hidden="false" customHeight="true" outlineLevel="0" collapsed="false">
      <c r="A661" s="6"/>
      <c r="B661" s="6"/>
      <c r="C661" s="6"/>
      <c r="D661" s="6"/>
      <c r="E661" s="7"/>
    </row>
    <row r="662" customFormat="false" ht="14.25" hidden="false" customHeight="true" outlineLevel="0" collapsed="false">
      <c r="A662" s="6"/>
      <c r="B662" s="6"/>
      <c r="C662" s="6"/>
      <c r="D662" s="6"/>
      <c r="E662" s="7"/>
    </row>
    <row r="663" customFormat="false" ht="14.25" hidden="false" customHeight="true" outlineLevel="0" collapsed="false">
      <c r="A663" s="6"/>
      <c r="B663" s="6"/>
      <c r="C663" s="6"/>
      <c r="D663" s="6"/>
      <c r="E663" s="7"/>
    </row>
    <row r="664" customFormat="false" ht="14.25" hidden="false" customHeight="true" outlineLevel="0" collapsed="false">
      <c r="A664" s="6"/>
      <c r="B664" s="6"/>
      <c r="C664" s="6"/>
      <c r="D664" s="6"/>
      <c r="E664" s="7"/>
    </row>
    <row r="665" customFormat="false" ht="14.25" hidden="false" customHeight="true" outlineLevel="0" collapsed="false">
      <c r="A665" s="6"/>
      <c r="B665" s="6"/>
      <c r="C665" s="6"/>
      <c r="D665" s="6"/>
      <c r="E665" s="7"/>
    </row>
    <row r="666" customFormat="false" ht="14.25" hidden="false" customHeight="true" outlineLevel="0" collapsed="false">
      <c r="A666" s="6"/>
      <c r="B666" s="6"/>
      <c r="C666" s="6"/>
      <c r="D666" s="6"/>
      <c r="E666" s="7"/>
    </row>
    <row r="667" customFormat="false" ht="14.25" hidden="false" customHeight="true" outlineLevel="0" collapsed="false">
      <c r="A667" s="6"/>
      <c r="B667" s="6"/>
      <c r="C667" s="6"/>
      <c r="D667" s="6"/>
      <c r="E667" s="7"/>
    </row>
    <row r="668" customFormat="false" ht="14.25" hidden="false" customHeight="true" outlineLevel="0" collapsed="false">
      <c r="A668" s="6"/>
      <c r="B668" s="6"/>
      <c r="C668" s="6"/>
      <c r="D668" s="6"/>
      <c r="E668" s="7"/>
    </row>
    <row r="669" customFormat="false" ht="14.25" hidden="false" customHeight="true" outlineLevel="0" collapsed="false">
      <c r="A669" s="6"/>
      <c r="B669" s="6"/>
      <c r="C669" s="6"/>
      <c r="D669" s="6"/>
      <c r="E669" s="7"/>
    </row>
    <row r="670" customFormat="false" ht="14.25" hidden="false" customHeight="true" outlineLevel="0" collapsed="false">
      <c r="A670" s="6"/>
      <c r="B670" s="6"/>
      <c r="C670" s="6"/>
      <c r="D670" s="6"/>
      <c r="E670" s="7"/>
    </row>
    <row r="671" customFormat="false" ht="14.25" hidden="false" customHeight="true" outlineLevel="0" collapsed="false">
      <c r="A671" s="6"/>
      <c r="B671" s="6"/>
      <c r="C671" s="6"/>
      <c r="D671" s="6"/>
      <c r="E671" s="7"/>
    </row>
    <row r="672" customFormat="false" ht="14.25" hidden="false" customHeight="true" outlineLevel="0" collapsed="false">
      <c r="A672" s="6"/>
      <c r="B672" s="6"/>
      <c r="C672" s="6"/>
      <c r="D672" s="6"/>
      <c r="E672" s="7"/>
    </row>
    <row r="673" customFormat="false" ht="14.25" hidden="false" customHeight="true" outlineLevel="0" collapsed="false">
      <c r="A673" s="6"/>
      <c r="B673" s="6"/>
      <c r="C673" s="6"/>
      <c r="D673" s="6"/>
      <c r="E673" s="7"/>
    </row>
    <row r="674" customFormat="false" ht="14.25" hidden="false" customHeight="true" outlineLevel="0" collapsed="false">
      <c r="A674" s="6"/>
      <c r="B674" s="6"/>
      <c r="C674" s="6"/>
      <c r="D674" s="6"/>
      <c r="E674" s="7"/>
    </row>
    <row r="675" customFormat="false" ht="14.25" hidden="false" customHeight="true" outlineLevel="0" collapsed="false">
      <c r="A675" s="6"/>
      <c r="B675" s="6"/>
      <c r="C675" s="6"/>
      <c r="D675" s="6"/>
      <c r="E675" s="7"/>
    </row>
    <row r="676" customFormat="false" ht="14.25" hidden="false" customHeight="true" outlineLevel="0" collapsed="false">
      <c r="A676" s="6"/>
      <c r="B676" s="6"/>
      <c r="C676" s="6"/>
      <c r="D676" s="6"/>
      <c r="E676" s="7"/>
    </row>
    <row r="677" customFormat="false" ht="14.25" hidden="false" customHeight="true" outlineLevel="0" collapsed="false">
      <c r="A677" s="6"/>
      <c r="B677" s="6"/>
      <c r="C677" s="6"/>
      <c r="D677" s="6"/>
      <c r="E677" s="7"/>
    </row>
    <row r="678" customFormat="false" ht="14.25" hidden="false" customHeight="true" outlineLevel="0" collapsed="false">
      <c r="A678" s="6"/>
      <c r="B678" s="6"/>
      <c r="C678" s="6"/>
      <c r="D678" s="6"/>
      <c r="E678" s="7"/>
    </row>
    <row r="679" customFormat="false" ht="14.25" hidden="false" customHeight="true" outlineLevel="0" collapsed="false">
      <c r="A679" s="6"/>
      <c r="B679" s="6"/>
      <c r="C679" s="6"/>
      <c r="D679" s="6"/>
      <c r="E679" s="7"/>
    </row>
    <row r="680" customFormat="false" ht="14.25" hidden="false" customHeight="true" outlineLevel="0" collapsed="false">
      <c r="A680" s="6"/>
      <c r="B680" s="6"/>
      <c r="C680" s="6"/>
      <c r="D680" s="6"/>
      <c r="E680" s="7"/>
    </row>
    <row r="681" customFormat="false" ht="14.25" hidden="false" customHeight="true" outlineLevel="0" collapsed="false">
      <c r="A681" s="6"/>
      <c r="B681" s="6"/>
      <c r="C681" s="6"/>
      <c r="D681" s="6"/>
      <c r="E681" s="7"/>
    </row>
    <row r="682" customFormat="false" ht="14.25" hidden="false" customHeight="true" outlineLevel="0" collapsed="false">
      <c r="A682" s="6"/>
      <c r="B682" s="6"/>
      <c r="C682" s="6"/>
      <c r="D682" s="6"/>
      <c r="E682" s="7"/>
    </row>
    <row r="683" customFormat="false" ht="14.25" hidden="false" customHeight="true" outlineLevel="0" collapsed="false">
      <c r="A683" s="6"/>
      <c r="B683" s="6"/>
      <c r="C683" s="6"/>
      <c r="D683" s="6"/>
      <c r="E683" s="7"/>
    </row>
    <row r="684" customFormat="false" ht="14.25" hidden="false" customHeight="true" outlineLevel="0" collapsed="false">
      <c r="A684" s="6"/>
      <c r="B684" s="6"/>
      <c r="C684" s="6"/>
      <c r="D684" s="6"/>
      <c r="E684" s="7"/>
    </row>
    <row r="685" customFormat="false" ht="14.25" hidden="false" customHeight="true" outlineLevel="0" collapsed="false">
      <c r="A685" s="6"/>
      <c r="B685" s="6"/>
      <c r="C685" s="6"/>
      <c r="D685" s="6"/>
      <c r="E685" s="7"/>
    </row>
    <row r="686" customFormat="false" ht="14.25" hidden="false" customHeight="true" outlineLevel="0" collapsed="false">
      <c r="A686" s="6"/>
      <c r="B686" s="6"/>
      <c r="C686" s="6"/>
      <c r="D686" s="6"/>
      <c r="E686" s="7"/>
    </row>
    <row r="687" customFormat="false" ht="14.25" hidden="false" customHeight="true" outlineLevel="0" collapsed="false">
      <c r="A687" s="6"/>
      <c r="B687" s="6"/>
      <c r="C687" s="6"/>
      <c r="D687" s="6"/>
      <c r="E687" s="7"/>
    </row>
    <row r="688" customFormat="false" ht="14.25" hidden="false" customHeight="true" outlineLevel="0" collapsed="false">
      <c r="A688" s="6"/>
      <c r="B688" s="6"/>
      <c r="C688" s="6"/>
      <c r="D688" s="6"/>
      <c r="E688" s="7"/>
    </row>
    <row r="689" customFormat="false" ht="14.25" hidden="false" customHeight="true" outlineLevel="0" collapsed="false">
      <c r="A689" s="6"/>
      <c r="B689" s="6"/>
      <c r="C689" s="6"/>
      <c r="D689" s="6"/>
      <c r="E689" s="7"/>
    </row>
    <row r="690" customFormat="false" ht="14.25" hidden="false" customHeight="true" outlineLevel="0" collapsed="false">
      <c r="A690" s="6"/>
      <c r="B690" s="6"/>
      <c r="C690" s="6"/>
      <c r="D690" s="6"/>
      <c r="E690" s="7"/>
    </row>
    <row r="691" customFormat="false" ht="14.25" hidden="false" customHeight="true" outlineLevel="0" collapsed="false">
      <c r="A691" s="6"/>
      <c r="B691" s="6"/>
      <c r="C691" s="6"/>
      <c r="D691" s="6"/>
      <c r="E691" s="7"/>
    </row>
    <row r="692" customFormat="false" ht="14.25" hidden="false" customHeight="true" outlineLevel="0" collapsed="false">
      <c r="A692" s="6"/>
      <c r="B692" s="6"/>
      <c r="C692" s="6"/>
      <c r="D692" s="6"/>
      <c r="E692" s="7"/>
    </row>
    <row r="693" customFormat="false" ht="14.25" hidden="false" customHeight="true" outlineLevel="0" collapsed="false">
      <c r="A693" s="6"/>
      <c r="B693" s="6"/>
      <c r="C693" s="6"/>
      <c r="D693" s="6"/>
      <c r="E693" s="7"/>
    </row>
    <row r="694" customFormat="false" ht="14.25" hidden="false" customHeight="true" outlineLevel="0" collapsed="false">
      <c r="A694" s="6"/>
      <c r="B694" s="6"/>
      <c r="C694" s="6"/>
      <c r="D694" s="6"/>
      <c r="E694" s="7"/>
    </row>
    <row r="695" customFormat="false" ht="14.25" hidden="false" customHeight="true" outlineLevel="0" collapsed="false">
      <c r="A695" s="6"/>
      <c r="B695" s="6"/>
      <c r="C695" s="6"/>
      <c r="D695" s="6"/>
      <c r="E695" s="7"/>
    </row>
    <row r="696" customFormat="false" ht="14.25" hidden="false" customHeight="true" outlineLevel="0" collapsed="false">
      <c r="A696" s="6"/>
      <c r="B696" s="6"/>
      <c r="C696" s="6"/>
      <c r="D696" s="6"/>
      <c r="E696" s="7"/>
    </row>
    <row r="697" customFormat="false" ht="14.25" hidden="false" customHeight="true" outlineLevel="0" collapsed="false">
      <c r="A697" s="6"/>
      <c r="B697" s="6"/>
      <c r="C697" s="6"/>
      <c r="D697" s="6"/>
      <c r="E697" s="7"/>
    </row>
    <row r="698" customFormat="false" ht="14.25" hidden="false" customHeight="true" outlineLevel="0" collapsed="false">
      <c r="A698" s="6"/>
      <c r="B698" s="6"/>
      <c r="C698" s="6"/>
      <c r="D698" s="6"/>
      <c r="E698" s="7"/>
    </row>
    <row r="699" customFormat="false" ht="14.25" hidden="false" customHeight="true" outlineLevel="0" collapsed="false">
      <c r="A699" s="6"/>
      <c r="B699" s="6"/>
      <c r="C699" s="6"/>
      <c r="D699" s="6"/>
      <c r="E699" s="7"/>
    </row>
    <row r="700" customFormat="false" ht="14.25" hidden="false" customHeight="true" outlineLevel="0" collapsed="false">
      <c r="A700" s="6"/>
      <c r="B700" s="6"/>
      <c r="C700" s="6"/>
      <c r="D700" s="6"/>
      <c r="E700" s="7"/>
    </row>
    <row r="701" customFormat="false" ht="14.25" hidden="false" customHeight="true" outlineLevel="0" collapsed="false">
      <c r="A701" s="6"/>
      <c r="B701" s="6"/>
      <c r="C701" s="6"/>
      <c r="D701" s="6"/>
      <c r="E701" s="7"/>
    </row>
    <row r="702" customFormat="false" ht="14.25" hidden="false" customHeight="true" outlineLevel="0" collapsed="false">
      <c r="A702" s="6"/>
      <c r="B702" s="6"/>
      <c r="C702" s="6"/>
      <c r="D702" s="6"/>
      <c r="E702" s="7"/>
    </row>
    <row r="703" customFormat="false" ht="14.25" hidden="false" customHeight="true" outlineLevel="0" collapsed="false">
      <c r="A703" s="6"/>
      <c r="B703" s="6"/>
      <c r="C703" s="6"/>
      <c r="D703" s="6"/>
      <c r="E703" s="7"/>
    </row>
    <row r="704" customFormat="false" ht="14.25" hidden="false" customHeight="true" outlineLevel="0" collapsed="false">
      <c r="A704" s="6"/>
      <c r="B704" s="6"/>
      <c r="C704" s="6"/>
      <c r="D704" s="6"/>
      <c r="E704" s="7"/>
    </row>
    <row r="705" customFormat="false" ht="14.25" hidden="false" customHeight="true" outlineLevel="0" collapsed="false">
      <c r="A705" s="6"/>
      <c r="B705" s="6"/>
      <c r="C705" s="6"/>
      <c r="D705" s="6"/>
      <c r="E705" s="7"/>
    </row>
    <row r="706" customFormat="false" ht="14.25" hidden="false" customHeight="true" outlineLevel="0" collapsed="false">
      <c r="A706" s="6"/>
      <c r="B706" s="6"/>
      <c r="C706" s="6"/>
      <c r="D706" s="6"/>
      <c r="E706" s="7"/>
    </row>
    <row r="707" customFormat="false" ht="14.25" hidden="false" customHeight="true" outlineLevel="0" collapsed="false">
      <c r="A707" s="6"/>
      <c r="B707" s="6"/>
      <c r="C707" s="6"/>
      <c r="D707" s="6"/>
      <c r="E707" s="7"/>
    </row>
    <row r="708" customFormat="false" ht="14.25" hidden="false" customHeight="true" outlineLevel="0" collapsed="false">
      <c r="A708" s="6"/>
      <c r="B708" s="6"/>
      <c r="C708" s="6"/>
      <c r="D708" s="6"/>
      <c r="E708" s="7"/>
    </row>
    <row r="709" customFormat="false" ht="14.25" hidden="false" customHeight="true" outlineLevel="0" collapsed="false">
      <c r="A709" s="6"/>
      <c r="B709" s="6"/>
      <c r="C709" s="6"/>
      <c r="D709" s="6"/>
      <c r="E709" s="7"/>
    </row>
    <row r="710" customFormat="false" ht="14.25" hidden="false" customHeight="true" outlineLevel="0" collapsed="false">
      <c r="A710" s="6"/>
      <c r="B710" s="6"/>
      <c r="C710" s="6"/>
      <c r="D710" s="6"/>
      <c r="E710" s="7"/>
    </row>
    <row r="711" customFormat="false" ht="14.25" hidden="false" customHeight="true" outlineLevel="0" collapsed="false">
      <c r="A711" s="6"/>
      <c r="B711" s="6"/>
      <c r="C711" s="6"/>
      <c r="D711" s="6"/>
      <c r="E711" s="7"/>
    </row>
    <row r="712" customFormat="false" ht="14.25" hidden="false" customHeight="true" outlineLevel="0" collapsed="false">
      <c r="A712" s="6"/>
      <c r="B712" s="6"/>
      <c r="C712" s="6"/>
      <c r="D712" s="6"/>
      <c r="E712" s="7"/>
    </row>
    <row r="713" customFormat="false" ht="14.25" hidden="false" customHeight="true" outlineLevel="0" collapsed="false">
      <c r="A713" s="6"/>
      <c r="B713" s="6"/>
      <c r="C713" s="6"/>
      <c r="D713" s="6"/>
      <c r="E713" s="7"/>
    </row>
    <row r="714" customFormat="false" ht="14.25" hidden="false" customHeight="true" outlineLevel="0" collapsed="false">
      <c r="A714" s="6"/>
      <c r="B714" s="6"/>
      <c r="C714" s="6"/>
      <c r="D714" s="6"/>
      <c r="E714" s="7"/>
    </row>
    <row r="715" customFormat="false" ht="14.25" hidden="false" customHeight="true" outlineLevel="0" collapsed="false">
      <c r="A715" s="6"/>
      <c r="B715" s="6"/>
      <c r="C715" s="6"/>
      <c r="D715" s="6"/>
      <c r="E715" s="7"/>
    </row>
    <row r="716" customFormat="false" ht="14.25" hidden="false" customHeight="true" outlineLevel="0" collapsed="false">
      <c r="A716" s="6"/>
      <c r="B716" s="6"/>
      <c r="C716" s="6"/>
      <c r="D716" s="6"/>
      <c r="E716" s="7"/>
    </row>
    <row r="717" customFormat="false" ht="14.25" hidden="false" customHeight="true" outlineLevel="0" collapsed="false">
      <c r="A717" s="6"/>
      <c r="B717" s="6"/>
      <c r="C717" s="6"/>
      <c r="D717" s="6"/>
      <c r="E717" s="7"/>
    </row>
    <row r="718" customFormat="false" ht="14.25" hidden="false" customHeight="true" outlineLevel="0" collapsed="false">
      <c r="A718" s="6"/>
      <c r="B718" s="6"/>
      <c r="C718" s="6"/>
      <c r="D718" s="6"/>
      <c r="E718" s="7"/>
    </row>
    <row r="719" customFormat="false" ht="14.25" hidden="false" customHeight="true" outlineLevel="0" collapsed="false">
      <c r="A719" s="6"/>
      <c r="B719" s="6"/>
      <c r="C719" s="6"/>
      <c r="D719" s="6"/>
      <c r="E719" s="7"/>
    </row>
    <row r="720" customFormat="false" ht="14.25" hidden="false" customHeight="true" outlineLevel="0" collapsed="false">
      <c r="A720" s="6"/>
      <c r="B720" s="6"/>
      <c r="C720" s="6"/>
      <c r="D720" s="6"/>
      <c r="E720" s="7"/>
    </row>
    <row r="721" customFormat="false" ht="14.25" hidden="false" customHeight="true" outlineLevel="0" collapsed="false">
      <c r="A721" s="6"/>
      <c r="B721" s="6"/>
      <c r="C721" s="6"/>
      <c r="D721" s="6"/>
      <c r="E721" s="7"/>
    </row>
    <row r="722" customFormat="false" ht="14.25" hidden="false" customHeight="true" outlineLevel="0" collapsed="false">
      <c r="A722" s="6"/>
      <c r="B722" s="6"/>
      <c r="C722" s="6"/>
      <c r="D722" s="6"/>
      <c r="E722" s="7"/>
    </row>
    <row r="723" customFormat="false" ht="14.25" hidden="false" customHeight="true" outlineLevel="0" collapsed="false">
      <c r="A723" s="6"/>
      <c r="B723" s="6"/>
      <c r="C723" s="6"/>
      <c r="D723" s="6"/>
      <c r="E723" s="7"/>
    </row>
    <row r="724" customFormat="false" ht="14.25" hidden="false" customHeight="true" outlineLevel="0" collapsed="false">
      <c r="A724" s="6"/>
      <c r="B724" s="6"/>
      <c r="C724" s="6"/>
      <c r="D724" s="6"/>
      <c r="E724" s="7"/>
    </row>
    <row r="725" customFormat="false" ht="14.25" hidden="false" customHeight="true" outlineLevel="0" collapsed="false">
      <c r="A725" s="6"/>
      <c r="B725" s="6"/>
      <c r="C725" s="6"/>
      <c r="D725" s="6"/>
      <c r="E725" s="7"/>
    </row>
    <row r="726" customFormat="false" ht="14.25" hidden="false" customHeight="true" outlineLevel="0" collapsed="false">
      <c r="A726" s="6"/>
      <c r="B726" s="6"/>
      <c r="C726" s="6"/>
      <c r="D726" s="6"/>
      <c r="E726" s="7"/>
    </row>
    <row r="727" customFormat="false" ht="14.25" hidden="false" customHeight="true" outlineLevel="0" collapsed="false">
      <c r="A727" s="6"/>
      <c r="B727" s="6"/>
      <c r="C727" s="6"/>
      <c r="D727" s="6"/>
      <c r="E727" s="7"/>
    </row>
    <row r="728" customFormat="false" ht="14.25" hidden="false" customHeight="true" outlineLevel="0" collapsed="false">
      <c r="A728" s="6"/>
      <c r="B728" s="6"/>
      <c r="C728" s="6"/>
      <c r="D728" s="6"/>
      <c r="E728" s="7"/>
    </row>
    <row r="729" customFormat="false" ht="14.25" hidden="false" customHeight="true" outlineLevel="0" collapsed="false">
      <c r="A729" s="6"/>
      <c r="B729" s="6"/>
      <c r="C729" s="6"/>
      <c r="D729" s="6"/>
      <c r="E729" s="7"/>
    </row>
    <row r="730" customFormat="false" ht="14.25" hidden="false" customHeight="true" outlineLevel="0" collapsed="false">
      <c r="A730" s="6"/>
      <c r="B730" s="6"/>
      <c r="C730" s="6"/>
      <c r="D730" s="6"/>
      <c r="E730" s="7"/>
    </row>
    <row r="731" customFormat="false" ht="14.25" hidden="false" customHeight="true" outlineLevel="0" collapsed="false">
      <c r="A731" s="6"/>
      <c r="B731" s="6"/>
      <c r="C731" s="6"/>
      <c r="D731" s="6"/>
      <c r="E731" s="7"/>
    </row>
    <row r="732" customFormat="false" ht="14.25" hidden="false" customHeight="true" outlineLevel="0" collapsed="false">
      <c r="A732" s="6"/>
      <c r="B732" s="6"/>
      <c r="C732" s="6"/>
      <c r="D732" s="6"/>
      <c r="E732" s="7"/>
    </row>
    <row r="733" customFormat="false" ht="14.25" hidden="false" customHeight="true" outlineLevel="0" collapsed="false">
      <c r="A733" s="6"/>
      <c r="B733" s="6"/>
      <c r="C733" s="6"/>
      <c r="D733" s="6"/>
      <c r="E733" s="7"/>
    </row>
    <row r="734" customFormat="false" ht="14.25" hidden="false" customHeight="true" outlineLevel="0" collapsed="false">
      <c r="A734" s="6"/>
      <c r="B734" s="6"/>
      <c r="C734" s="6"/>
      <c r="D734" s="6"/>
      <c r="E734" s="7"/>
    </row>
    <row r="735" customFormat="false" ht="14.25" hidden="false" customHeight="true" outlineLevel="0" collapsed="false">
      <c r="A735" s="6"/>
      <c r="B735" s="6"/>
      <c r="C735" s="6"/>
      <c r="D735" s="6"/>
      <c r="E735" s="7"/>
    </row>
    <row r="736" customFormat="false" ht="14.25" hidden="false" customHeight="true" outlineLevel="0" collapsed="false">
      <c r="A736" s="6"/>
      <c r="B736" s="6"/>
      <c r="C736" s="6"/>
      <c r="D736" s="6"/>
      <c r="E736" s="7"/>
    </row>
    <row r="737" customFormat="false" ht="14.25" hidden="false" customHeight="true" outlineLevel="0" collapsed="false">
      <c r="A737" s="6"/>
      <c r="B737" s="6"/>
      <c r="C737" s="6"/>
      <c r="D737" s="6"/>
      <c r="E737" s="7"/>
    </row>
    <row r="738" customFormat="false" ht="14.25" hidden="false" customHeight="true" outlineLevel="0" collapsed="false">
      <c r="A738" s="6"/>
      <c r="B738" s="6"/>
      <c r="C738" s="6"/>
      <c r="D738" s="6"/>
      <c r="E738" s="7"/>
    </row>
    <row r="739" customFormat="false" ht="14.25" hidden="false" customHeight="true" outlineLevel="0" collapsed="false">
      <c r="A739" s="6"/>
      <c r="B739" s="6"/>
      <c r="C739" s="6"/>
      <c r="D739" s="6"/>
      <c r="E739" s="7"/>
    </row>
    <row r="740" customFormat="false" ht="14.25" hidden="false" customHeight="true" outlineLevel="0" collapsed="false">
      <c r="A740" s="6"/>
      <c r="B740" s="6"/>
      <c r="C740" s="6"/>
      <c r="D740" s="6"/>
      <c r="E740" s="7"/>
    </row>
    <row r="741" customFormat="false" ht="14.25" hidden="false" customHeight="true" outlineLevel="0" collapsed="false">
      <c r="A741" s="6"/>
      <c r="B741" s="6"/>
      <c r="C741" s="6"/>
      <c r="D741" s="6"/>
      <c r="E741" s="7"/>
    </row>
    <row r="742" customFormat="false" ht="14.25" hidden="false" customHeight="true" outlineLevel="0" collapsed="false">
      <c r="A742" s="6"/>
      <c r="B742" s="6"/>
      <c r="C742" s="6"/>
      <c r="D742" s="6"/>
      <c r="E742" s="7"/>
    </row>
    <row r="743" customFormat="false" ht="14.25" hidden="false" customHeight="true" outlineLevel="0" collapsed="false">
      <c r="A743" s="6"/>
      <c r="B743" s="6"/>
      <c r="C743" s="6"/>
      <c r="D743" s="6"/>
      <c r="E743" s="7"/>
    </row>
    <row r="744" customFormat="false" ht="14.25" hidden="false" customHeight="true" outlineLevel="0" collapsed="false">
      <c r="A744" s="6"/>
      <c r="B744" s="6"/>
      <c r="C744" s="6"/>
      <c r="D744" s="6"/>
      <c r="E744" s="7"/>
    </row>
    <row r="745" customFormat="false" ht="14.25" hidden="false" customHeight="true" outlineLevel="0" collapsed="false">
      <c r="A745" s="6"/>
      <c r="B745" s="6"/>
      <c r="C745" s="6"/>
      <c r="D745" s="6"/>
      <c r="E745" s="7"/>
    </row>
    <row r="746" customFormat="false" ht="14.25" hidden="false" customHeight="true" outlineLevel="0" collapsed="false">
      <c r="A746" s="6"/>
      <c r="B746" s="6"/>
      <c r="C746" s="6"/>
      <c r="D746" s="6"/>
      <c r="E746" s="7"/>
    </row>
    <row r="747" customFormat="false" ht="14.25" hidden="false" customHeight="true" outlineLevel="0" collapsed="false">
      <c r="A747" s="6"/>
      <c r="B747" s="6"/>
      <c r="C747" s="6"/>
      <c r="D747" s="6"/>
      <c r="E747" s="7"/>
    </row>
    <row r="748" customFormat="false" ht="14.25" hidden="false" customHeight="true" outlineLevel="0" collapsed="false">
      <c r="A748" s="6"/>
      <c r="B748" s="6"/>
      <c r="C748" s="6"/>
      <c r="D748" s="6"/>
      <c r="E748" s="7"/>
    </row>
    <row r="749" customFormat="false" ht="14.25" hidden="false" customHeight="true" outlineLevel="0" collapsed="false">
      <c r="A749" s="6"/>
      <c r="B749" s="6"/>
      <c r="C749" s="6"/>
      <c r="D749" s="6"/>
      <c r="E749" s="7"/>
    </row>
    <row r="750" customFormat="false" ht="14.25" hidden="false" customHeight="true" outlineLevel="0" collapsed="false">
      <c r="A750" s="6"/>
      <c r="B750" s="6"/>
      <c r="C750" s="6"/>
      <c r="D750" s="6"/>
      <c r="E750" s="7"/>
    </row>
    <row r="751" customFormat="false" ht="14.25" hidden="false" customHeight="true" outlineLevel="0" collapsed="false">
      <c r="A751" s="6"/>
      <c r="B751" s="6"/>
      <c r="C751" s="6"/>
      <c r="D751" s="6"/>
      <c r="E751" s="7"/>
    </row>
    <row r="752" customFormat="false" ht="14.25" hidden="false" customHeight="true" outlineLevel="0" collapsed="false">
      <c r="A752" s="6"/>
      <c r="B752" s="6"/>
      <c r="C752" s="6"/>
      <c r="D752" s="6"/>
      <c r="E752" s="7"/>
    </row>
    <row r="753" customFormat="false" ht="14.25" hidden="false" customHeight="true" outlineLevel="0" collapsed="false">
      <c r="A753" s="6"/>
      <c r="B753" s="6"/>
      <c r="C753" s="6"/>
      <c r="D753" s="6"/>
      <c r="E753" s="7"/>
    </row>
    <row r="754" customFormat="false" ht="14.25" hidden="false" customHeight="true" outlineLevel="0" collapsed="false">
      <c r="A754" s="6"/>
      <c r="B754" s="6"/>
      <c r="C754" s="6"/>
      <c r="D754" s="6"/>
      <c r="E754" s="7"/>
    </row>
    <row r="755" customFormat="false" ht="14.25" hidden="false" customHeight="true" outlineLevel="0" collapsed="false">
      <c r="A755" s="6"/>
      <c r="B755" s="6"/>
      <c r="C755" s="6"/>
      <c r="D755" s="6"/>
      <c r="E755" s="7"/>
    </row>
    <row r="756" customFormat="false" ht="14.25" hidden="false" customHeight="true" outlineLevel="0" collapsed="false">
      <c r="A756" s="6"/>
      <c r="B756" s="6"/>
      <c r="C756" s="6"/>
      <c r="D756" s="6"/>
      <c r="E756" s="7"/>
    </row>
    <row r="757" customFormat="false" ht="14.25" hidden="false" customHeight="true" outlineLevel="0" collapsed="false">
      <c r="A757" s="6"/>
      <c r="B757" s="6"/>
      <c r="C757" s="6"/>
      <c r="D757" s="6"/>
      <c r="E757" s="7"/>
    </row>
    <row r="758" customFormat="false" ht="14.25" hidden="false" customHeight="true" outlineLevel="0" collapsed="false">
      <c r="A758" s="6"/>
      <c r="B758" s="6"/>
      <c r="C758" s="6"/>
      <c r="D758" s="6"/>
      <c r="E758" s="7"/>
    </row>
    <row r="759" customFormat="false" ht="14.25" hidden="false" customHeight="true" outlineLevel="0" collapsed="false">
      <c r="A759" s="6"/>
      <c r="B759" s="6"/>
      <c r="C759" s="6"/>
      <c r="D759" s="6"/>
      <c r="E759" s="7"/>
    </row>
    <row r="760" customFormat="false" ht="14.25" hidden="false" customHeight="true" outlineLevel="0" collapsed="false">
      <c r="A760" s="6"/>
      <c r="B760" s="6"/>
      <c r="C760" s="6"/>
      <c r="D760" s="6"/>
      <c r="E760" s="7"/>
    </row>
    <row r="761" customFormat="false" ht="14.25" hidden="false" customHeight="true" outlineLevel="0" collapsed="false">
      <c r="A761" s="6"/>
      <c r="B761" s="6"/>
      <c r="C761" s="6"/>
      <c r="D761" s="6"/>
      <c r="E761" s="7"/>
    </row>
    <row r="762" customFormat="false" ht="14.25" hidden="false" customHeight="true" outlineLevel="0" collapsed="false">
      <c r="A762" s="6"/>
      <c r="B762" s="6"/>
      <c r="C762" s="6"/>
      <c r="D762" s="6"/>
      <c r="E762" s="7"/>
    </row>
    <row r="763" customFormat="false" ht="14.25" hidden="false" customHeight="true" outlineLevel="0" collapsed="false">
      <c r="A763" s="6"/>
      <c r="B763" s="6"/>
      <c r="C763" s="6"/>
      <c r="D763" s="6"/>
      <c r="E763" s="7"/>
    </row>
    <row r="764" customFormat="false" ht="14.25" hidden="false" customHeight="true" outlineLevel="0" collapsed="false">
      <c r="A764" s="6"/>
      <c r="B764" s="6"/>
      <c r="C764" s="6"/>
      <c r="D764" s="6"/>
      <c r="E764" s="7"/>
    </row>
    <row r="765" customFormat="false" ht="14.25" hidden="false" customHeight="true" outlineLevel="0" collapsed="false">
      <c r="A765" s="6"/>
      <c r="B765" s="6"/>
      <c r="C765" s="6"/>
      <c r="D765" s="6"/>
      <c r="E765" s="7"/>
    </row>
    <row r="766" customFormat="false" ht="14.25" hidden="false" customHeight="true" outlineLevel="0" collapsed="false">
      <c r="A766" s="6"/>
      <c r="B766" s="6"/>
      <c r="C766" s="6"/>
      <c r="D766" s="6"/>
      <c r="E766" s="7"/>
    </row>
    <row r="767" customFormat="false" ht="14.25" hidden="false" customHeight="true" outlineLevel="0" collapsed="false">
      <c r="A767" s="6"/>
      <c r="B767" s="6"/>
      <c r="C767" s="6"/>
      <c r="D767" s="6"/>
      <c r="E767" s="7"/>
    </row>
    <row r="768" customFormat="false" ht="14.25" hidden="false" customHeight="true" outlineLevel="0" collapsed="false">
      <c r="A768" s="6"/>
      <c r="B768" s="6"/>
      <c r="C768" s="6"/>
      <c r="D768" s="6"/>
      <c r="E768" s="7"/>
    </row>
    <row r="769" customFormat="false" ht="14.25" hidden="false" customHeight="true" outlineLevel="0" collapsed="false">
      <c r="A769" s="6"/>
      <c r="B769" s="6"/>
      <c r="C769" s="6"/>
      <c r="D769" s="6"/>
      <c r="E769" s="7"/>
    </row>
    <row r="770" customFormat="false" ht="14.25" hidden="false" customHeight="true" outlineLevel="0" collapsed="false">
      <c r="A770" s="6"/>
      <c r="B770" s="6"/>
      <c r="C770" s="6"/>
      <c r="D770" s="6"/>
      <c r="E770" s="7"/>
    </row>
    <row r="771" customFormat="false" ht="14.25" hidden="false" customHeight="true" outlineLevel="0" collapsed="false">
      <c r="A771" s="6"/>
      <c r="B771" s="6"/>
      <c r="C771" s="6"/>
      <c r="D771" s="6"/>
      <c r="E771" s="7"/>
    </row>
    <row r="772" customFormat="false" ht="14.25" hidden="false" customHeight="true" outlineLevel="0" collapsed="false">
      <c r="A772" s="6"/>
      <c r="B772" s="6"/>
      <c r="C772" s="6"/>
      <c r="D772" s="6"/>
      <c r="E772" s="7"/>
    </row>
    <row r="773" customFormat="false" ht="14.25" hidden="false" customHeight="true" outlineLevel="0" collapsed="false">
      <c r="A773" s="6"/>
      <c r="B773" s="6"/>
      <c r="C773" s="6"/>
      <c r="D773" s="6"/>
      <c r="E773" s="7"/>
    </row>
    <row r="774" customFormat="false" ht="14.25" hidden="false" customHeight="true" outlineLevel="0" collapsed="false">
      <c r="A774" s="6"/>
      <c r="B774" s="6"/>
      <c r="C774" s="6"/>
      <c r="D774" s="6"/>
      <c r="E774" s="7"/>
    </row>
    <row r="775" customFormat="false" ht="14.25" hidden="false" customHeight="true" outlineLevel="0" collapsed="false">
      <c r="A775" s="6"/>
      <c r="B775" s="6"/>
      <c r="C775" s="6"/>
      <c r="D775" s="6"/>
      <c r="E775" s="7"/>
    </row>
    <row r="776" customFormat="false" ht="14.25" hidden="false" customHeight="true" outlineLevel="0" collapsed="false">
      <c r="A776" s="6"/>
      <c r="B776" s="6"/>
      <c r="C776" s="6"/>
      <c r="D776" s="6"/>
      <c r="E776" s="7"/>
    </row>
    <row r="777" customFormat="false" ht="14.25" hidden="false" customHeight="true" outlineLevel="0" collapsed="false">
      <c r="A777" s="6"/>
      <c r="B777" s="6"/>
      <c r="C777" s="6"/>
      <c r="D777" s="6"/>
      <c r="E777" s="7"/>
    </row>
    <row r="778" customFormat="false" ht="14.25" hidden="false" customHeight="true" outlineLevel="0" collapsed="false">
      <c r="A778" s="6"/>
      <c r="B778" s="6"/>
      <c r="C778" s="6"/>
      <c r="D778" s="6"/>
      <c r="E778" s="7"/>
    </row>
    <row r="779" customFormat="false" ht="14.25" hidden="false" customHeight="true" outlineLevel="0" collapsed="false">
      <c r="A779" s="6"/>
      <c r="B779" s="6"/>
      <c r="C779" s="6"/>
      <c r="D779" s="6"/>
      <c r="E779" s="7"/>
    </row>
    <row r="780" customFormat="false" ht="14.25" hidden="false" customHeight="true" outlineLevel="0" collapsed="false">
      <c r="A780" s="6"/>
      <c r="B780" s="6"/>
      <c r="C780" s="6"/>
      <c r="D780" s="6"/>
      <c r="E780" s="7"/>
    </row>
    <row r="781" customFormat="false" ht="14.25" hidden="false" customHeight="true" outlineLevel="0" collapsed="false">
      <c r="A781" s="6"/>
      <c r="B781" s="6"/>
      <c r="C781" s="6"/>
      <c r="D781" s="6"/>
      <c r="E781" s="7"/>
    </row>
    <row r="782" customFormat="false" ht="14.25" hidden="false" customHeight="true" outlineLevel="0" collapsed="false">
      <c r="A782" s="6"/>
      <c r="B782" s="6"/>
      <c r="C782" s="6"/>
      <c r="D782" s="6"/>
      <c r="E782" s="7"/>
    </row>
    <row r="783" customFormat="false" ht="14.25" hidden="false" customHeight="true" outlineLevel="0" collapsed="false">
      <c r="A783" s="6"/>
      <c r="B783" s="6"/>
      <c r="C783" s="6"/>
      <c r="D783" s="6"/>
      <c r="E783" s="7"/>
    </row>
    <row r="784" customFormat="false" ht="14.25" hidden="false" customHeight="true" outlineLevel="0" collapsed="false">
      <c r="A784" s="6"/>
      <c r="B784" s="6"/>
      <c r="C784" s="6"/>
      <c r="D784" s="6"/>
      <c r="E784" s="7"/>
    </row>
    <row r="785" customFormat="false" ht="14.25" hidden="false" customHeight="true" outlineLevel="0" collapsed="false">
      <c r="A785" s="6"/>
      <c r="B785" s="6"/>
      <c r="C785" s="6"/>
      <c r="D785" s="6"/>
      <c r="E785" s="7"/>
    </row>
    <row r="786" customFormat="false" ht="14.25" hidden="false" customHeight="true" outlineLevel="0" collapsed="false">
      <c r="A786" s="6"/>
      <c r="B786" s="6"/>
      <c r="C786" s="6"/>
      <c r="D786" s="6"/>
      <c r="E786" s="7"/>
    </row>
    <row r="787" customFormat="false" ht="14.25" hidden="false" customHeight="true" outlineLevel="0" collapsed="false">
      <c r="A787" s="6"/>
      <c r="B787" s="6"/>
      <c r="C787" s="6"/>
      <c r="D787" s="6"/>
      <c r="E787" s="7"/>
    </row>
    <row r="788" customFormat="false" ht="14.25" hidden="false" customHeight="true" outlineLevel="0" collapsed="false">
      <c r="A788" s="6"/>
      <c r="B788" s="6"/>
      <c r="C788" s="6"/>
      <c r="D788" s="6"/>
      <c r="E788" s="7"/>
    </row>
    <row r="789" customFormat="false" ht="14.25" hidden="false" customHeight="true" outlineLevel="0" collapsed="false">
      <c r="A789" s="6"/>
      <c r="B789" s="6"/>
      <c r="C789" s="6"/>
      <c r="D789" s="6"/>
      <c r="E789" s="7"/>
    </row>
    <row r="790" customFormat="false" ht="14.25" hidden="false" customHeight="true" outlineLevel="0" collapsed="false">
      <c r="A790" s="6"/>
      <c r="B790" s="6"/>
      <c r="C790" s="6"/>
      <c r="D790" s="6"/>
      <c r="E790" s="7"/>
    </row>
    <row r="791" customFormat="false" ht="14.25" hidden="false" customHeight="true" outlineLevel="0" collapsed="false">
      <c r="A791" s="6"/>
      <c r="B791" s="6"/>
      <c r="C791" s="6"/>
      <c r="D791" s="6"/>
      <c r="E791" s="7"/>
    </row>
    <row r="792" customFormat="false" ht="14.25" hidden="false" customHeight="true" outlineLevel="0" collapsed="false">
      <c r="A792" s="6"/>
      <c r="B792" s="6"/>
      <c r="C792" s="6"/>
      <c r="D792" s="6"/>
      <c r="E792" s="7"/>
    </row>
    <row r="793" customFormat="false" ht="14.25" hidden="false" customHeight="true" outlineLevel="0" collapsed="false">
      <c r="A793" s="6"/>
      <c r="B793" s="6"/>
      <c r="C793" s="6"/>
      <c r="D793" s="6"/>
      <c r="E793" s="7"/>
    </row>
    <row r="794" customFormat="false" ht="14.25" hidden="false" customHeight="true" outlineLevel="0" collapsed="false">
      <c r="A794" s="6"/>
      <c r="B794" s="6"/>
      <c r="C794" s="6"/>
      <c r="D794" s="6"/>
      <c r="E794" s="7"/>
    </row>
    <row r="795" customFormat="false" ht="14.25" hidden="false" customHeight="true" outlineLevel="0" collapsed="false">
      <c r="A795" s="6"/>
      <c r="B795" s="6"/>
      <c r="C795" s="6"/>
      <c r="D795" s="6"/>
      <c r="E795" s="7"/>
    </row>
    <row r="796" customFormat="false" ht="14.25" hidden="false" customHeight="true" outlineLevel="0" collapsed="false">
      <c r="A796" s="6"/>
      <c r="B796" s="6"/>
      <c r="C796" s="6"/>
      <c r="D796" s="6"/>
      <c r="E796" s="7"/>
    </row>
    <row r="797" customFormat="false" ht="14.25" hidden="false" customHeight="true" outlineLevel="0" collapsed="false">
      <c r="A797" s="6"/>
      <c r="B797" s="6"/>
      <c r="C797" s="6"/>
      <c r="D797" s="6"/>
      <c r="E797" s="7"/>
    </row>
    <row r="798" customFormat="false" ht="14.25" hidden="false" customHeight="true" outlineLevel="0" collapsed="false">
      <c r="A798" s="6"/>
      <c r="B798" s="6"/>
      <c r="C798" s="6"/>
      <c r="D798" s="6"/>
      <c r="E798" s="7"/>
    </row>
    <row r="799" customFormat="false" ht="14.25" hidden="false" customHeight="true" outlineLevel="0" collapsed="false">
      <c r="A799" s="6"/>
      <c r="B799" s="6"/>
      <c r="C799" s="6"/>
      <c r="D799" s="6"/>
      <c r="E799" s="7"/>
    </row>
    <row r="800" customFormat="false" ht="14.25" hidden="false" customHeight="true" outlineLevel="0" collapsed="false">
      <c r="A800" s="6"/>
      <c r="B800" s="6"/>
      <c r="C800" s="6"/>
      <c r="D800" s="6"/>
      <c r="E800" s="7"/>
    </row>
    <row r="801" customFormat="false" ht="14.25" hidden="false" customHeight="true" outlineLevel="0" collapsed="false">
      <c r="A801" s="6"/>
      <c r="B801" s="6"/>
      <c r="C801" s="6"/>
      <c r="D801" s="6"/>
      <c r="E801" s="7"/>
    </row>
    <row r="802" customFormat="false" ht="14.25" hidden="false" customHeight="true" outlineLevel="0" collapsed="false">
      <c r="A802" s="6"/>
      <c r="B802" s="6"/>
      <c r="C802" s="6"/>
      <c r="D802" s="6"/>
      <c r="E802" s="7"/>
    </row>
    <row r="803" customFormat="false" ht="14.25" hidden="false" customHeight="true" outlineLevel="0" collapsed="false">
      <c r="A803" s="6"/>
      <c r="B803" s="6"/>
      <c r="C803" s="6"/>
      <c r="D803" s="6"/>
      <c r="E803" s="7"/>
    </row>
    <row r="804" customFormat="false" ht="14.25" hidden="false" customHeight="true" outlineLevel="0" collapsed="false">
      <c r="A804" s="6"/>
      <c r="B804" s="6"/>
      <c r="C804" s="6"/>
      <c r="D804" s="6"/>
      <c r="E804" s="7"/>
    </row>
    <row r="805" customFormat="false" ht="14.25" hidden="false" customHeight="true" outlineLevel="0" collapsed="false">
      <c r="A805" s="6"/>
      <c r="B805" s="6"/>
      <c r="C805" s="6"/>
      <c r="D805" s="6"/>
      <c r="E805" s="7"/>
    </row>
    <row r="806" customFormat="false" ht="14.25" hidden="false" customHeight="true" outlineLevel="0" collapsed="false">
      <c r="A806" s="6"/>
      <c r="B806" s="6"/>
      <c r="C806" s="6"/>
      <c r="D806" s="6"/>
      <c r="E806" s="7"/>
    </row>
    <row r="807" customFormat="false" ht="14.25" hidden="false" customHeight="true" outlineLevel="0" collapsed="false">
      <c r="A807" s="6"/>
      <c r="B807" s="6"/>
      <c r="C807" s="6"/>
      <c r="D807" s="6"/>
      <c r="E807" s="7"/>
    </row>
    <row r="808" customFormat="false" ht="14.25" hidden="false" customHeight="true" outlineLevel="0" collapsed="false">
      <c r="A808" s="6"/>
      <c r="B808" s="6"/>
      <c r="C808" s="6"/>
      <c r="D808" s="6"/>
      <c r="E808" s="7"/>
    </row>
    <row r="809" customFormat="false" ht="14.25" hidden="false" customHeight="true" outlineLevel="0" collapsed="false">
      <c r="A809" s="6"/>
      <c r="B809" s="6"/>
      <c r="C809" s="6"/>
      <c r="D809" s="6"/>
      <c r="E809" s="7"/>
    </row>
    <row r="810" customFormat="false" ht="14.25" hidden="false" customHeight="true" outlineLevel="0" collapsed="false">
      <c r="A810" s="6"/>
      <c r="B810" s="6"/>
      <c r="C810" s="6"/>
      <c r="D810" s="6"/>
      <c r="E810" s="7"/>
    </row>
    <row r="811" customFormat="false" ht="14.25" hidden="false" customHeight="true" outlineLevel="0" collapsed="false">
      <c r="A811" s="6"/>
      <c r="B811" s="6"/>
      <c r="C811" s="6"/>
      <c r="D811" s="6"/>
      <c r="E811" s="7"/>
    </row>
    <row r="812" customFormat="false" ht="14.25" hidden="false" customHeight="true" outlineLevel="0" collapsed="false">
      <c r="A812" s="6"/>
      <c r="B812" s="6"/>
      <c r="C812" s="6"/>
      <c r="D812" s="6"/>
      <c r="E812" s="7"/>
    </row>
    <row r="813" customFormat="false" ht="14.25" hidden="false" customHeight="true" outlineLevel="0" collapsed="false">
      <c r="A813" s="6"/>
      <c r="B813" s="6"/>
      <c r="C813" s="6"/>
      <c r="D813" s="6"/>
      <c r="E813" s="7"/>
    </row>
    <row r="814" customFormat="false" ht="14.25" hidden="false" customHeight="true" outlineLevel="0" collapsed="false">
      <c r="A814" s="6"/>
      <c r="B814" s="6"/>
      <c r="C814" s="6"/>
      <c r="D814" s="6"/>
      <c r="E814" s="7"/>
    </row>
    <row r="815" customFormat="false" ht="14.25" hidden="false" customHeight="true" outlineLevel="0" collapsed="false">
      <c r="A815" s="6"/>
      <c r="B815" s="6"/>
      <c r="C815" s="6"/>
      <c r="D815" s="6"/>
      <c r="E815" s="7"/>
    </row>
    <row r="816" customFormat="false" ht="14.25" hidden="false" customHeight="true" outlineLevel="0" collapsed="false">
      <c r="A816" s="6"/>
      <c r="B816" s="6"/>
      <c r="C816" s="6"/>
      <c r="D816" s="6"/>
      <c r="E816" s="7"/>
    </row>
    <row r="817" customFormat="false" ht="14.25" hidden="false" customHeight="true" outlineLevel="0" collapsed="false">
      <c r="A817" s="6"/>
      <c r="B817" s="6"/>
      <c r="C817" s="6"/>
      <c r="D817" s="6"/>
      <c r="E817" s="7"/>
    </row>
    <row r="818" customFormat="false" ht="14.25" hidden="false" customHeight="true" outlineLevel="0" collapsed="false">
      <c r="A818" s="6"/>
      <c r="B818" s="6"/>
      <c r="C818" s="6"/>
      <c r="D818" s="6"/>
      <c r="E818" s="7"/>
    </row>
    <row r="819" customFormat="false" ht="14.25" hidden="false" customHeight="true" outlineLevel="0" collapsed="false">
      <c r="A819" s="6"/>
      <c r="B819" s="6"/>
      <c r="C819" s="6"/>
      <c r="D819" s="6"/>
      <c r="E819" s="7"/>
    </row>
    <row r="820" customFormat="false" ht="14.25" hidden="false" customHeight="true" outlineLevel="0" collapsed="false">
      <c r="A820" s="6"/>
      <c r="B820" s="6"/>
      <c r="C820" s="6"/>
      <c r="D820" s="6"/>
      <c r="E820" s="7"/>
    </row>
    <row r="821" customFormat="false" ht="14.25" hidden="false" customHeight="true" outlineLevel="0" collapsed="false">
      <c r="A821" s="6"/>
      <c r="B821" s="6"/>
      <c r="C821" s="6"/>
      <c r="D821" s="6"/>
      <c r="E821" s="7"/>
    </row>
    <row r="822" customFormat="false" ht="14.25" hidden="false" customHeight="true" outlineLevel="0" collapsed="false">
      <c r="A822" s="6"/>
      <c r="B822" s="6"/>
      <c r="C822" s="6"/>
      <c r="D822" s="6"/>
      <c r="E822" s="7"/>
    </row>
    <row r="823" customFormat="false" ht="14.25" hidden="false" customHeight="true" outlineLevel="0" collapsed="false">
      <c r="A823" s="6"/>
      <c r="B823" s="6"/>
      <c r="C823" s="6"/>
      <c r="D823" s="6"/>
      <c r="E823" s="7"/>
    </row>
    <row r="824" customFormat="false" ht="14.25" hidden="false" customHeight="true" outlineLevel="0" collapsed="false">
      <c r="A824" s="6"/>
      <c r="B824" s="6"/>
      <c r="C824" s="6"/>
      <c r="D824" s="6"/>
      <c r="E824" s="7"/>
    </row>
    <row r="825" customFormat="false" ht="14.25" hidden="false" customHeight="true" outlineLevel="0" collapsed="false">
      <c r="A825" s="6"/>
      <c r="B825" s="6"/>
      <c r="C825" s="6"/>
      <c r="D825" s="6"/>
      <c r="E825" s="7"/>
    </row>
    <row r="826" customFormat="false" ht="14.25" hidden="false" customHeight="true" outlineLevel="0" collapsed="false">
      <c r="A826" s="6"/>
      <c r="B826" s="6"/>
      <c r="C826" s="6"/>
      <c r="D826" s="6"/>
      <c r="E826" s="7"/>
    </row>
    <row r="827" customFormat="false" ht="14.25" hidden="false" customHeight="true" outlineLevel="0" collapsed="false">
      <c r="A827" s="6"/>
      <c r="B827" s="6"/>
      <c r="C827" s="6"/>
      <c r="D827" s="6"/>
      <c r="E827" s="7"/>
    </row>
    <row r="828" customFormat="false" ht="14.25" hidden="false" customHeight="true" outlineLevel="0" collapsed="false">
      <c r="A828" s="6"/>
      <c r="B828" s="6"/>
      <c r="C828" s="6"/>
      <c r="D828" s="6"/>
      <c r="E828" s="7"/>
    </row>
    <row r="829" customFormat="false" ht="14.25" hidden="false" customHeight="true" outlineLevel="0" collapsed="false">
      <c r="A829" s="6"/>
      <c r="B829" s="6"/>
      <c r="C829" s="6"/>
      <c r="D829" s="6"/>
      <c r="E829" s="7"/>
    </row>
    <row r="830" customFormat="false" ht="14.25" hidden="false" customHeight="true" outlineLevel="0" collapsed="false">
      <c r="A830" s="6"/>
      <c r="B830" s="6"/>
      <c r="C830" s="6"/>
      <c r="D830" s="6"/>
      <c r="E830" s="7"/>
    </row>
    <row r="831" customFormat="false" ht="14.25" hidden="false" customHeight="true" outlineLevel="0" collapsed="false">
      <c r="A831" s="6"/>
      <c r="B831" s="6"/>
      <c r="C831" s="6"/>
      <c r="D831" s="6"/>
      <c r="E831" s="7"/>
    </row>
    <row r="832" customFormat="false" ht="14.25" hidden="false" customHeight="true" outlineLevel="0" collapsed="false">
      <c r="A832" s="6"/>
      <c r="B832" s="6"/>
      <c r="C832" s="6"/>
      <c r="D832" s="6"/>
      <c r="E832" s="7"/>
    </row>
    <row r="833" customFormat="false" ht="14.25" hidden="false" customHeight="true" outlineLevel="0" collapsed="false">
      <c r="A833" s="6"/>
      <c r="B833" s="6"/>
      <c r="C833" s="6"/>
      <c r="D833" s="6"/>
      <c r="E833" s="7"/>
    </row>
    <row r="834" customFormat="false" ht="14.25" hidden="false" customHeight="true" outlineLevel="0" collapsed="false">
      <c r="A834" s="6"/>
      <c r="B834" s="6"/>
      <c r="C834" s="6"/>
      <c r="D834" s="6"/>
      <c r="E834" s="7"/>
    </row>
    <row r="835" customFormat="false" ht="14.25" hidden="false" customHeight="true" outlineLevel="0" collapsed="false">
      <c r="A835" s="6"/>
      <c r="B835" s="6"/>
      <c r="C835" s="6"/>
      <c r="D835" s="6"/>
      <c r="E835" s="7"/>
    </row>
    <row r="836" customFormat="false" ht="14.25" hidden="false" customHeight="true" outlineLevel="0" collapsed="false">
      <c r="A836" s="6"/>
      <c r="B836" s="6"/>
      <c r="C836" s="6"/>
      <c r="D836" s="6"/>
      <c r="E836" s="7"/>
    </row>
    <row r="837" customFormat="false" ht="14.25" hidden="false" customHeight="true" outlineLevel="0" collapsed="false">
      <c r="A837" s="6"/>
      <c r="B837" s="6"/>
      <c r="C837" s="6"/>
      <c r="D837" s="6"/>
      <c r="E837" s="7"/>
    </row>
    <row r="838" customFormat="false" ht="14.25" hidden="false" customHeight="true" outlineLevel="0" collapsed="false">
      <c r="A838" s="6"/>
      <c r="B838" s="6"/>
      <c r="C838" s="6"/>
      <c r="D838" s="6"/>
      <c r="E838" s="7"/>
    </row>
    <row r="839" customFormat="false" ht="14.25" hidden="false" customHeight="true" outlineLevel="0" collapsed="false">
      <c r="A839" s="6"/>
      <c r="B839" s="6"/>
      <c r="C839" s="6"/>
      <c r="D839" s="6"/>
      <c r="E839" s="7"/>
    </row>
    <row r="840" customFormat="false" ht="14.25" hidden="false" customHeight="true" outlineLevel="0" collapsed="false">
      <c r="A840" s="6"/>
      <c r="B840" s="6"/>
      <c r="C840" s="6"/>
      <c r="D840" s="6"/>
      <c r="E840" s="7"/>
    </row>
    <row r="841" customFormat="false" ht="14.25" hidden="false" customHeight="true" outlineLevel="0" collapsed="false">
      <c r="A841" s="6"/>
      <c r="B841" s="6"/>
      <c r="C841" s="6"/>
      <c r="D841" s="6"/>
      <c r="E841" s="7"/>
    </row>
    <row r="842" customFormat="false" ht="14.25" hidden="false" customHeight="true" outlineLevel="0" collapsed="false">
      <c r="A842" s="6"/>
      <c r="B842" s="6"/>
      <c r="C842" s="6"/>
      <c r="D842" s="6"/>
      <c r="E842" s="7"/>
    </row>
    <row r="843" customFormat="false" ht="14.25" hidden="false" customHeight="true" outlineLevel="0" collapsed="false">
      <c r="A843" s="6"/>
      <c r="B843" s="6"/>
      <c r="C843" s="6"/>
      <c r="D843" s="6"/>
      <c r="E843" s="7"/>
    </row>
    <row r="844" customFormat="false" ht="14.25" hidden="false" customHeight="true" outlineLevel="0" collapsed="false">
      <c r="A844" s="6"/>
      <c r="B844" s="6"/>
      <c r="C844" s="6"/>
      <c r="D844" s="6"/>
      <c r="E844" s="7"/>
    </row>
    <row r="845" customFormat="false" ht="14.25" hidden="false" customHeight="true" outlineLevel="0" collapsed="false">
      <c r="A845" s="6"/>
      <c r="B845" s="6"/>
      <c r="C845" s="6"/>
      <c r="D845" s="6"/>
      <c r="E845" s="7"/>
    </row>
    <row r="846" customFormat="false" ht="14.25" hidden="false" customHeight="true" outlineLevel="0" collapsed="false">
      <c r="A846" s="6"/>
      <c r="B846" s="6"/>
      <c r="C846" s="6"/>
      <c r="D846" s="6"/>
      <c r="E846" s="7"/>
    </row>
    <row r="847" customFormat="false" ht="14.25" hidden="false" customHeight="true" outlineLevel="0" collapsed="false">
      <c r="A847" s="6"/>
      <c r="B847" s="6"/>
      <c r="C847" s="6"/>
      <c r="D847" s="6"/>
      <c r="E847" s="7"/>
    </row>
    <row r="848" customFormat="false" ht="14.25" hidden="false" customHeight="true" outlineLevel="0" collapsed="false">
      <c r="A848" s="6"/>
      <c r="B848" s="6"/>
      <c r="C848" s="6"/>
      <c r="D848" s="6"/>
      <c r="E848" s="7"/>
    </row>
    <row r="849" customFormat="false" ht="14.25" hidden="false" customHeight="true" outlineLevel="0" collapsed="false">
      <c r="A849" s="6"/>
      <c r="B849" s="6"/>
      <c r="C849" s="6"/>
      <c r="D849" s="6"/>
      <c r="E849" s="7"/>
    </row>
    <row r="850" customFormat="false" ht="14.25" hidden="false" customHeight="true" outlineLevel="0" collapsed="false">
      <c r="A850" s="6"/>
      <c r="B850" s="6"/>
      <c r="C850" s="6"/>
      <c r="D850" s="6"/>
      <c r="E850" s="7"/>
    </row>
    <row r="851" customFormat="false" ht="14.25" hidden="false" customHeight="true" outlineLevel="0" collapsed="false">
      <c r="A851" s="6"/>
      <c r="B851" s="6"/>
      <c r="C851" s="6"/>
      <c r="D851" s="6"/>
      <c r="E851" s="7"/>
    </row>
    <row r="852" customFormat="false" ht="14.25" hidden="false" customHeight="true" outlineLevel="0" collapsed="false">
      <c r="A852" s="6"/>
      <c r="B852" s="6"/>
      <c r="C852" s="6"/>
      <c r="D852" s="6"/>
      <c r="E852" s="7"/>
    </row>
    <row r="853" customFormat="false" ht="14.25" hidden="false" customHeight="true" outlineLevel="0" collapsed="false">
      <c r="A853" s="6"/>
      <c r="B853" s="6"/>
      <c r="C853" s="6"/>
      <c r="D853" s="6"/>
      <c r="E853" s="7"/>
    </row>
    <row r="854" customFormat="false" ht="14.25" hidden="false" customHeight="true" outlineLevel="0" collapsed="false">
      <c r="A854" s="6"/>
      <c r="B854" s="6"/>
      <c r="C854" s="6"/>
      <c r="D854" s="6"/>
      <c r="E854" s="7"/>
    </row>
    <row r="855" customFormat="false" ht="14.25" hidden="false" customHeight="true" outlineLevel="0" collapsed="false">
      <c r="A855" s="6"/>
      <c r="B855" s="6"/>
      <c r="C855" s="6"/>
      <c r="D855" s="6"/>
      <c r="E855" s="7"/>
    </row>
    <row r="856" customFormat="false" ht="14.25" hidden="false" customHeight="true" outlineLevel="0" collapsed="false">
      <c r="A856" s="6"/>
      <c r="B856" s="6"/>
      <c r="C856" s="6"/>
      <c r="D856" s="6"/>
      <c r="E856" s="7"/>
    </row>
    <row r="857" customFormat="false" ht="14.25" hidden="false" customHeight="true" outlineLevel="0" collapsed="false">
      <c r="A857" s="6"/>
      <c r="B857" s="6"/>
      <c r="C857" s="6"/>
      <c r="D857" s="6"/>
      <c r="E857" s="7"/>
    </row>
    <row r="858" customFormat="false" ht="14.25" hidden="false" customHeight="true" outlineLevel="0" collapsed="false">
      <c r="A858" s="6"/>
      <c r="B858" s="6"/>
      <c r="C858" s="6"/>
      <c r="D858" s="6"/>
      <c r="E858" s="7"/>
    </row>
    <row r="859" customFormat="false" ht="14.25" hidden="false" customHeight="true" outlineLevel="0" collapsed="false">
      <c r="A859" s="6"/>
      <c r="B859" s="6"/>
      <c r="C859" s="6"/>
      <c r="D859" s="6"/>
      <c r="E859" s="7"/>
    </row>
    <row r="860" customFormat="false" ht="14.25" hidden="false" customHeight="true" outlineLevel="0" collapsed="false">
      <c r="A860" s="6"/>
      <c r="B860" s="6"/>
      <c r="C860" s="6"/>
      <c r="D860" s="6"/>
      <c r="E860" s="7"/>
    </row>
    <row r="861" customFormat="false" ht="14.25" hidden="false" customHeight="true" outlineLevel="0" collapsed="false">
      <c r="A861" s="6"/>
      <c r="B861" s="6"/>
      <c r="C861" s="6"/>
      <c r="D861" s="6"/>
      <c r="E861" s="7"/>
    </row>
    <row r="862" customFormat="false" ht="14.25" hidden="false" customHeight="true" outlineLevel="0" collapsed="false">
      <c r="A862" s="6"/>
      <c r="B862" s="6"/>
      <c r="C862" s="6"/>
      <c r="D862" s="6"/>
      <c r="E862" s="7"/>
    </row>
    <row r="863" customFormat="false" ht="14.25" hidden="false" customHeight="true" outlineLevel="0" collapsed="false">
      <c r="A863" s="6"/>
      <c r="B863" s="6"/>
      <c r="C863" s="6"/>
      <c r="D863" s="6"/>
      <c r="E863" s="7"/>
    </row>
    <row r="864" customFormat="false" ht="14.25" hidden="false" customHeight="true" outlineLevel="0" collapsed="false">
      <c r="A864" s="6"/>
      <c r="B864" s="6"/>
      <c r="C864" s="6"/>
      <c r="D864" s="6"/>
      <c r="E864" s="7"/>
    </row>
    <row r="865" customFormat="false" ht="14.25" hidden="false" customHeight="true" outlineLevel="0" collapsed="false">
      <c r="A865" s="6"/>
      <c r="B865" s="6"/>
      <c r="C865" s="6"/>
      <c r="D865" s="6"/>
      <c r="E865" s="7"/>
    </row>
    <row r="866" customFormat="false" ht="14.25" hidden="false" customHeight="true" outlineLevel="0" collapsed="false">
      <c r="A866" s="6"/>
      <c r="B866" s="6"/>
      <c r="C866" s="6"/>
      <c r="D866" s="6"/>
      <c r="E866" s="7"/>
    </row>
    <row r="867" customFormat="false" ht="14.25" hidden="false" customHeight="true" outlineLevel="0" collapsed="false">
      <c r="A867" s="6"/>
      <c r="B867" s="6"/>
      <c r="C867" s="6"/>
      <c r="D867" s="6"/>
      <c r="E867" s="7"/>
    </row>
    <row r="868" customFormat="false" ht="14.25" hidden="false" customHeight="true" outlineLevel="0" collapsed="false">
      <c r="A868" s="6"/>
      <c r="B868" s="6"/>
      <c r="C868" s="6"/>
      <c r="D868" s="6"/>
      <c r="E868" s="7"/>
    </row>
    <row r="869" customFormat="false" ht="14.25" hidden="false" customHeight="true" outlineLevel="0" collapsed="false">
      <c r="A869" s="6"/>
      <c r="B869" s="6"/>
      <c r="C869" s="6"/>
      <c r="D869" s="6"/>
      <c r="E869" s="7"/>
    </row>
    <row r="870" customFormat="false" ht="14.25" hidden="false" customHeight="true" outlineLevel="0" collapsed="false">
      <c r="A870" s="6"/>
      <c r="B870" s="6"/>
      <c r="C870" s="6"/>
      <c r="D870" s="6"/>
      <c r="E870" s="7"/>
    </row>
    <row r="871" customFormat="false" ht="14.25" hidden="false" customHeight="true" outlineLevel="0" collapsed="false">
      <c r="A871" s="6"/>
      <c r="B871" s="6"/>
      <c r="C871" s="6"/>
      <c r="D871" s="6"/>
      <c r="E871" s="7"/>
    </row>
    <row r="872" customFormat="false" ht="14.25" hidden="false" customHeight="true" outlineLevel="0" collapsed="false">
      <c r="A872" s="6"/>
      <c r="B872" s="6"/>
      <c r="C872" s="6"/>
      <c r="D872" s="6"/>
      <c r="E872" s="7"/>
    </row>
    <row r="873" customFormat="false" ht="14.25" hidden="false" customHeight="true" outlineLevel="0" collapsed="false">
      <c r="A873" s="6"/>
      <c r="B873" s="6"/>
      <c r="C873" s="6"/>
      <c r="D873" s="6"/>
      <c r="E873" s="7"/>
    </row>
    <row r="874" customFormat="false" ht="14.25" hidden="false" customHeight="true" outlineLevel="0" collapsed="false">
      <c r="A874" s="6"/>
      <c r="B874" s="6"/>
      <c r="C874" s="6"/>
      <c r="D874" s="6"/>
      <c r="E874" s="7"/>
    </row>
    <row r="875" customFormat="false" ht="14.25" hidden="false" customHeight="true" outlineLevel="0" collapsed="false">
      <c r="A875" s="6"/>
      <c r="B875" s="6"/>
      <c r="C875" s="6"/>
      <c r="D875" s="6"/>
      <c r="E875" s="7"/>
    </row>
    <row r="876" customFormat="false" ht="14.25" hidden="false" customHeight="true" outlineLevel="0" collapsed="false">
      <c r="A876" s="6"/>
      <c r="B876" s="6"/>
      <c r="C876" s="6"/>
      <c r="D876" s="6"/>
      <c r="E876" s="7"/>
    </row>
    <row r="877" customFormat="false" ht="14.25" hidden="false" customHeight="true" outlineLevel="0" collapsed="false">
      <c r="A877" s="6"/>
      <c r="B877" s="6"/>
      <c r="C877" s="6"/>
      <c r="D877" s="6"/>
      <c r="E877" s="7"/>
    </row>
    <row r="878" customFormat="false" ht="14.25" hidden="false" customHeight="true" outlineLevel="0" collapsed="false">
      <c r="A878" s="6"/>
      <c r="B878" s="6"/>
      <c r="C878" s="6"/>
      <c r="D878" s="6"/>
      <c r="E878" s="7"/>
    </row>
    <row r="879" customFormat="false" ht="14.25" hidden="false" customHeight="true" outlineLevel="0" collapsed="false">
      <c r="A879" s="6"/>
      <c r="B879" s="6"/>
      <c r="C879" s="6"/>
      <c r="D879" s="6"/>
      <c r="E879" s="7"/>
    </row>
    <row r="880" customFormat="false" ht="14.25" hidden="false" customHeight="true" outlineLevel="0" collapsed="false">
      <c r="A880" s="6"/>
      <c r="B880" s="6"/>
      <c r="C880" s="6"/>
      <c r="D880" s="6"/>
      <c r="E880" s="7"/>
    </row>
    <row r="881" customFormat="false" ht="14.25" hidden="false" customHeight="true" outlineLevel="0" collapsed="false">
      <c r="A881" s="6"/>
      <c r="B881" s="6"/>
      <c r="C881" s="6"/>
      <c r="D881" s="6"/>
      <c r="E881" s="7"/>
    </row>
    <row r="882" customFormat="false" ht="14.25" hidden="false" customHeight="true" outlineLevel="0" collapsed="false">
      <c r="A882" s="6"/>
      <c r="B882" s="6"/>
      <c r="C882" s="6"/>
      <c r="D882" s="6"/>
      <c r="E882" s="7"/>
    </row>
    <row r="883" customFormat="false" ht="14.25" hidden="false" customHeight="true" outlineLevel="0" collapsed="false">
      <c r="A883" s="6"/>
      <c r="B883" s="6"/>
      <c r="C883" s="6"/>
      <c r="D883" s="6"/>
      <c r="E883" s="7"/>
    </row>
    <row r="884" customFormat="false" ht="14.25" hidden="false" customHeight="true" outlineLevel="0" collapsed="false">
      <c r="A884" s="6"/>
      <c r="B884" s="6"/>
      <c r="C884" s="6"/>
      <c r="D884" s="6"/>
      <c r="E884" s="7"/>
    </row>
    <row r="885" customFormat="false" ht="14.25" hidden="false" customHeight="true" outlineLevel="0" collapsed="false">
      <c r="A885" s="6"/>
      <c r="B885" s="6"/>
      <c r="C885" s="6"/>
      <c r="D885" s="6"/>
      <c r="E885" s="7"/>
    </row>
    <row r="886" customFormat="false" ht="14.25" hidden="false" customHeight="true" outlineLevel="0" collapsed="false">
      <c r="A886" s="6"/>
      <c r="B886" s="6"/>
      <c r="C886" s="6"/>
      <c r="D886" s="6"/>
      <c r="E886" s="7"/>
    </row>
    <row r="887" customFormat="false" ht="14.25" hidden="false" customHeight="true" outlineLevel="0" collapsed="false">
      <c r="A887" s="6"/>
      <c r="B887" s="6"/>
      <c r="C887" s="6"/>
      <c r="D887" s="6"/>
      <c r="E887" s="7"/>
    </row>
    <row r="888" customFormat="false" ht="14.25" hidden="false" customHeight="true" outlineLevel="0" collapsed="false">
      <c r="A888" s="6"/>
      <c r="B888" s="6"/>
      <c r="C888" s="6"/>
      <c r="D888" s="6"/>
      <c r="E888" s="7"/>
    </row>
    <row r="889" customFormat="false" ht="14.25" hidden="false" customHeight="true" outlineLevel="0" collapsed="false">
      <c r="A889" s="6"/>
      <c r="B889" s="6"/>
      <c r="C889" s="6"/>
      <c r="D889" s="6"/>
      <c r="E889" s="7"/>
    </row>
    <row r="890" customFormat="false" ht="14.25" hidden="false" customHeight="true" outlineLevel="0" collapsed="false">
      <c r="A890" s="6"/>
      <c r="B890" s="6"/>
      <c r="C890" s="6"/>
      <c r="D890" s="6"/>
      <c r="E890" s="7"/>
    </row>
    <row r="891" customFormat="false" ht="14.25" hidden="false" customHeight="true" outlineLevel="0" collapsed="false">
      <c r="A891" s="6"/>
      <c r="B891" s="6"/>
      <c r="C891" s="6"/>
      <c r="D891" s="6"/>
      <c r="E891" s="7"/>
    </row>
    <row r="892" customFormat="false" ht="14.25" hidden="false" customHeight="true" outlineLevel="0" collapsed="false">
      <c r="A892" s="6"/>
      <c r="B892" s="6"/>
      <c r="C892" s="6"/>
      <c r="D892" s="6"/>
      <c r="E892" s="7"/>
    </row>
    <row r="893" customFormat="false" ht="14.25" hidden="false" customHeight="true" outlineLevel="0" collapsed="false">
      <c r="A893" s="6"/>
      <c r="B893" s="6"/>
      <c r="C893" s="6"/>
      <c r="D893" s="6"/>
      <c r="E893" s="7"/>
    </row>
    <row r="894" customFormat="false" ht="14.25" hidden="false" customHeight="true" outlineLevel="0" collapsed="false">
      <c r="A894" s="6"/>
      <c r="B894" s="6"/>
      <c r="C894" s="6"/>
      <c r="D894" s="6"/>
      <c r="E894" s="7"/>
    </row>
    <row r="895" customFormat="false" ht="14.25" hidden="false" customHeight="true" outlineLevel="0" collapsed="false">
      <c r="A895" s="6"/>
      <c r="B895" s="6"/>
      <c r="C895" s="6"/>
      <c r="D895" s="6"/>
      <c r="E895" s="7"/>
    </row>
    <row r="896" customFormat="false" ht="14.25" hidden="false" customHeight="true" outlineLevel="0" collapsed="false">
      <c r="A896" s="6"/>
      <c r="B896" s="6"/>
      <c r="C896" s="6"/>
      <c r="D896" s="6"/>
      <c r="E896" s="7"/>
    </row>
    <row r="897" customFormat="false" ht="14.25" hidden="false" customHeight="true" outlineLevel="0" collapsed="false">
      <c r="A897" s="6"/>
      <c r="B897" s="6"/>
      <c r="C897" s="6"/>
      <c r="D897" s="6"/>
      <c r="E897" s="7"/>
    </row>
    <row r="898" customFormat="false" ht="14.25" hidden="false" customHeight="true" outlineLevel="0" collapsed="false">
      <c r="A898" s="6"/>
      <c r="B898" s="6"/>
      <c r="C898" s="6"/>
      <c r="D898" s="6"/>
      <c r="E898" s="7"/>
    </row>
    <row r="899" customFormat="false" ht="14.25" hidden="false" customHeight="true" outlineLevel="0" collapsed="false">
      <c r="A899" s="6"/>
      <c r="B899" s="6"/>
      <c r="C899" s="6"/>
      <c r="D899" s="6"/>
      <c r="E899" s="7"/>
    </row>
    <row r="900" customFormat="false" ht="14.25" hidden="false" customHeight="true" outlineLevel="0" collapsed="false">
      <c r="A900" s="6"/>
      <c r="B900" s="6"/>
      <c r="C900" s="6"/>
      <c r="D900" s="6"/>
      <c r="E900" s="7"/>
    </row>
    <row r="901" customFormat="false" ht="14.25" hidden="false" customHeight="true" outlineLevel="0" collapsed="false">
      <c r="A901" s="6"/>
      <c r="B901" s="6"/>
      <c r="C901" s="6"/>
      <c r="D901" s="6"/>
      <c r="E901" s="7"/>
    </row>
    <row r="902" customFormat="false" ht="14.25" hidden="false" customHeight="true" outlineLevel="0" collapsed="false">
      <c r="A902" s="6"/>
      <c r="B902" s="6"/>
      <c r="C902" s="6"/>
      <c r="D902" s="6"/>
      <c r="E902" s="7"/>
    </row>
    <row r="903" customFormat="false" ht="14.25" hidden="false" customHeight="true" outlineLevel="0" collapsed="false">
      <c r="A903" s="6"/>
      <c r="B903" s="6"/>
      <c r="C903" s="6"/>
      <c r="D903" s="6"/>
      <c r="E903" s="7"/>
    </row>
    <row r="904" customFormat="false" ht="14.25" hidden="false" customHeight="true" outlineLevel="0" collapsed="false">
      <c r="A904" s="6"/>
      <c r="B904" s="6"/>
      <c r="C904" s="6"/>
      <c r="D904" s="6"/>
      <c r="E904" s="7"/>
    </row>
    <row r="905" customFormat="false" ht="14.25" hidden="false" customHeight="true" outlineLevel="0" collapsed="false">
      <c r="A905" s="6"/>
      <c r="B905" s="6"/>
      <c r="C905" s="6"/>
      <c r="D905" s="6"/>
      <c r="E905" s="7"/>
    </row>
    <row r="906" customFormat="false" ht="14.25" hidden="false" customHeight="true" outlineLevel="0" collapsed="false">
      <c r="A906" s="6"/>
      <c r="B906" s="6"/>
      <c r="C906" s="6"/>
      <c r="D906" s="6"/>
      <c r="E906" s="7"/>
    </row>
    <row r="907" customFormat="false" ht="14.25" hidden="false" customHeight="true" outlineLevel="0" collapsed="false">
      <c r="A907" s="6"/>
      <c r="B907" s="6"/>
      <c r="C907" s="6"/>
      <c r="D907" s="6"/>
      <c r="E907" s="7"/>
    </row>
    <row r="908" customFormat="false" ht="14.25" hidden="false" customHeight="true" outlineLevel="0" collapsed="false">
      <c r="A908" s="6"/>
      <c r="B908" s="6"/>
      <c r="C908" s="6"/>
      <c r="D908" s="6"/>
      <c r="E908" s="7"/>
    </row>
    <row r="909" customFormat="false" ht="14.25" hidden="false" customHeight="true" outlineLevel="0" collapsed="false">
      <c r="A909" s="6"/>
      <c r="B909" s="6"/>
      <c r="C909" s="6"/>
      <c r="D909" s="6"/>
      <c r="E909" s="7"/>
    </row>
    <row r="910" customFormat="false" ht="14.25" hidden="false" customHeight="true" outlineLevel="0" collapsed="false">
      <c r="A910" s="6"/>
      <c r="B910" s="6"/>
      <c r="C910" s="6"/>
      <c r="D910" s="6"/>
      <c r="E910" s="7"/>
    </row>
    <row r="911" customFormat="false" ht="14.25" hidden="false" customHeight="true" outlineLevel="0" collapsed="false">
      <c r="A911" s="6"/>
      <c r="B911" s="6"/>
      <c r="C911" s="6"/>
      <c r="D911" s="6"/>
      <c r="E911" s="7"/>
    </row>
    <row r="912" customFormat="false" ht="14.25" hidden="false" customHeight="true" outlineLevel="0" collapsed="false">
      <c r="A912" s="6"/>
      <c r="B912" s="6"/>
      <c r="C912" s="6"/>
      <c r="D912" s="6"/>
      <c r="E912" s="7"/>
    </row>
    <row r="913" customFormat="false" ht="14.25" hidden="false" customHeight="true" outlineLevel="0" collapsed="false">
      <c r="A913" s="6"/>
      <c r="B913" s="6"/>
      <c r="C913" s="6"/>
      <c r="D913" s="6"/>
      <c r="E913" s="7"/>
    </row>
    <row r="914" customFormat="false" ht="14.25" hidden="false" customHeight="true" outlineLevel="0" collapsed="false">
      <c r="A914" s="6"/>
      <c r="B914" s="6"/>
      <c r="C914" s="6"/>
      <c r="D914" s="6"/>
      <c r="E914" s="7"/>
    </row>
    <row r="915" customFormat="false" ht="14.25" hidden="false" customHeight="true" outlineLevel="0" collapsed="false">
      <c r="A915" s="6"/>
      <c r="B915" s="6"/>
      <c r="C915" s="6"/>
      <c r="D915" s="6"/>
      <c r="E915" s="7"/>
    </row>
    <row r="916" customFormat="false" ht="14.25" hidden="false" customHeight="true" outlineLevel="0" collapsed="false">
      <c r="A916" s="6"/>
      <c r="B916" s="6"/>
      <c r="C916" s="6"/>
      <c r="D916" s="6"/>
      <c r="E916" s="7"/>
    </row>
    <row r="917" customFormat="false" ht="14.25" hidden="false" customHeight="true" outlineLevel="0" collapsed="false">
      <c r="A917" s="6"/>
      <c r="B917" s="6"/>
      <c r="C917" s="6"/>
      <c r="D917" s="6"/>
      <c r="E917" s="7"/>
    </row>
    <row r="918" customFormat="false" ht="14.25" hidden="false" customHeight="true" outlineLevel="0" collapsed="false">
      <c r="A918" s="6"/>
      <c r="B918" s="6"/>
      <c r="C918" s="6"/>
      <c r="D918" s="6"/>
      <c r="E918" s="7"/>
    </row>
    <row r="919" customFormat="false" ht="14.25" hidden="false" customHeight="true" outlineLevel="0" collapsed="false">
      <c r="A919" s="6"/>
      <c r="B919" s="6"/>
      <c r="C919" s="6"/>
      <c r="D919" s="6"/>
      <c r="E919" s="7"/>
    </row>
    <row r="920" customFormat="false" ht="14.25" hidden="false" customHeight="true" outlineLevel="0" collapsed="false">
      <c r="A920" s="6"/>
      <c r="B920" s="6"/>
      <c r="C920" s="6"/>
      <c r="D920" s="6"/>
      <c r="E920" s="7"/>
    </row>
    <row r="921" customFormat="false" ht="14.25" hidden="false" customHeight="true" outlineLevel="0" collapsed="false">
      <c r="A921" s="6"/>
      <c r="B921" s="6"/>
      <c r="C921" s="6"/>
      <c r="D921" s="6"/>
      <c r="E921" s="7"/>
    </row>
    <row r="922" customFormat="false" ht="14.25" hidden="false" customHeight="true" outlineLevel="0" collapsed="false">
      <c r="A922" s="6"/>
      <c r="B922" s="6"/>
      <c r="C922" s="6"/>
      <c r="D922" s="6"/>
      <c r="E922" s="7"/>
    </row>
    <row r="923" customFormat="false" ht="14.25" hidden="false" customHeight="true" outlineLevel="0" collapsed="false">
      <c r="A923" s="6"/>
      <c r="B923" s="6"/>
      <c r="C923" s="6"/>
      <c r="D923" s="6"/>
      <c r="E923" s="7"/>
    </row>
    <row r="924" customFormat="false" ht="14.25" hidden="false" customHeight="true" outlineLevel="0" collapsed="false">
      <c r="A924" s="6"/>
      <c r="B924" s="6"/>
      <c r="C924" s="6"/>
      <c r="D924" s="6"/>
      <c r="E924" s="7"/>
    </row>
    <row r="925" customFormat="false" ht="14.25" hidden="false" customHeight="true" outlineLevel="0" collapsed="false">
      <c r="A925" s="6"/>
      <c r="B925" s="6"/>
      <c r="C925" s="6"/>
      <c r="D925" s="6"/>
      <c r="E925" s="7"/>
    </row>
    <row r="926" customFormat="false" ht="14.25" hidden="false" customHeight="true" outlineLevel="0" collapsed="false">
      <c r="A926" s="6"/>
      <c r="B926" s="6"/>
      <c r="C926" s="6"/>
      <c r="D926" s="6"/>
      <c r="E926" s="7"/>
    </row>
    <row r="927" customFormat="false" ht="14.25" hidden="false" customHeight="true" outlineLevel="0" collapsed="false">
      <c r="A927" s="6"/>
      <c r="B927" s="6"/>
      <c r="C927" s="6"/>
      <c r="D927" s="6"/>
      <c r="E927" s="7"/>
    </row>
    <row r="928" customFormat="false" ht="14.25" hidden="false" customHeight="true" outlineLevel="0" collapsed="false">
      <c r="A928" s="6"/>
      <c r="B928" s="6"/>
      <c r="C928" s="6"/>
      <c r="D928" s="6"/>
      <c r="E928" s="7"/>
    </row>
    <row r="929" customFormat="false" ht="14.25" hidden="false" customHeight="true" outlineLevel="0" collapsed="false">
      <c r="A929" s="6"/>
      <c r="B929" s="6"/>
      <c r="C929" s="6"/>
      <c r="D929" s="6"/>
      <c r="E929" s="7"/>
    </row>
    <row r="930" customFormat="false" ht="14.25" hidden="false" customHeight="true" outlineLevel="0" collapsed="false">
      <c r="A930" s="6"/>
      <c r="B930" s="6"/>
      <c r="C930" s="6"/>
      <c r="D930" s="6"/>
      <c r="E930" s="7"/>
    </row>
    <row r="931" customFormat="false" ht="14.25" hidden="false" customHeight="true" outlineLevel="0" collapsed="false">
      <c r="A931" s="6"/>
      <c r="B931" s="6"/>
      <c r="C931" s="6"/>
      <c r="D931" s="6"/>
      <c r="E931" s="7"/>
    </row>
    <row r="932" customFormat="false" ht="14.25" hidden="false" customHeight="true" outlineLevel="0" collapsed="false">
      <c r="A932" s="6"/>
      <c r="B932" s="6"/>
      <c r="C932" s="6"/>
      <c r="D932" s="6"/>
      <c r="E932" s="7"/>
    </row>
    <row r="933" customFormat="false" ht="14.25" hidden="false" customHeight="true" outlineLevel="0" collapsed="false">
      <c r="A933" s="6"/>
      <c r="B933" s="6"/>
      <c r="C933" s="6"/>
      <c r="D933" s="6"/>
      <c r="E933" s="7"/>
    </row>
    <row r="934" customFormat="false" ht="14.25" hidden="false" customHeight="true" outlineLevel="0" collapsed="false">
      <c r="A934" s="6"/>
      <c r="B934" s="6"/>
      <c r="C934" s="6"/>
      <c r="D934" s="6"/>
      <c r="E934" s="7"/>
    </row>
    <row r="935" customFormat="false" ht="14.25" hidden="false" customHeight="true" outlineLevel="0" collapsed="false">
      <c r="A935" s="6"/>
      <c r="B935" s="6"/>
      <c r="C935" s="6"/>
      <c r="D935" s="6"/>
      <c r="E935" s="7"/>
    </row>
    <row r="936" customFormat="false" ht="14.25" hidden="false" customHeight="true" outlineLevel="0" collapsed="false">
      <c r="A936" s="6"/>
      <c r="B936" s="6"/>
      <c r="C936" s="6"/>
      <c r="D936" s="6"/>
      <c r="E936" s="7"/>
    </row>
    <row r="937" customFormat="false" ht="14.25" hidden="false" customHeight="true" outlineLevel="0" collapsed="false">
      <c r="A937" s="6"/>
      <c r="B937" s="6"/>
      <c r="C937" s="6"/>
      <c r="D937" s="6"/>
      <c r="E937" s="7"/>
    </row>
    <row r="938" customFormat="false" ht="14.25" hidden="false" customHeight="true" outlineLevel="0" collapsed="false">
      <c r="A938" s="6"/>
      <c r="B938" s="6"/>
      <c r="C938" s="6"/>
      <c r="D938" s="6"/>
      <c r="E938" s="7"/>
    </row>
    <row r="939" customFormat="false" ht="14.25" hidden="false" customHeight="true" outlineLevel="0" collapsed="false">
      <c r="A939" s="6"/>
      <c r="B939" s="6"/>
      <c r="C939" s="6"/>
      <c r="D939" s="6"/>
      <c r="E939" s="7"/>
    </row>
    <row r="940" customFormat="false" ht="14.25" hidden="false" customHeight="true" outlineLevel="0" collapsed="false">
      <c r="A940" s="6"/>
      <c r="B940" s="6"/>
      <c r="C940" s="6"/>
      <c r="D940" s="6"/>
      <c r="E940" s="7"/>
    </row>
    <row r="941" customFormat="false" ht="14.25" hidden="false" customHeight="true" outlineLevel="0" collapsed="false">
      <c r="A941" s="6"/>
      <c r="B941" s="6"/>
      <c r="C941" s="6"/>
      <c r="D941" s="6"/>
      <c r="E941" s="7"/>
    </row>
    <row r="942" customFormat="false" ht="14.25" hidden="false" customHeight="true" outlineLevel="0" collapsed="false">
      <c r="A942" s="6"/>
      <c r="B942" s="6"/>
      <c r="C942" s="6"/>
      <c r="D942" s="6"/>
      <c r="E942" s="7"/>
    </row>
    <row r="943" customFormat="false" ht="14.25" hidden="false" customHeight="true" outlineLevel="0" collapsed="false">
      <c r="A943" s="6"/>
      <c r="B943" s="6"/>
      <c r="C943" s="6"/>
      <c r="D943" s="6"/>
      <c r="E943" s="7"/>
    </row>
    <row r="944" customFormat="false" ht="14.25" hidden="false" customHeight="true" outlineLevel="0" collapsed="false">
      <c r="A944" s="6"/>
      <c r="B944" s="6"/>
      <c r="C944" s="6"/>
      <c r="D944" s="6"/>
      <c r="E944" s="7"/>
    </row>
    <row r="945" customFormat="false" ht="14.25" hidden="false" customHeight="true" outlineLevel="0" collapsed="false">
      <c r="A945" s="6"/>
      <c r="B945" s="6"/>
      <c r="C945" s="6"/>
      <c r="D945" s="6"/>
      <c r="E945" s="7"/>
    </row>
    <row r="946" customFormat="false" ht="14.25" hidden="false" customHeight="true" outlineLevel="0" collapsed="false">
      <c r="A946" s="6"/>
      <c r="B946" s="6"/>
      <c r="C946" s="6"/>
      <c r="D946" s="6"/>
      <c r="E946" s="7"/>
    </row>
    <row r="947" customFormat="false" ht="14.25" hidden="false" customHeight="true" outlineLevel="0" collapsed="false">
      <c r="A947" s="6"/>
      <c r="B947" s="6"/>
      <c r="C947" s="6"/>
      <c r="D947" s="6"/>
      <c r="E947" s="7"/>
    </row>
    <row r="948" customFormat="false" ht="14.25" hidden="false" customHeight="true" outlineLevel="0" collapsed="false">
      <c r="A948" s="6"/>
      <c r="B948" s="6"/>
      <c r="C948" s="6"/>
      <c r="D948" s="6"/>
      <c r="E948" s="7"/>
    </row>
    <row r="949" customFormat="false" ht="14.25" hidden="false" customHeight="true" outlineLevel="0" collapsed="false">
      <c r="A949" s="6"/>
      <c r="B949" s="6"/>
      <c r="C949" s="6"/>
      <c r="D949" s="6"/>
      <c r="E949" s="7"/>
    </row>
    <row r="950" customFormat="false" ht="14.25" hidden="false" customHeight="true" outlineLevel="0" collapsed="false">
      <c r="A950" s="6"/>
      <c r="B950" s="6"/>
      <c r="C950" s="6"/>
      <c r="D950" s="6"/>
      <c r="E950" s="7"/>
    </row>
    <row r="951" customFormat="false" ht="14.25" hidden="false" customHeight="true" outlineLevel="0" collapsed="false">
      <c r="A951" s="6"/>
      <c r="B951" s="6"/>
      <c r="C951" s="6"/>
      <c r="D951" s="6"/>
      <c r="E951" s="7"/>
    </row>
    <row r="952" customFormat="false" ht="14.25" hidden="false" customHeight="true" outlineLevel="0" collapsed="false">
      <c r="A952" s="6"/>
      <c r="B952" s="6"/>
      <c r="C952" s="6"/>
      <c r="D952" s="6"/>
      <c r="E952" s="7"/>
    </row>
    <row r="953" customFormat="false" ht="14.25" hidden="false" customHeight="true" outlineLevel="0" collapsed="false">
      <c r="A953" s="6"/>
      <c r="B953" s="6"/>
      <c r="C953" s="6"/>
      <c r="D953" s="6"/>
      <c r="E953" s="7"/>
    </row>
    <row r="954" customFormat="false" ht="14.25" hidden="false" customHeight="true" outlineLevel="0" collapsed="false">
      <c r="A954" s="6"/>
      <c r="B954" s="6"/>
      <c r="C954" s="6"/>
      <c r="D954" s="6"/>
      <c r="E954" s="7"/>
    </row>
    <row r="955" customFormat="false" ht="14.25" hidden="false" customHeight="true" outlineLevel="0" collapsed="false">
      <c r="A955" s="6"/>
      <c r="B955" s="6"/>
      <c r="C955" s="6"/>
      <c r="D955" s="6"/>
      <c r="E955" s="7"/>
    </row>
    <row r="956" customFormat="false" ht="14.25" hidden="false" customHeight="true" outlineLevel="0" collapsed="false">
      <c r="A956" s="6"/>
      <c r="B956" s="6"/>
      <c r="C956" s="6"/>
      <c r="D956" s="6"/>
      <c r="E956" s="7"/>
    </row>
    <row r="957" customFormat="false" ht="14.25" hidden="false" customHeight="true" outlineLevel="0" collapsed="false">
      <c r="A957" s="6"/>
      <c r="B957" s="6"/>
      <c r="C957" s="6"/>
      <c r="D957" s="6"/>
      <c r="E957" s="7"/>
    </row>
    <row r="958" customFormat="false" ht="14.25" hidden="false" customHeight="true" outlineLevel="0" collapsed="false">
      <c r="A958" s="6"/>
      <c r="B958" s="6"/>
      <c r="C958" s="6"/>
      <c r="D958" s="6"/>
      <c r="E958" s="7"/>
    </row>
    <row r="959" customFormat="false" ht="14.25" hidden="false" customHeight="true" outlineLevel="0" collapsed="false">
      <c r="A959" s="6"/>
      <c r="B959" s="6"/>
      <c r="C959" s="6"/>
      <c r="D959" s="6"/>
      <c r="E959" s="7"/>
    </row>
    <row r="960" customFormat="false" ht="14.25" hidden="false" customHeight="true" outlineLevel="0" collapsed="false">
      <c r="A960" s="6"/>
      <c r="B960" s="6"/>
      <c r="C960" s="6"/>
      <c r="D960" s="6"/>
      <c r="E960" s="7"/>
    </row>
    <row r="961" customFormat="false" ht="14.25" hidden="false" customHeight="true" outlineLevel="0" collapsed="false">
      <c r="A961" s="6"/>
      <c r="B961" s="6"/>
      <c r="C961" s="6"/>
      <c r="D961" s="6"/>
      <c r="E961" s="7"/>
    </row>
    <row r="962" customFormat="false" ht="14.25" hidden="false" customHeight="true" outlineLevel="0" collapsed="false">
      <c r="A962" s="6"/>
      <c r="B962" s="6"/>
      <c r="C962" s="6"/>
      <c r="D962" s="6"/>
      <c r="E962" s="7"/>
    </row>
    <row r="963" customFormat="false" ht="14.25" hidden="false" customHeight="true" outlineLevel="0" collapsed="false">
      <c r="A963" s="6"/>
      <c r="B963" s="6"/>
      <c r="C963" s="6"/>
      <c r="D963" s="6"/>
      <c r="E963" s="7"/>
    </row>
    <row r="964" customFormat="false" ht="14.25" hidden="false" customHeight="true" outlineLevel="0" collapsed="false">
      <c r="A964" s="6"/>
      <c r="B964" s="6"/>
      <c r="C964" s="6"/>
      <c r="D964" s="6"/>
      <c r="E964" s="7"/>
    </row>
    <row r="965" customFormat="false" ht="14.25" hidden="false" customHeight="true" outlineLevel="0" collapsed="false">
      <c r="A965" s="6"/>
      <c r="B965" s="6"/>
      <c r="C965" s="6"/>
      <c r="D965" s="6"/>
      <c r="E965" s="7"/>
    </row>
    <row r="966" customFormat="false" ht="14.25" hidden="false" customHeight="true" outlineLevel="0" collapsed="false">
      <c r="A966" s="6"/>
      <c r="B966" s="6"/>
      <c r="C966" s="6"/>
      <c r="D966" s="6"/>
      <c r="E966" s="7"/>
    </row>
    <row r="967" customFormat="false" ht="14.25" hidden="false" customHeight="true" outlineLevel="0" collapsed="false">
      <c r="A967" s="6"/>
      <c r="B967" s="6"/>
      <c r="C967" s="6"/>
      <c r="D967" s="6"/>
      <c r="E967" s="7"/>
    </row>
    <row r="968" customFormat="false" ht="14.25" hidden="false" customHeight="true" outlineLevel="0" collapsed="false">
      <c r="A968" s="6"/>
      <c r="B968" s="6"/>
      <c r="C968" s="6"/>
      <c r="D968" s="6"/>
      <c r="E968" s="7"/>
    </row>
    <row r="969" customFormat="false" ht="14.25" hidden="false" customHeight="true" outlineLevel="0" collapsed="false">
      <c r="A969" s="6"/>
      <c r="B969" s="6"/>
      <c r="C969" s="6"/>
      <c r="D969" s="6"/>
      <c r="E969" s="7"/>
    </row>
    <row r="970" customFormat="false" ht="14.25" hidden="false" customHeight="true" outlineLevel="0" collapsed="false">
      <c r="A970" s="6"/>
      <c r="B970" s="6"/>
      <c r="C970" s="6"/>
      <c r="D970" s="6"/>
      <c r="E970" s="7"/>
    </row>
    <row r="971" customFormat="false" ht="14.25" hidden="false" customHeight="true" outlineLevel="0" collapsed="false">
      <c r="A971" s="6"/>
      <c r="B971" s="6"/>
      <c r="C971" s="6"/>
      <c r="D971" s="6"/>
      <c r="E971" s="7"/>
    </row>
    <row r="972" customFormat="false" ht="14.25" hidden="false" customHeight="true" outlineLevel="0" collapsed="false">
      <c r="A972" s="6"/>
      <c r="B972" s="6"/>
      <c r="C972" s="6"/>
      <c r="D972" s="6"/>
      <c r="E972" s="7"/>
    </row>
    <row r="973" customFormat="false" ht="14.25" hidden="false" customHeight="true" outlineLevel="0" collapsed="false">
      <c r="A973" s="6"/>
      <c r="B973" s="6"/>
      <c r="C973" s="6"/>
      <c r="D973" s="6"/>
      <c r="E973" s="7"/>
    </row>
    <row r="974" customFormat="false" ht="14.25" hidden="false" customHeight="true" outlineLevel="0" collapsed="false">
      <c r="A974" s="6"/>
      <c r="B974" s="6"/>
      <c r="C974" s="6"/>
      <c r="D974" s="6"/>
      <c r="E974" s="7"/>
    </row>
    <row r="975" customFormat="false" ht="14.25" hidden="false" customHeight="true" outlineLevel="0" collapsed="false">
      <c r="A975" s="6"/>
      <c r="B975" s="6"/>
      <c r="C975" s="6"/>
      <c r="D975" s="6"/>
      <c r="E975" s="7"/>
    </row>
    <row r="976" customFormat="false" ht="14.25" hidden="false" customHeight="true" outlineLevel="0" collapsed="false">
      <c r="A976" s="6"/>
      <c r="B976" s="6"/>
      <c r="C976" s="6"/>
      <c r="D976" s="6"/>
      <c r="E976" s="7"/>
    </row>
    <row r="977" customFormat="false" ht="14.25" hidden="false" customHeight="true" outlineLevel="0" collapsed="false">
      <c r="A977" s="6"/>
      <c r="B977" s="6"/>
      <c r="C977" s="6"/>
      <c r="D977" s="6"/>
      <c r="E977" s="7"/>
    </row>
    <row r="978" customFormat="false" ht="14.25" hidden="false" customHeight="true" outlineLevel="0" collapsed="false">
      <c r="A978" s="6"/>
      <c r="B978" s="6"/>
      <c r="C978" s="6"/>
      <c r="D978" s="6"/>
      <c r="E978" s="7"/>
    </row>
    <row r="979" customFormat="false" ht="14.25" hidden="false" customHeight="true" outlineLevel="0" collapsed="false">
      <c r="A979" s="6"/>
      <c r="B979" s="6"/>
      <c r="C979" s="6"/>
      <c r="D979" s="6"/>
      <c r="E979" s="7"/>
    </row>
    <row r="980" customFormat="false" ht="14.25" hidden="false" customHeight="true" outlineLevel="0" collapsed="false">
      <c r="A980" s="6"/>
      <c r="B980" s="6"/>
      <c r="C980" s="6"/>
      <c r="D980" s="6"/>
      <c r="E980" s="7"/>
    </row>
    <row r="981" customFormat="false" ht="14.25" hidden="false" customHeight="true" outlineLevel="0" collapsed="false">
      <c r="A981" s="6"/>
      <c r="B981" s="6"/>
      <c r="C981" s="6"/>
      <c r="D981" s="6"/>
      <c r="E981" s="7"/>
    </row>
    <row r="982" customFormat="false" ht="14.25" hidden="false" customHeight="true" outlineLevel="0" collapsed="false">
      <c r="A982" s="6"/>
      <c r="B982" s="6"/>
      <c r="C982" s="6"/>
      <c r="D982" s="6"/>
      <c r="E982" s="7"/>
    </row>
    <row r="983" customFormat="false" ht="14.25" hidden="false" customHeight="true" outlineLevel="0" collapsed="false">
      <c r="A983" s="6"/>
      <c r="B983" s="6"/>
      <c r="C983" s="6"/>
      <c r="D983" s="6"/>
      <c r="E983" s="7"/>
    </row>
    <row r="984" customFormat="false" ht="14.25" hidden="false" customHeight="true" outlineLevel="0" collapsed="false">
      <c r="A984" s="6"/>
      <c r="B984" s="6"/>
      <c r="C984" s="6"/>
      <c r="D984" s="6"/>
      <c r="E984" s="7"/>
    </row>
    <row r="985" customFormat="false" ht="14.25" hidden="false" customHeight="true" outlineLevel="0" collapsed="false">
      <c r="A985" s="6"/>
      <c r="B985" s="6"/>
      <c r="C985" s="6"/>
      <c r="D985" s="6"/>
      <c r="E985" s="7"/>
    </row>
    <row r="986" customFormat="false" ht="14.25" hidden="false" customHeight="true" outlineLevel="0" collapsed="false">
      <c r="A986" s="6"/>
      <c r="B986" s="6"/>
      <c r="C986" s="6"/>
      <c r="D986" s="6"/>
      <c r="E986" s="7"/>
    </row>
    <row r="987" customFormat="false" ht="14.25" hidden="false" customHeight="true" outlineLevel="0" collapsed="false">
      <c r="A987" s="6"/>
      <c r="B987" s="6"/>
      <c r="C987" s="6"/>
      <c r="D987" s="6"/>
      <c r="E987" s="7"/>
    </row>
    <row r="988" customFormat="false" ht="14.25" hidden="false" customHeight="true" outlineLevel="0" collapsed="false">
      <c r="A988" s="6"/>
      <c r="B988" s="6"/>
      <c r="C988" s="6"/>
      <c r="D988" s="6"/>
      <c r="E988" s="7"/>
    </row>
    <row r="989" customFormat="false" ht="14.25" hidden="false" customHeight="true" outlineLevel="0" collapsed="false">
      <c r="A989" s="6"/>
      <c r="B989" s="6"/>
      <c r="C989" s="6"/>
      <c r="D989" s="6"/>
      <c r="E989" s="7"/>
    </row>
    <row r="990" customFormat="false" ht="14.25" hidden="false" customHeight="true" outlineLevel="0" collapsed="false">
      <c r="A990" s="6"/>
      <c r="B990" s="6"/>
      <c r="C990" s="6"/>
      <c r="D990" s="6"/>
      <c r="E990" s="7"/>
    </row>
    <row r="991" customFormat="false" ht="14.25" hidden="false" customHeight="true" outlineLevel="0" collapsed="false">
      <c r="A991" s="6"/>
      <c r="B991" s="6"/>
      <c r="C991" s="6"/>
      <c r="D991" s="6"/>
      <c r="E991" s="7"/>
    </row>
    <row r="992" customFormat="false" ht="14.25" hidden="false" customHeight="true" outlineLevel="0" collapsed="false">
      <c r="A992" s="6"/>
      <c r="B992" s="6"/>
      <c r="C992" s="6"/>
      <c r="D992" s="6"/>
      <c r="E992" s="7"/>
    </row>
    <row r="993" customFormat="false" ht="14.25" hidden="false" customHeight="true" outlineLevel="0" collapsed="false">
      <c r="A993" s="6"/>
      <c r="B993" s="6"/>
      <c r="C993" s="6"/>
      <c r="D993" s="6"/>
      <c r="E993" s="7"/>
    </row>
    <row r="994" customFormat="false" ht="14.25" hidden="false" customHeight="true" outlineLevel="0" collapsed="false">
      <c r="A994" s="6"/>
      <c r="B994" s="6"/>
      <c r="C994" s="6"/>
      <c r="D994" s="6"/>
      <c r="E994" s="7"/>
    </row>
    <row r="995" customFormat="false" ht="14.25" hidden="false" customHeight="true" outlineLevel="0" collapsed="false">
      <c r="A995" s="6"/>
      <c r="B995" s="6"/>
      <c r="C995" s="6"/>
      <c r="D995" s="6"/>
      <c r="E995" s="7"/>
    </row>
    <row r="996" customFormat="false" ht="14.25" hidden="false" customHeight="true" outlineLevel="0" collapsed="false">
      <c r="A996" s="6"/>
      <c r="B996" s="6"/>
      <c r="C996" s="6"/>
      <c r="D996" s="6"/>
      <c r="E996" s="7"/>
    </row>
    <row r="997" customFormat="false" ht="14.25" hidden="false" customHeight="true" outlineLevel="0" collapsed="false">
      <c r="A997" s="6"/>
      <c r="B997" s="6"/>
      <c r="C997" s="6"/>
      <c r="D997" s="6"/>
      <c r="E997" s="7"/>
    </row>
    <row r="998" customFormat="false" ht="14.25" hidden="false" customHeight="true" outlineLevel="0" collapsed="false">
      <c r="A998" s="6"/>
      <c r="B998" s="6"/>
      <c r="C998" s="6"/>
      <c r="D998" s="6"/>
      <c r="E998" s="7"/>
    </row>
    <row r="999" customFormat="false" ht="14.25" hidden="false" customHeight="true" outlineLevel="0" collapsed="false">
      <c r="A999" s="6"/>
      <c r="B999" s="6"/>
      <c r="C999" s="6"/>
      <c r="D999" s="6"/>
      <c r="E999" s="7"/>
    </row>
    <row r="1000" customFormat="false" ht="14.25" hidden="false" customHeight="true" outlineLevel="0" collapsed="false">
      <c r="A1000" s="6"/>
      <c r="B1000" s="6"/>
      <c r="C1000" s="6"/>
      <c r="D1000" s="6"/>
      <c r="E100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80"/>
  <sheetViews>
    <sheetView showFormulas="false" showGridLines="true" showRowColHeaders="true" showZeros="true" rightToLeft="false" tabSelected="true" showOutlineSymbols="true" defaultGridColor="true" view="normal" topLeftCell="A392" colorId="64" zoomScale="100" zoomScaleNormal="100" zoomScalePageLayoutView="100" workbookViewId="0">
      <selection pane="topLeft" activeCell="T406" activeCellId="0" sqref="T406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4.86"/>
    <col collapsed="false" customWidth="true" hidden="false" outlineLevel="0" max="3" min="3" style="1" width="18.71"/>
    <col collapsed="false" customWidth="true" hidden="false" outlineLevel="0" max="4" min="4" style="1" width="14.14"/>
    <col collapsed="false" customWidth="true" hidden="false" outlineLevel="0" max="5" min="5" style="1" width="13.29"/>
    <col collapsed="false" customWidth="true" hidden="false" outlineLevel="0" max="6" min="6" style="1" width="10.29"/>
    <col collapsed="false" customWidth="true" hidden="false" outlineLevel="0" max="7" min="7" style="1" width="16"/>
    <col collapsed="false" customWidth="true" hidden="false" outlineLevel="0" max="8" min="8" style="1" width="40.84"/>
    <col collapsed="false" customWidth="true" hidden="false" outlineLevel="0" max="9" min="9" style="1" width="15.71"/>
    <col collapsed="false" customWidth="true" hidden="false" outlineLevel="0" max="11" min="10" style="1" width="12.86"/>
    <col collapsed="false" customWidth="true" hidden="false" outlineLevel="0" max="12" min="12" style="1" width="14.57"/>
    <col collapsed="false" customWidth="false" hidden="false" outlineLevel="0" max="13" min="13" style="1" width="14.42"/>
    <col collapsed="false" customWidth="true" hidden="false" outlineLevel="0" max="14" min="14" style="1" width="14"/>
    <col collapsed="false" customWidth="true" hidden="false" outlineLevel="0" max="15" min="15" style="1" width="13.86"/>
    <col collapsed="false" customWidth="true" hidden="false" outlineLevel="0" max="17" min="16" style="1" width="14.14"/>
    <col collapsed="false" customWidth="true" hidden="false" outlineLevel="0" max="18" min="18" style="1" width="18.57"/>
    <col collapsed="false" customWidth="true" hidden="false" outlineLevel="0" max="19" min="19" style="1" width="27.42"/>
    <col collapsed="false" customWidth="true" hidden="false" outlineLevel="0" max="20" min="20" style="1" width="12.15"/>
    <col collapsed="false" customWidth="true" hidden="false" outlineLevel="0" max="21" min="21" style="1" width="12.71"/>
    <col collapsed="false" customWidth="true" hidden="false" outlineLevel="0" max="22" min="22" style="1" width="14.71"/>
    <col collapsed="false" customWidth="true" hidden="false" outlineLevel="0" max="23" min="23" style="1" width="15.29"/>
    <col collapsed="false" customWidth="true" hidden="false" outlineLevel="0" max="24" min="24" style="1" width="14.71"/>
  </cols>
  <sheetData>
    <row r="1" customFormat="false" ht="14.25" hidden="false" customHeight="true" outlineLevel="0" collapsed="false">
      <c r="A1" s="8"/>
      <c r="B1" s="8"/>
      <c r="C1" s="8"/>
      <c r="D1" s="9"/>
      <c r="I1" s="8"/>
      <c r="P1" s="10"/>
      <c r="Q1" s="10"/>
      <c r="R1" s="10"/>
    </row>
    <row r="2" customFormat="false" ht="14.25" hidden="false" customHeight="true" outlineLevel="0" collapsed="false">
      <c r="A2" s="8"/>
      <c r="B2" s="8"/>
      <c r="C2" s="8"/>
      <c r="D2" s="9"/>
      <c r="G2" s="11" t="s">
        <v>2</v>
      </c>
      <c r="I2" s="12" t="s">
        <v>3</v>
      </c>
      <c r="J2" s="12"/>
      <c r="K2" s="13" t="n">
        <v>0.1</v>
      </c>
      <c r="L2" s="13"/>
      <c r="P2" s="10"/>
      <c r="Q2" s="10"/>
      <c r="R2" s="10"/>
      <c r="Z2" s="1"/>
      <c r="AA2" s="1"/>
    </row>
    <row r="3" customFormat="false" ht="14.25" hidden="false" customHeight="true" outlineLevel="0" collapsed="false">
      <c r="C3" s="8"/>
      <c r="G3" s="14" t="s">
        <v>4</v>
      </c>
      <c r="I3" s="15" t="s">
        <v>5</v>
      </c>
      <c r="J3" s="15"/>
      <c r="K3" s="15"/>
      <c r="L3" s="15"/>
      <c r="M3" s="15"/>
      <c r="N3" s="16" t="s">
        <v>6</v>
      </c>
      <c r="O3" s="17" t="s">
        <v>7</v>
      </c>
      <c r="P3" s="18" t="s">
        <v>8</v>
      </c>
      <c r="Q3" s="18" t="s">
        <v>9</v>
      </c>
      <c r="R3" s="19" t="s">
        <v>10</v>
      </c>
      <c r="Z3" s="1"/>
    </row>
    <row r="4" customFormat="false" ht="14.25" hidden="false" customHeight="true" outlineLevel="0" collapsed="false">
      <c r="A4" s="20" t="s">
        <v>11</v>
      </c>
      <c r="B4" s="21" t="s">
        <v>12</v>
      </c>
      <c r="C4" s="18" t="s">
        <v>13</v>
      </c>
      <c r="D4" s="18" t="s">
        <v>14</v>
      </c>
      <c r="E4" s="18" t="s">
        <v>15</v>
      </c>
      <c r="F4" s="18" t="s">
        <v>16</v>
      </c>
      <c r="G4" s="22" t="s">
        <v>17</v>
      </c>
      <c r="H4" s="1" t="s">
        <v>18</v>
      </c>
      <c r="I4" s="23" t="s">
        <v>19</v>
      </c>
      <c r="J4" s="24" t="s">
        <v>20</v>
      </c>
      <c r="K4" s="25" t="s">
        <v>21</v>
      </c>
      <c r="L4" s="25" t="s">
        <v>22</v>
      </c>
      <c r="M4" s="25" t="s">
        <v>23</v>
      </c>
      <c r="N4" s="25" t="s">
        <v>24</v>
      </c>
      <c r="O4" s="25" t="s">
        <v>25</v>
      </c>
      <c r="P4" s="18"/>
      <c r="Q4" s="18"/>
      <c r="R4" s="19"/>
      <c r="S4" s="1" t="s">
        <v>26</v>
      </c>
      <c r="T4" s="26" t="s">
        <v>27</v>
      </c>
      <c r="U4" s="26" t="s">
        <v>28</v>
      </c>
      <c r="V4" s="26" t="s">
        <v>29</v>
      </c>
      <c r="W4" s="26" t="s">
        <v>30</v>
      </c>
      <c r="X4" s="26" t="s">
        <v>31</v>
      </c>
      <c r="Z4" s="1"/>
    </row>
    <row r="5" customFormat="false" ht="14.25" hidden="false" customHeight="true" outlineLevel="0" collapsed="false">
      <c r="A5" s="27" t="s">
        <v>32</v>
      </c>
      <c r="B5" s="28" t="n">
        <v>1</v>
      </c>
      <c r="C5" s="28" t="n">
        <v>5.1</v>
      </c>
      <c r="D5" s="28" t="n">
        <v>3.5</v>
      </c>
      <c r="E5" s="28" t="n">
        <v>1.4</v>
      </c>
      <c r="F5" s="28" t="n">
        <v>0.2</v>
      </c>
      <c r="G5" s="29" t="n">
        <v>0</v>
      </c>
      <c r="H5" s="1" t="n">
        <f aca="false">IF(G5=P5, 1, 0)</f>
        <v>0</v>
      </c>
      <c r="I5" s="30" t="n">
        <v>0.5</v>
      </c>
      <c r="J5" s="30" t="n">
        <v>0.5</v>
      </c>
      <c r="K5" s="30" t="n">
        <v>0.5</v>
      </c>
      <c r="L5" s="30" t="n">
        <v>0.5</v>
      </c>
      <c r="M5" s="30" t="n">
        <v>0.5</v>
      </c>
      <c r="N5" s="31" t="n">
        <f aca="false">I5+J5*C5+K5*D5+L5*E5+F5*M5</f>
        <v>5.6</v>
      </c>
      <c r="O5" s="31" t="n">
        <f aca="false">1/(1+EXP(-N5))</f>
        <v>0.996315760100564</v>
      </c>
      <c r="P5" s="32" t="n">
        <f aca="false">IF(O5&gt;0.5,1,0)</f>
        <v>1</v>
      </c>
      <c r="Q5" s="32" t="n">
        <f aca="false">O5-G5</f>
        <v>0.996315760100564</v>
      </c>
      <c r="R5" s="33" t="n">
        <f aca="false">Q5^2</f>
        <v>0.992645093824765</v>
      </c>
      <c r="T5" s="26" t="n">
        <f aca="false">2*(O5-G5)*(1-O5)*O5</f>
        <v>0.00731428532129697</v>
      </c>
      <c r="U5" s="26" t="n">
        <f aca="false">2*(O5-G5)*(1-O5)*O5*C5</f>
        <v>0.0373028551386145</v>
      </c>
      <c r="V5" s="26" t="n">
        <f aca="false">2*(O5-G5)*(1-O5)*O5*D5</f>
        <v>0.0255999986245394</v>
      </c>
      <c r="W5" s="26" t="n">
        <f aca="false">2*(O5-G5)*(1-O5)*O5*E5</f>
        <v>0.0102399994498158</v>
      </c>
      <c r="X5" s="26" t="n">
        <f aca="false">2*(O5-G5)*(1-O5)*O5*F5</f>
        <v>0.00146285706425939</v>
      </c>
    </row>
    <row r="6" customFormat="false" ht="14.25" hidden="false" customHeight="true" outlineLevel="0" collapsed="false">
      <c r="A6" s="27"/>
      <c r="B6" s="34" t="n">
        <v>2</v>
      </c>
      <c r="C6" s="28" t="n">
        <v>4.9</v>
      </c>
      <c r="D6" s="28" t="n">
        <v>3</v>
      </c>
      <c r="E6" s="28" t="n">
        <v>1.4</v>
      </c>
      <c r="F6" s="28" t="n">
        <v>0.2</v>
      </c>
      <c r="G6" s="35" t="n">
        <v>0</v>
      </c>
      <c r="H6" s="1" t="n">
        <f aca="false">IF(G6=P6, 1, 0)</f>
        <v>0</v>
      </c>
      <c r="I6" s="34" t="n">
        <f aca="false">I5-0.1*T5</f>
        <v>0.49926857146787</v>
      </c>
      <c r="J6" s="36" t="n">
        <f aca="false">J5-0.1*U5</f>
        <v>0.496269714486139</v>
      </c>
      <c r="K6" s="36" t="n">
        <f aca="false">K5-0.1*V5</f>
        <v>0.497440000137546</v>
      </c>
      <c r="L6" s="36" t="n">
        <f aca="false">L5-0.1*W5</f>
        <v>0.498976000055018</v>
      </c>
      <c r="M6" s="36" t="n">
        <f aca="false">M5-0.1*X5</f>
        <v>0.499853714293574</v>
      </c>
      <c r="N6" s="31" t="n">
        <f aca="false">I6+J6*C6+K6*D6+L6*E6+F6*M6</f>
        <v>5.22184731579833</v>
      </c>
      <c r="O6" s="31" t="n">
        <f aca="false">1/(1+EXP(-N6))</f>
        <v>0.994631625688646</v>
      </c>
      <c r="P6" s="32" t="n">
        <f aca="false">IF(O6&gt;0.5,1,0)</f>
        <v>1</v>
      </c>
      <c r="Q6" s="32" t="n">
        <f aca="false">O6-G6</f>
        <v>0.994631625688646</v>
      </c>
      <c r="R6" s="33" t="n">
        <f aca="false">Q6^2</f>
        <v>0.989292070820039</v>
      </c>
      <c r="T6" s="26" t="n">
        <f aca="false">2*(O6-G6)*(1-O6)*O6</f>
        <v>0.0106217802788329</v>
      </c>
      <c r="U6" s="26" t="n">
        <f aca="false">2*(O6-G6)*(1-O6)*O6*C6</f>
        <v>0.0520467233662812</v>
      </c>
      <c r="V6" s="26" t="n">
        <f aca="false">2*(O6-G6)*(1-O6)*O6*D6</f>
        <v>0.0318653408364987</v>
      </c>
      <c r="W6" s="26" t="n">
        <f aca="false">2*(O6-G6)*(1-O6)*O6*E6</f>
        <v>0.0148704923903661</v>
      </c>
      <c r="X6" s="26" t="n">
        <f aca="false">2*(O6-G6)*(1-O6)*O6*F6</f>
        <v>0.00212435605576658</v>
      </c>
    </row>
    <row r="7" customFormat="false" ht="14.25" hidden="false" customHeight="true" outlineLevel="0" collapsed="false">
      <c r="A7" s="27"/>
      <c r="B7" s="28" t="n">
        <v>3</v>
      </c>
      <c r="C7" s="28" t="n">
        <v>4.7</v>
      </c>
      <c r="D7" s="28" t="n">
        <v>3.2</v>
      </c>
      <c r="E7" s="28" t="n">
        <v>1.3</v>
      </c>
      <c r="F7" s="28" t="n">
        <v>0.2</v>
      </c>
      <c r="G7" s="35" t="n">
        <v>0</v>
      </c>
      <c r="H7" s="1" t="n">
        <f aca="false">IF(G7=P7, 1, 0)</f>
        <v>0</v>
      </c>
      <c r="I7" s="34" t="n">
        <f aca="false">I6-0.1*T6</f>
        <v>0.498206393439987</v>
      </c>
      <c r="J7" s="36" t="n">
        <f aca="false">J6-0.1*U6</f>
        <v>0.49106504214951</v>
      </c>
      <c r="K7" s="36" t="n">
        <f aca="false">K6-0.1*V6</f>
        <v>0.494253466053896</v>
      </c>
      <c r="L7" s="36" t="n">
        <f aca="false">L6-0.1*W6</f>
        <v>0.497488950815982</v>
      </c>
      <c r="M7" s="36" t="n">
        <f aca="false">M6-0.1*X6</f>
        <v>0.499641278687997</v>
      </c>
      <c r="N7" s="31" t="n">
        <f aca="false">I7+J7*C7+K7*D7+L7*E7+F7*M7</f>
        <v>5.13448707471353</v>
      </c>
      <c r="O7" s="31" t="n">
        <f aca="false">1/(1+EXP(-N7))</f>
        <v>0.994144417902214</v>
      </c>
      <c r="P7" s="32" t="n">
        <f aca="false">IF(O7&gt;0.5,1,0)</f>
        <v>1</v>
      </c>
      <c r="Q7" s="32" t="n">
        <f aca="false">O7-G7</f>
        <v>0.994144417902214</v>
      </c>
      <c r="R7" s="33" t="n">
        <f aca="false">Q7^2</f>
        <v>0.988323123646132</v>
      </c>
      <c r="T7" s="26" t="n">
        <f aca="false">2*(O7-G7)*(1-O7)*O7</f>
        <v>0.0115744143793007</v>
      </c>
      <c r="U7" s="26" t="n">
        <f aca="false">2*(O7-G7)*(1-O7)*O7*C7</f>
        <v>0.0543997475827134</v>
      </c>
      <c r="V7" s="26" t="n">
        <f aca="false">2*(O7-G7)*(1-O7)*O7*D7</f>
        <v>0.0370381260137623</v>
      </c>
      <c r="W7" s="26" t="n">
        <f aca="false">2*(O7-G7)*(1-O7)*O7*E7</f>
        <v>0.015046738693091</v>
      </c>
      <c r="X7" s="26" t="n">
        <f aca="false">2*(O7-G7)*(1-O7)*O7*F7</f>
        <v>0.00231488287586015</v>
      </c>
    </row>
    <row r="8" customFormat="false" ht="14.25" hidden="false" customHeight="true" outlineLevel="0" collapsed="false">
      <c r="A8" s="27"/>
      <c r="B8" s="34" t="n">
        <v>4</v>
      </c>
      <c r="C8" s="28" t="n">
        <v>4.6</v>
      </c>
      <c r="D8" s="28" t="n">
        <v>3.1</v>
      </c>
      <c r="E8" s="28" t="n">
        <v>1.5</v>
      </c>
      <c r="F8" s="28" t="n">
        <v>0.2</v>
      </c>
      <c r="G8" s="35" t="n">
        <v>0</v>
      </c>
      <c r="H8" s="1" t="n">
        <f aca="false">IF(G8=P8, 1, 0)</f>
        <v>0</v>
      </c>
      <c r="I8" s="34" t="n">
        <f aca="false">I7-0.1*T7</f>
        <v>0.497048952002057</v>
      </c>
      <c r="J8" s="36" t="n">
        <f aca="false">J7-0.1*U7</f>
        <v>0.485625067391239</v>
      </c>
      <c r="K8" s="36" t="n">
        <f aca="false">K7-0.1*V7</f>
        <v>0.49054965345252</v>
      </c>
      <c r="L8" s="36" t="n">
        <f aca="false">L7-0.1*W7</f>
        <v>0.495984276946673</v>
      </c>
      <c r="M8" s="36" t="n">
        <f aca="false">M7-0.1*X7</f>
        <v>0.499409790400411</v>
      </c>
      <c r="N8" s="31" t="n">
        <f aca="false">I8+J8*C8+K8*D8+L8*E8+F8*M8</f>
        <v>5.09548656120466</v>
      </c>
      <c r="O8" s="31" t="n">
        <f aca="false">1/(1+EXP(-N8))</f>
        <v>0.99391295301012</v>
      </c>
      <c r="P8" s="32" t="n">
        <f aca="false">IF(O8&gt;0.5,1,0)</f>
        <v>1</v>
      </c>
      <c r="Q8" s="32" t="n">
        <f aca="false">O8-G8</f>
        <v>0.99391295301012</v>
      </c>
      <c r="R8" s="33" t="n">
        <f aca="false">Q8^2</f>
        <v>0.987862958161298</v>
      </c>
      <c r="T8" s="26" t="n">
        <f aca="false">2*(O8-G8)*(1-O8)*O8</f>
        <v>0.0120263364917788</v>
      </c>
      <c r="U8" s="26" t="n">
        <f aca="false">2*(O8-G8)*(1-O8)*O8*C8</f>
        <v>0.0553211478621825</v>
      </c>
      <c r="V8" s="26" t="n">
        <f aca="false">2*(O8-G8)*(1-O8)*O8*D8</f>
        <v>0.0372816431245143</v>
      </c>
      <c r="W8" s="26" t="n">
        <f aca="false">2*(O8-G8)*(1-O8)*O8*E8</f>
        <v>0.0180395047376682</v>
      </c>
      <c r="X8" s="26" t="n">
        <f aca="false">2*(O8-G8)*(1-O8)*O8*F8</f>
        <v>0.00240526729835576</v>
      </c>
    </row>
    <row r="9" customFormat="false" ht="14.25" hidden="false" customHeight="true" outlineLevel="0" collapsed="false">
      <c r="A9" s="27"/>
      <c r="B9" s="28" t="n">
        <v>5</v>
      </c>
      <c r="C9" s="28" t="n">
        <v>5</v>
      </c>
      <c r="D9" s="28" t="n">
        <v>3.6</v>
      </c>
      <c r="E9" s="28" t="n">
        <v>1.4</v>
      </c>
      <c r="F9" s="28" t="n">
        <v>0.2</v>
      </c>
      <c r="G9" s="35" t="n">
        <v>0</v>
      </c>
      <c r="H9" s="1" t="n">
        <f aca="false">IF(G9=P9, 1, 0)</f>
        <v>0</v>
      </c>
      <c r="I9" s="34" t="n">
        <f aca="false">I8-0.1*T8</f>
        <v>0.495846318352879</v>
      </c>
      <c r="J9" s="36" t="n">
        <f aca="false">J8-0.1*U8</f>
        <v>0.480092952605021</v>
      </c>
      <c r="K9" s="36" t="n">
        <f aca="false">K8-0.1*V8</f>
        <v>0.486821489140069</v>
      </c>
      <c r="L9" s="36" t="n">
        <f aca="false">L8-0.1*W8</f>
        <v>0.494180326472906</v>
      </c>
      <c r="M9" s="36" t="n">
        <f aca="false">M8-0.1*X8</f>
        <v>0.499169263670576</v>
      </c>
      <c r="N9" s="31" t="n">
        <f aca="false">I9+J9*C9+K9*D9+L9*E9+F9*M9</f>
        <v>5.44055475207841</v>
      </c>
      <c r="O9" s="31" t="n">
        <f aca="false">1/(1+EXP(-N9))</f>
        <v>0.995681652403327</v>
      </c>
      <c r="P9" s="32" t="n">
        <f aca="false">IF(O9&gt;0.5,1,0)</f>
        <v>1</v>
      </c>
      <c r="Q9" s="32" t="n">
        <f aca="false">O9-G9</f>
        <v>0.995681652403327</v>
      </c>
      <c r="R9" s="33" t="n">
        <f aca="false">Q9^2</f>
        <v>0.99138195293262</v>
      </c>
      <c r="T9" s="26" t="n">
        <f aca="false">2*(O9-G9)*(1-O9)*O9</f>
        <v>0.008562263747663</v>
      </c>
      <c r="U9" s="26" t="n">
        <f aca="false">2*(O9-G9)*(1-O9)*O9*C9</f>
        <v>0.042811318738315</v>
      </c>
      <c r="V9" s="26" t="n">
        <f aca="false">2*(O9-G9)*(1-O9)*O9*D9</f>
        <v>0.0308241494915868</v>
      </c>
      <c r="W9" s="26" t="n">
        <f aca="false">2*(O9-G9)*(1-O9)*O9*E9</f>
        <v>0.0119871692467282</v>
      </c>
      <c r="X9" s="26" t="n">
        <f aca="false">2*(O9-G9)*(1-O9)*O9*F9</f>
        <v>0.0017124527495326</v>
      </c>
    </row>
    <row r="10" customFormat="false" ht="14.25" hidden="false" customHeight="true" outlineLevel="0" collapsed="false">
      <c r="A10" s="27"/>
      <c r="B10" s="34" t="n">
        <v>6</v>
      </c>
      <c r="C10" s="28" t="n">
        <v>5.4</v>
      </c>
      <c r="D10" s="28" t="n">
        <v>3.9</v>
      </c>
      <c r="E10" s="28" t="n">
        <v>1.7</v>
      </c>
      <c r="F10" s="28" t="n">
        <v>0.4</v>
      </c>
      <c r="G10" s="35" t="n">
        <v>0</v>
      </c>
      <c r="H10" s="1" t="n">
        <f aca="false">IF(G10=P10, 1, 0)</f>
        <v>0</v>
      </c>
      <c r="I10" s="34" t="n">
        <f aca="false">I9-0.1*T9</f>
        <v>0.494990091978113</v>
      </c>
      <c r="J10" s="36" t="n">
        <f aca="false">J9-0.1*U9</f>
        <v>0.475811820731189</v>
      </c>
      <c r="K10" s="36" t="n">
        <f aca="false">K9-0.1*V9</f>
        <v>0.48373907419091</v>
      </c>
      <c r="L10" s="36" t="n">
        <f aca="false">L9-0.1*W9</f>
        <v>0.492981609548233</v>
      </c>
      <c r="M10" s="36" t="n">
        <f aca="false">M9-0.1*X9</f>
        <v>0.498998018395623</v>
      </c>
      <c r="N10" s="31" t="n">
        <f aca="false">I10+J10*C10+K10*D10+L10*E10+F10*M10</f>
        <v>5.98862425686133</v>
      </c>
      <c r="O10" s="31" t="n">
        <f aca="false">1/(1+EXP(-N10))</f>
        <v>0.997499159066131</v>
      </c>
      <c r="P10" s="32" t="n">
        <f aca="false">IF(O10&gt;0.5,1,0)</f>
        <v>1</v>
      </c>
      <c r="Q10" s="32" t="n">
        <f aca="false">O10-G10</f>
        <v>0.997499159066131</v>
      </c>
      <c r="R10" s="33" t="n">
        <f aca="false">Q10^2</f>
        <v>0.995004572337639</v>
      </c>
      <c r="T10" s="26" t="n">
        <f aca="false">2*(O10-G10)*(1-O10)*O10</f>
        <v>0.00497669632777743</v>
      </c>
      <c r="U10" s="26" t="n">
        <f aca="false">2*(O10-G10)*(1-O10)*O10*C10</f>
        <v>0.0268741601699981</v>
      </c>
      <c r="V10" s="26" t="n">
        <f aca="false">2*(O10-G10)*(1-O10)*O10*D10</f>
        <v>0.019409115678332</v>
      </c>
      <c r="W10" s="26" t="n">
        <f aca="false">2*(O10-G10)*(1-O10)*O10*E10</f>
        <v>0.00846038375722164</v>
      </c>
      <c r="X10" s="26" t="n">
        <f aca="false">2*(O10-G10)*(1-O10)*O10*F10</f>
        <v>0.00199067853111097</v>
      </c>
    </row>
    <row r="11" customFormat="false" ht="14.25" hidden="false" customHeight="true" outlineLevel="0" collapsed="false">
      <c r="A11" s="27"/>
      <c r="B11" s="28" t="n">
        <v>7</v>
      </c>
      <c r="C11" s="28" t="n">
        <v>4.6</v>
      </c>
      <c r="D11" s="28" t="n">
        <v>3.4</v>
      </c>
      <c r="E11" s="28" t="n">
        <v>1.4</v>
      </c>
      <c r="F11" s="28" t="n">
        <v>0.3</v>
      </c>
      <c r="G11" s="35" t="n">
        <v>0</v>
      </c>
      <c r="H11" s="1" t="n">
        <f aca="false">IF(G11=P11, 1, 0)</f>
        <v>0</v>
      </c>
      <c r="I11" s="34" t="n">
        <f aca="false">I10-0.1*T10</f>
        <v>0.494492422345335</v>
      </c>
      <c r="J11" s="36" t="n">
        <f aca="false">J10-0.1*U10</f>
        <v>0.47312440471419</v>
      </c>
      <c r="K11" s="36" t="n">
        <f aca="false">K10-0.1*V10</f>
        <v>0.481798162623077</v>
      </c>
      <c r="L11" s="36" t="n">
        <f aca="false">L10-0.1*W10</f>
        <v>0.492135571172511</v>
      </c>
      <c r="M11" s="36" t="n">
        <f aca="false">M10-0.1*X10</f>
        <v>0.498798950542511</v>
      </c>
      <c r="N11" s="31" t="n">
        <f aca="false">I11+J11*C11+K11*D11+L11*E11+F11*M11</f>
        <v>5.14760792175334</v>
      </c>
      <c r="O11" s="31" t="n">
        <f aca="false">1/(1+EXP(-N11))</f>
        <v>0.994220305103268</v>
      </c>
      <c r="P11" s="32" t="n">
        <f aca="false">IF(O11&gt;0.5,1,0)</f>
        <v>1</v>
      </c>
      <c r="Q11" s="32" t="n">
        <f aca="false">O11-G11</f>
        <v>0.994220305103268</v>
      </c>
      <c r="R11" s="33" t="n">
        <f aca="false">Q11^2</f>
        <v>0.988474015079634</v>
      </c>
      <c r="T11" s="26" t="n">
        <f aca="false">2*(O11-G11)*(1-O11)*O11</f>
        <v>0.0114261564410168</v>
      </c>
      <c r="U11" s="26" t="n">
        <f aca="false">2*(O11-G11)*(1-O11)*O11*C11</f>
        <v>0.0525603196286774</v>
      </c>
      <c r="V11" s="26" t="n">
        <f aca="false">2*(O11-G11)*(1-O11)*O11*D11</f>
        <v>0.0388489318994572</v>
      </c>
      <c r="W11" s="26" t="n">
        <f aca="false">2*(O11-G11)*(1-O11)*O11*E11</f>
        <v>0.0159966190174236</v>
      </c>
      <c r="X11" s="26" t="n">
        <f aca="false">2*(O11-G11)*(1-O11)*O11*F11</f>
        <v>0.00342784693230505</v>
      </c>
    </row>
    <row r="12" customFormat="false" ht="14.25" hidden="false" customHeight="true" outlineLevel="0" collapsed="false">
      <c r="A12" s="27"/>
      <c r="B12" s="34" t="n">
        <v>8</v>
      </c>
      <c r="C12" s="28" t="n">
        <v>5</v>
      </c>
      <c r="D12" s="28" t="n">
        <v>3.4</v>
      </c>
      <c r="E12" s="28" t="n">
        <v>1.5</v>
      </c>
      <c r="F12" s="28" t="n">
        <v>0.2</v>
      </c>
      <c r="G12" s="35" t="n">
        <v>0</v>
      </c>
      <c r="H12" s="1" t="n">
        <f aca="false">IF(G12=P12, 1, 0)</f>
        <v>0</v>
      </c>
      <c r="I12" s="34" t="n">
        <f aca="false">I11-0.1*T11</f>
        <v>0.493349806701233</v>
      </c>
      <c r="J12" s="36" t="n">
        <f aca="false">J11-0.1*U11</f>
        <v>0.467868372751322</v>
      </c>
      <c r="K12" s="36" t="n">
        <f aca="false">K11-0.1*V11</f>
        <v>0.477913269433131</v>
      </c>
      <c r="L12" s="36" t="n">
        <f aca="false">L11-0.1*W11</f>
        <v>0.490535909270769</v>
      </c>
      <c r="M12" s="36" t="n">
        <f aca="false">M11-0.1*X11</f>
        <v>0.498456165849281</v>
      </c>
      <c r="N12" s="31" t="n">
        <f aca="false">I12+J12*C12+K12*D12+L12*E12+F12*M12</f>
        <v>5.2930918836065</v>
      </c>
      <c r="O12" s="31" t="n">
        <f aca="false">1/(1+EXP(-N12))</f>
        <v>0.994998940506265</v>
      </c>
      <c r="P12" s="32" t="n">
        <f aca="false">IF(O12&gt;0.5,1,0)</f>
        <v>1</v>
      </c>
      <c r="Q12" s="32" t="n">
        <f aca="false">O12-G12</f>
        <v>0.994998940506265</v>
      </c>
      <c r="R12" s="33" t="n">
        <f aca="false">Q12^2</f>
        <v>0.99002289160859</v>
      </c>
      <c r="T12" s="26" t="n">
        <f aca="false">2*(O12-G12)*(1-O12)*O12</f>
        <v>0.00990232676218796</v>
      </c>
      <c r="U12" s="26" t="n">
        <f aca="false">2*(O12-G12)*(1-O12)*O12*C12</f>
        <v>0.0495116338109398</v>
      </c>
      <c r="V12" s="26" t="n">
        <f aca="false">2*(O12-G12)*(1-O12)*O12*D12</f>
        <v>0.0336679109914391</v>
      </c>
      <c r="W12" s="26" t="n">
        <f aca="false">2*(O12-G12)*(1-O12)*O12*E12</f>
        <v>0.0148534901432819</v>
      </c>
      <c r="X12" s="26" t="n">
        <f aca="false">2*(O12-G12)*(1-O12)*O12*F12</f>
        <v>0.00198046535243759</v>
      </c>
    </row>
    <row r="13" customFormat="false" ht="14.25" hidden="false" customHeight="true" outlineLevel="0" collapsed="false">
      <c r="A13" s="27"/>
      <c r="B13" s="28" t="n">
        <v>9</v>
      </c>
      <c r="C13" s="28" t="n">
        <v>4.4</v>
      </c>
      <c r="D13" s="28" t="n">
        <v>2.9</v>
      </c>
      <c r="E13" s="28" t="n">
        <v>1.4</v>
      </c>
      <c r="F13" s="28" t="n">
        <v>0.2</v>
      </c>
      <c r="G13" s="35" t="n">
        <v>0</v>
      </c>
      <c r="H13" s="1" t="n">
        <f aca="false">IF(G13=P13, 1, 0)</f>
        <v>0</v>
      </c>
      <c r="I13" s="34" t="n">
        <f aca="false">I12-0.1*T12</f>
        <v>0.492359574025015</v>
      </c>
      <c r="J13" s="36" t="n">
        <f aca="false">J12-0.1*U12</f>
        <v>0.462917209370228</v>
      </c>
      <c r="K13" s="36" t="n">
        <f aca="false">K12-0.1*V12</f>
        <v>0.474546478333987</v>
      </c>
      <c r="L13" s="36" t="n">
        <f aca="false">L12-0.1*W12</f>
        <v>0.48905056025644</v>
      </c>
      <c r="M13" s="36" t="n">
        <f aca="false">M12-0.1*X12</f>
        <v>0.498258119314037</v>
      </c>
      <c r="N13" s="31" t="n">
        <f aca="false">I13+J13*C13+K13*D13+L13*E13+F13*M13</f>
        <v>4.6897024906444</v>
      </c>
      <c r="O13" s="31" t="n">
        <f aca="false">1/(1+EXP(-N13))</f>
        <v>0.990894256807835</v>
      </c>
      <c r="P13" s="32" t="n">
        <f aca="false">IF(O13&gt;0.5,1,0)</f>
        <v>1</v>
      </c>
      <c r="Q13" s="32" t="n">
        <f aca="false">O13-G13</f>
        <v>0.990894256807835</v>
      </c>
      <c r="R13" s="33" t="n">
        <f aca="false">Q13^2</f>
        <v>0.981871428174751</v>
      </c>
      <c r="T13" s="26" t="n">
        <f aca="false">2*(O13-G13)*(1-O13)*O13</f>
        <v>0.0178813381453675</v>
      </c>
      <c r="U13" s="26" t="n">
        <f aca="false">2*(O13-G13)*(1-O13)*O13*C13</f>
        <v>0.0786778878396169</v>
      </c>
      <c r="V13" s="26" t="n">
        <f aca="false">2*(O13-G13)*(1-O13)*O13*D13</f>
        <v>0.0518558806215657</v>
      </c>
      <c r="W13" s="26" t="n">
        <f aca="false">2*(O13-G13)*(1-O13)*O13*E13</f>
        <v>0.0250338734035145</v>
      </c>
      <c r="X13" s="26" t="n">
        <f aca="false">2*(O13-G13)*(1-O13)*O13*F13</f>
        <v>0.00357626762907349</v>
      </c>
    </row>
    <row r="14" customFormat="false" ht="14.25" hidden="false" customHeight="true" outlineLevel="0" collapsed="false">
      <c r="A14" s="27"/>
      <c r="B14" s="34" t="n">
        <v>10</v>
      </c>
      <c r="C14" s="28" t="n">
        <v>4.9</v>
      </c>
      <c r="D14" s="28" t="n">
        <v>3.1</v>
      </c>
      <c r="E14" s="28" t="n">
        <v>1.5</v>
      </c>
      <c r="F14" s="28" t="n">
        <v>0.1</v>
      </c>
      <c r="G14" s="35" t="n">
        <v>0</v>
      </c>
      <c r="H14" s="1" t="n">
        <f aca="false">IF(G14=P14, 1, 0)</f>
        <v>0</v>
      </c>
      <c r="I14" s="34" t="n">
        <f aca="false">I13-0.1*T13</f>
        <v>0.490571440210478</v>
      </c>
      <c r="J14" s="36" t="n">
        <f aca="false">J13-0.1*U13</f>
        <v>0.455049420586266</v>
      </c>
      <c r="K14" s="36" t="n">
        <f aca="false">K13-0.1*V13</f>
        <v>0.46936089027183</v>
      </c>
      <c r="L14" s="36" t="n">
        <f aca="false">L13-0.1*W13</f>
        <v>0.486547172916089</v>
      </c>
      <c r="M14" s="36" t="n">
        <f aca="false">M13-0.1*X13</f>
        <v>0.49790049255113</v>
      </c>
      <c r="N14" s="31" t="n">
        <f aca="false">I14+J14*C14+K14*D14+L14*E14+F14*M14</f>
        <v>4.9549431695551</v>
      </c>
      <c r="O14" s="31" t="n">
        <f aca="false">1/(1+EXP(-N14))</f>
        <v>0.993000852520331</v>
      </c>
      <c r="P14" s="32" t="n">
        <f aca="false">IF(O14&gt;0.5,1,0)</f>
        <v>1</v>
      </c>
      <c r="Q14" s="32" t="n">
        <f aca="false">O14-G14</f>
        <v>0.993000852520331</v>
      </c>
      <c r="R14" s="33" t="n">
        <f aca="false">Q14^2</f>
        <v>0.986050693106105</v>
      </c>
      <c r="T14" s="26" t="n">
        <f aca="false">2*(O14-G14)*(1-O14)*O14</f>
        <v>0.0138030284469585</v>
      </c>
      <c r="U14" s="26" t="n">
        <f aca="false">2*(O14-G14)*(1-O14)*O14*C14</f>
        <v>0.0676348393900967</v>
      </c>
      <c r="V14" s="26" t="n">
        <f aca="false">2*(O14-G14)*(1-O14)*O14*D14</f>
        <v>0.0427893881855714</v>
      </c>
      <c r="W14" s="26" t="n">
        <f aca="false">2*(O14-G14)*(1-O14)*O14*E14</f>
        <v>0.0207045426704378</v>
      </c>
      <c r="X14" s="26" t="n">
        <f aca="false">2*(O14-G14)*(1-O14)*O14*F14</f>
        <v>0.00138030284469585</v>
      </c>
    </row>
    <row r="15" customFormat="false" ht="14.25" hidden="false" customHeight="true" outlineLevel="0" collapsed="false">
      <c r="A15" s="27"/>
      <c r="B15" s="28" t="n">
        <v>11</v>
      </c>
      <c r="C15" s="28" t="n">
        <v>5.4</v>
      </c>
      <c r="D15" s="28" t="n">
        <v>3.7</v>
      </c>
      <c r="E15" s="28" t="n">
        <v>1.5</v>
      </c>
      <c r="F15" s="28" t="n">
        <v>0.2</v>
      </c>
      <c r="G15" s="35" t="n">
        <v>0</v>
      </c>
      <c r="H15" s="1" t="n">
        <f aca="false">IF(G15=P15, 1, 0)</f>
        <v>0</v>
      </c>
      <c r="I15" s="34" t="n">
        <f aca="false">I14-0.1*T14</f>
        <v>0.489191137365782</v>
      </c>
      <c r="J15" s="36" t="n">
        <f aca="false">J14-0.1*U14</f>
        <v>0.448285936647257</v>
      </c>
      <c r="K15" s="36" t="n">
        <f aca="false">K14-0.1*V14</f>
        <v>0.465081951453273</v>
      </c>
      <c r="L15" s="36" t="n">
        <f aca="false">L14-0.1*W14</f>
        <v>0.484476718649045</v>
      </c>
      <c r="M15" s="36" t="n">
        <f aca="false">M14-0.1*X14</f>
        <v>0.49776246226666</v>
      </c>
      <c r="N15" s="31" t="n">
        <f aca="false">I15+J15*C15+K15*D15+L15*E15+F15*M15</f>
        <v>5.45700598606498</v>
      </c>
      <c r="O15" s="31" t="n">
        <f aca="false">1/(1+EXP(-N15))</f>
        <v>0.995751814044646</v>
      </c>
      <c r="P15" s="32" t="n">
        <f aca="false">IF(O15&gt;0.5,1,0)</f>
        <v>1</v>
      </c>
      <c r="Q15" s="32" t="n">
        <f aca="false">O15-G15</f>
        <v>0.995751814044646</v>
      </c>
      <c r="R15" s="33" t="n">
        <f aca="false">Q15^2</f>
        <v>0.991521675173203</v>
      </c>
      <c r="T15" s="26" t="n">
        <f aca="false">2*(O15-G15)*(1-O15)*O15</f>
        <v>0.00842433690979959</v>
      </c>
      <c r="U15" s="26" t="n">
        <f aca="false">2*(O15-G15)*(1-O15)*O15*C15</f>
        <v>0.0454914193129178</v>
      </c>
      <c r="V15" s="26" t="n">
        <f aca="false">2*(O15-G15)*(1-O15)*O15*D15</f>
        <v>0.0311700465662585</v>
      </c>
      <c r="W15" s="26" t="n">
        <f aca="false">2*(O15-G15)*(1-O15)*O15*E15</f>
        <v>0.0126365053646994</v>
      </c>
      <c r="X15" s="26" t="n">
        <f aca="false">2*(O15-G15)*(1-O15)*O15*F15</f>
        <v>0.00168486738195992</v>
      </c>
    </row>
    <row r="16" customFormat="false" ht="14.25" hidden="false" customHeight="true" outlineLevel="0" collapsed="false">
      <c r="A16" s="27"/>
      <c r="B16" s="34" t="n">
        <v>12</v>
      </c>
      <c r="C16" s="28" t="n">
        <v>4.8</v>
      </c>
      <c r="D16" s="28" t="n">
        <v>3.4</v>
      </c>
      <c r="E16" s="28" t="n">
        <v>1.6</v>
      </c>
      <c r="F16" s="28" t="n">
        <v>0.2</v>
      </c>
      <c r="G16" s="35" t="n">
        <v>0</v>
      </c>
      <c r="H16" s="1" t="n">
        <f aca="false">IF(G16=P16, 1, 0)</f>
        <v>0</v>
      </c>
      <c r="I16" s="34" t="n">
        <f aca="false">I15-0.1*T15</f>
        <v>0.488348703674802</v>
      </c>
      <c r="J16" s="36" t="n">
        <f aca="false">J15-0.1*U15</f>
        <v>0.443736794715965</v>
      </c>
      <c r="K16" s="36" t="n">
        <f aca="false">K15-0.1*V15</f>
        <v>0.461964946796647</v>
      </c>
      <c r="L16" s="36" t="n">
        <f aca="false">L15-0.1*W15</f>
        <v>0.483213068112575</v>
      </c>
      <c r="M16" s="36" t="n">
        <f aca="false">M15-0.1*X15</f>
        <v>0.497593975528464</v>
      </c>
      <c r="N16" s="31" t="n">
        <f aca="false">I16+J16*C16+K16*D16+L16*E16+F16*M16</f>
        <v>5.06162584150585</v>
      </c>
      <c r="O16" s="31" t="n">
        <f aca="false">1/(1+EXP(-N16))</f>
        <v>0.993704631717209</v>
      </c>
      <c r="P16" s="32" t="n">
        <f aca="false">IF(O16&gt;0.5,1,0)</f>
        <v>1</v>
      </c>
      <c r="Q16" s="32" t="n">
        <f aca="false">O16-G16</f>
        <v>0.993704631717209</v>
      </c>
      <c r="R16" s="33" t="n">
        <f aca="false">Q16^2</f>
        <v>0.987448895096235</v>
      </c>
      <c r="T16" s="26" t="n">
        <f aca="false">2*(O16-G16)*(1-O16)*O16</f>
        <v>0.0124327089101312</v>
      </c>
      <c r="U16" s="26" t="n">
        <f aca="false">2*(O16-G16)*(1-O16)*O16*C16</f>
        <v>0.0596770027686299</v>
      </c>
      <c r="V16" s="26" t="n">
        <f aca="false">2*(O16-G16)*(1-O16)*O16*D16</f>
        <v>0.0422712102944462</v>
      </c>
      <c r="W16" s="26" t="n">
        <f aca="false">2*(O16-G16)*(1-O16)*O16*E16</f>
        <v>0.01989233425621</v>
      </c>
      <c r="X16" s="26" t="n">
        <f aca="false">2*(O16-G16)*(1-O16)*O16*F16</f>
        <v>0.00248654178202625</v>
      </c>
    </row>
    <row r="17" customFormat="false" ht="14.25" hidden="false" customHeight="true" outlineLevel="0" collapsed="false">
      <c r="A17" s="27"/>
      <c r="B17" s="28" t="n">
        <v>13</v>
      </c>
      <c r="C17" s="28" t="n">
        <v>4.8</v>
      </c>
      <c r="D17" s="28" t="n">
        <v>3</v>
      </c>
      <c r="E17" s="28" t="n">
        <v>1.4</v>
      </c>
      <c r="F17" s="28" t="n">
        <v>0.1</v>
      </c>
      <c r="G17" s="35" t="n">
        <v>0</v>
      </c>
      <c r="H17" s="1" t="n">
        <f aca="false">IF(G17=P17, 1, 0)</f>
        <v>0</v>
      </c>
      <c r="I17" s="34" t="n">
        <f aca="false">I16-0.1*T16</f>
        <v>0.487105432783789</v>
      </c>
      <c r="J17" s="36" t="n">
        <f aca="false">J16-0.1*U16</f>
        <v>0.437769094439102</v>
      </c>
      <c r="K17" s="36" t="n">
        <f aca="false">K16-0.1*V16</f>
        <v>0.457737825767203</v>
      </c>
      <c r="L17" s="36" t="n">
        <f aca="false">L16-0.1*W16</f>
        <v>0.481223834686954</v>
      </c>
      <c r="M17" s="36" t="n">
        <f aca="false">M16-0.1*X16</f>
        <v>0.497345321350262</v>
      </c>
      <c r="N17" s="31" t="n">
        <f aca="false">I17+J17*C17+K17*D17+L17*E17+F17*M17</f>
        <v>4.68505846408985</v>
      </c>
      <c r="O17" s="31" t="n">
        <f aca="false">1/(1+EXP(-N17))</f>
        <v>0.990852258883788</v>
      </c>
      <c r="P17" s="32" t="n">
        <f aca="false">IF(O17&gt;0.5,1,0)</f>
        <v>1</v>
      </c>
      <c r="Q17" s="32" t="n">
        <f aca="false">O17-G17</f>
        <v>0.990852258883788</v>
      </c>
      <c r="R17" s="33" t="n">
        <f aca="false">Q17^2</f>
        <v>0.981788198935106</v>
      </c>
      <c r="T17" s="26" t="n">
        <f aca="false">2*(O17-G17)*(1-O17)*O17</f>
        <v>0.0179622885496201</v>
      </c>
      <c r="U17" s="26" t="n">
        <f aca="false">2*(O17-G17)*(1-O17)*O17*C17</f>
        <v>0.0862189850381764</v>
      </c>
      <c r="V17" s="26" t="n">
        <f aca="false">2*(O17-G17)*(1-O17)*O17*D17</f>
        <v>0.0538868656488603</v>
      </c>
      <c r="W17" s="26" t="n">
        <f aca="false">2*(O17-G17)*(1-O17)*O17*E17</f>
        <v>0.0251472039694681</v>
      </c>
      <c r="X17" s="26" t="n">
        <f aca="false">2*(O17-G17)*(1-O17)*O17*F17</f>
        <v>0.00179622885496201</v>
      </c>
    </row>
    <row r="18" customFormat="false" ht="14.25" hidden="false" customHeight="true" outlineLevel="0" collapsed="false">
      <c r="A18" s="27"/>
      <c r="B18" s="34" t="n">
        <v>14</v>
      </c>
      <c r="C18" s="28" t="n">
        <v>4.3</v>
      </c>
      <c r="D18" s="28" t="n">
        <v>3</v>
      </c>
      <c r="E18" s="28" t="n">
        <v>1.1</v>
      </c>
      <c r="F18" s="28" t="n">
        <v>0.1</v>
      </c>
      <c r="G18" s="35" t="n">
        <v>0</v>
      </c>
      <c r="H18" s="1" t="n">
        <f aca="false">IF(G18=P18, 1, 0)</f>
        <v>0</v>
      </c>
      <c r="I18" s="34" t="n">
        <f aca="false">I17-0.1*T17</f>
        <v>0.485309203928827</v>
      </c>
      <c r="J18" s="36" t="n">
        <f aca="false">J17-0.1*U17</f>
        <v>0.429147195935284</v>
      </c>
      <c r="K18" s="36" t="n">
        <f aca="false">K17-0.1*V17</f>
        <v>0.452349139202317</v>
      </c>
      <c r="L18" s="36" t="n">
        <f aca="false">L17-0.1*W17</f>
        <v>0.478709114290007</v>
      </c>
      <c r="M18" s="36" t="n">
        <f aca="false">M17-0.1*X17</f>
        <v>0.497165698464765</v>
      </c>
      <c r="N18" s="31" t="n">
        <f aca="false">I18+J18*C18+K18*D18+L18*E18+F18*M18</f>
        <v>4.26398615962298</v>
      </c>
      <c r="O18" s="31" t="n">
        <f aca="false">1/(1+EXP(-N18))</f>
        <v>0.986128990585242</v>
      </c>
      <c r="P18" s="32" t="n">
        <f aca="false">IF(O18&gt;0.5,1,0)</f>
        <v>1</v>
      </c>
      <c r="Q18" s="32" t="n">
        <f aca="false">O18-G18</f>
        <v>0.986128990585242</v>
      </c>
      <c r="R18" s="33" t="n">
        <f aca="false">Q18^2</f>
        <v>0.972450386072667</v>
      </c>
      <c r="T18" s="26" t="n">
        <f aca="false">2*(O18-G18)*(1-O18)*O18</f>
        <v>0.026977736921199</v>
      </c>
      <c r="U18" s="26" t="n">
        <f aca="false">2*(O18-G18)*(1-O18)*O18*C18</f>
        <v>0.116004268761156</v>
      </c>
      <c r="V18" s="26" t="n">
        <f aca="false">2*(O18-G18)*(1-O18)*O18*D18</f>
        <v>0.080933210763597</v>
      </c>
      <c r="W18" s="26" t="n">
        <f aca="false">2*(O18-G18)*(1-O18)*O18*E18</f>
        <v>0.0296755106133189</v>
      </c>
      <c r="X18" s="26" t="n">
        <f aca="false">2*(O18-G18)*(1-O18)*O18*F18</f>
        <v>0.0026977736921199</v>
      </c>
    </row>
    <row r="19" customFormat="false" ht="14.25" hidden="false" customHeight="true" outlineLevel="0" collapsed="false">
      <c r="A19" s="27"/>
      <c r="B19" s="28" t="n">
        <v>15</v>
      </c>
      <c r="C19" s="28" t="n">
        <v>5.8</v>
      </c>
      <c r="D19" s="28" t="n">
        <v>4</v>
      </c>
      <c r="E19" s="28" t="n">
        <v>1.2</v>
      </c>
      <c r="F19" s="28" t="n">
        <v>0.2</v>
      </c>
      <c r="G19" s="35" t="n">
        <v>0</v>
      </c>
      <c r="H19" s="1" t="n">
        <f aca="false">IF(G19=P19, 1, 0)</f>
        <v>0</v>
      </c>
      <c r="I19" s="34" t="n">
        <f aca="false">I18-0.1*T18</f>
        <v>0.482611430236707</v>
      </c>
      <c r="J19" s="36" t="n">
        <f aca="false">J18-0.1*U18</f>
        <v>0.417546769059169</v>
      </c>
      <c r="K19" s="36" t="n">
        <f aca="false">K18-0.1*V18</f>
        <v>0.444255818125957</v>
      </c>
      <c r="L19" s="36" t="n">
        <f aca="false">L18-0.1*W18</f>
        <v>0.475741563228676</v>
      </c>
      <c r="M19" s="36" t="n">
        <f aca="false">M18-0.1*X18</f>
        <v>0.496895921095553</v>
      </c>
      <c r="N19" s="31" t="n">
        <f aca="false">I19+J19*C19+K19*D19+L19*E19+F19*M19</f>
        <v>5.35167502337723</v>
      </c>
      <c r="O19" s="31" t="n">
        <f aca="false">1/(1+EXP(-N19))</f>
        <v>0.995282159137259</v>
      </c>
      <c r="P19" s="32" t="n">
        <f aca="false">IF(O19&gt;0.5,1,0)</f>
        <v>1</v>
      </c>
      <c r="Q19" s="32" t="n">
        <f aca="false">O19-G19</f>
        <v>0.995282159137259</v>
      </c>
      <c r="R19" s="33" t="n">
        <f aca="false">Q19^2</f>
        <v>0.990586576296924</v>
      </c>
      <c r="T19" s="26" t="n">
        <f aca="false">2*(O19-G19)*(1-O19)*O19</f>
        <v>0.0093468596554726</v>
      </c>
      <c r="U19" s="26" t="n">
        <f aca="false">2*(O19-G19)*(1-O19)*O19*C19</f>
        <v>0.0542117860017411</v>
      </c>
      <c r="V19" s="26" t="n">
        <f aca="false">2*(O19-G19)*(1-O19)*O19*D19</f>
        <v>0.0373874386218904</v>
      </c>
      <c r="W19" s="26" t="n">
        <f aca="false">2*(O19-G19)*(1-O19)*O19*E19</f>
        <v>0.0112162315865671</v>
      </c>
      <c r="X19" s="26" t="n">
        <f aca="false">2*(O19-G19)*(1-O19)*O19*F19</f>
        <v>0.00186937193109452</v>
      </c>
    </row>
    <row r="20" customFormat="false" ht="14.25" hidden="false" customHeight="true" outlineLevel="0" collapsed="false">
      <c r="A20" s="27"/>
      <c r="B20" s="34" t="n">
        <v>16</v>
      </c>
      <c r="C20" s="28" t="n">
        <v>5.7</v>
      </c>
      <c r="D20" s="28" t="n">
        <v>4.4</v>
      </c>
      <c r="E20" s="28" t="n">
        <v>1.5</v>
      </c>
      <c r="F20" s="28" t="n">
        <v>0.4</v>
      </c>
      <c r="G20" s="35" t="n">
        <v>0</v>
      </c>
      <c r="H20" s="1" t="n">
        <f aca="false">IF(G20=P20, 1, 0)</f>
        <v>0</v>
      </c>
      <c r="I20" s="34" t="n">
        <f aca="false">I19-0.1*T19</f>
        <v>0.48167674427116</v>
      </c>
      <c r="J20" s="36" t="n">
        <f aca="false">J19-0.1*U19</f>
        <v>0.412125590458994</v>
      </c>
      <c r="K20" s="36" t="n">
        <f aca="false">K19-0.1*V19</f>
        <v>0.440517074263768</v>
      </c>
      <c r="L20" s="36" t="n">
        <f aca="false">L19-0.1*W19</f>
        <v>0.474619940070019</v>
      </c>
      <c r="M20" s="36" t="n">
        <f aca="false">M19-0.1*X19</f>
        <v>0.496708983902444</v>
      </c>
      <c r="N20" s="31" t="n">
        <f aca="false">I20+J20*C20+K20*D20+L20*E20+F20*M20</f>
        <v>5.67968124031401</v>
      </c>
      <c r="O20" s="31" t="n">
        <f aca="false">1/(1+EXP(-N20))</f>
        <v>0.996596973411929</v>
      </c>
      <c r="P20" s="32" t="n">
        <f aca="false">IF(O20&gt;0.5,1,0)</f>
        <v>1</v>
      </c>
      <c r="Q20" s="32" t="n">
        <f aca="false">O20-G20</f>
        <v>0.996596973411929</v>
      </c>
      <c r="R20" s="33" t="n">
        <f aca="false">Q20^2</f>
        <v>0.993205527413818</v>
      </c>
      <c r="T20" s="26" t="n">
        <f aca="false">2*(O20-G20)*(1-O20)*O20</f>
        <v>0.00675980963441597</v>
      </c>
      <c r="U20" s="26" t="n">
        <f aca="false">2*(O20-G20)*(1-O20)*O20*C20</f>
        <v>0.038530914916171</v>
      </c>
      <c r="V20" s="26" t="n">
        <f aca="false">2*(O20-G20)*(1-O20)*O20*D20</f>
        <v>0.0297431623914303</v>
      </c>
      <c r="W20" s="26" t="n">
        <f aca="false">2*(O20-G20)*(1-O20)*O20*E20</f>
        <v>0.010139714451624</v>
      </c>
      <c r="X20" s="26" t="n">
        <f aca="false">2*(O20-G20)*(1-O20)*O20*F20</f>
        <v>0.00270392385376639</v>
      </c>
    </row>
    <row r="21" customFormat="false" ht="14.25" hidden="false" customHeight="true" outlineLevel="0" collapsed="false">
      <c r="A21" s="27"/>
      <c r="B21" s="28" t="n">
        <v>17</v>
      </c>
      <c r="C21" s="28" t="n">
        <v>5.4</v>
      </c>
      <c r="D21" s="28" t="n">
        <v>3.9</v>
      </c>
      <c r="E21" s="28" t="n">
        <v>1.3</v>
      </c>
      <c r="F21" s="28" t="n">
        <v>0.4</v>
      </c>
      <c r="G21" s="35" t="n">
        <v>0</v>
      </c>
      <c r="H21" s="1" t="n">
        <f aca="false">IF(G21=P21, 1, 0)</f>
        <v>0</v>
      </c>
      <c r="I21" s="34" t="n">
        <f aca="false">I20-0.1*T20</f>
        <v>0.481000763307718</v>
      </c>
      <c r="J21" s="36" t="n">
        <f aca="false">J20-0.1*U20</f>
        <v>0.408272498967377</v>
      </c>
      <c r="K21" s="36" t="n">
        <f aca="false">K20-0.1*V20</f>
        <v>0.437542758024625</v>
      </c>
      <c r="L21" s="36" t="n">
        <f aca="false">L20-0.1*W20</f>
        <v>0.473605968624856</v>
      </c>
      <c r="M21" s="36" t="n">
        <f aca="false">M20-0.1*X20</f>
        <v>0.496438591517067</v>
      </c>
      <c r="N21" s="31" t="n">
        <f aca="false">I21+J21*C21+K21*D21+L21*E21+F21*M21</f>
        <v>5.20635220984673</v>
      </c>
      <c r="O21" s="31" t="n">
        <f aca="false">1/(1+EXP(-N21))</f>
        <v>0.994548251376857</v>
      </c>
      <c r="P21" s="32" t="n">
        <f aca="false">IF(O21&gt;0.5,1,0)</f>
        <v>1</v>
      </c>
      <c r="Q21" s="32" t="n">
        <f aca="false">O21-G21</f>
        <v>0.994548251376857</v>
      </c>
      <c r="R21" s="33" t="n">
        <f aca="false">Q21^2</f>
        <v>0.989126224316765</v>
      </c>
      <c r="T21" s="26" t="n">
        <f aca="false">2*(O21-G21)*(1-O21)*O21</f>
        <v>0.0107849350630665</v>
      </c>
      <c r="U21" s="26" t="n">
        <f aca="false">2*(O21-G21)*(1-O21)*O21*C21</f>
        <v>0.058238649340559</v>
      </c>
      <c r="V21" s="26" t="n">
        <f aca="false">2*(O21-G21)*(1-O21)*O21*D21</f>
        <v>0.0420612467459593</v>
      </c>
      <c r="W21" s="26" t="n">
        <f aca="false">2*(O21-G21)*(1-O21)*O21*E21</f>
        <v>0.0140204155819864</v>
      </c>
      <c r="X21" s="26" t="n">
        <f aca="false">2*(O21-G21)*(1-O21)*O21*F21</f>
        <v>0.00431397402522659</v>
      </c>
    </row>
    <row r="22" customFormat="false" ht="14.25" hidden="false" customHeight="true" outlineLevel="0" collapsed="false">
      <c r="A22" s="27"/>
      <c r="B22" s="34" t="n">
        <v>18</v>
      </c>
      <c r="C22" s="28" t="n">
        <v>5.1</v>
      </c>
      <c r="D22" s="28" t="n">
        <v>3.5</v>
      </c>
      <c r="E22" s="28" t="n">
        <v>1.4</v>
      </c>
      <c r="F22" s="28" t="n">
        <v>0.3</v>
      </c>
      <c r="G22" s="35" t="n">
        <v>0</v>
      </c>
      <c r="H22" s="1" t="n">
        <f aca="false">IF(G22=P22, 1, 0)</f>
        <v>0</v>
      </c>
      <c r="I22" s="34" t="n">
        <f aca="false">I21-0.1*T21</f>
        <v>0.479922269801412</v>
      </c>
      <c r="J22" s="36" t="n">
        <f aca="false">J21-0.1*U21</f>
        <v>0.402448634033321</v>
      </c>
      <c r="K22" s="36" t="n">
        <f aca="false">K21-0.1*V21</f>
        <v>0.433336633350029</v>
      </c>
      <c r="L22" s="36" t="n">
        <f aca="false">L21-0.1*W21</f>
        <v>0.472203927066658</v>
      </c>
      <c r="M22" s="36" t="n">
        <f aca="false">M21-0.1*X21</f>
        <v>0.496007194114545</v>
      </c>
      <c r="N22" s="31" t="n">
        <f aca="false">I22+J22*C22+K22*D22+L22*E22+F22*M22</f>
        <v>4.85897617622414</v>
      </c>
      <c r="O22" s="31" t="n">
        <f aca="false">1/(1+EXP(-N22))</f>
        <v>0.992301306636021</v>
      </c>
      <c r="P22" s="32" t="n">
        <f aca="false">IF(O22&gt;0.5,1,0)</f>
        <v>1</v>
      </c>
      <c r="Q22" s="32" t="n">
        <f aca="false">O22-G22</f>
        <v>0.992301306636021</v>
      </c>
      <c r="R22" s="33" t="n">
        <f aca="false">Q22^2</f>
        <v>0.984661883151555</v>
      </c>
      <c r="T22" s="26" t="n">
        <f aca="false">2*(O22-G22)*(1-O22)*O22</f>
        <v>0.0151612198111632</v>
      </c>
      <c r="U22" s="26" t="n">
        <f aca="false">2*(O22-G22)*(1-O22)*O22*C22</f>
        <v>0.0773222210369324</v>
      </c>
      <c r="V22" s="26" t="n">
        <f aca="false">2*(O22-G22)*(1-O22)*O22*D22</f>
        <v>0.0530642693390713</v>
      </c>
      <c r="W22" s="26" t="n">
        <f aca="false">2*(O22-G22)*(1-O22)*O22*E22</f>
        <v>0.0212257077356285</v>
      </c>
      <c r="X22" s="26" t="n">
        <f aca="false">2*(O22-G22)*(1-O22)*O22*F22</f>
        <v>0.00454836594334896</v>
      </c>
    </row>
    <row r="23" customFormat="false" ht="14.25" hidden="false" customHeight="true" outlineLevel="0" collapsed="false">
      <c r="A23" s="27"/>
      <c r="B23" s="28" t="n">
        <v>19</v>
      </c>
      <c r="C23" s="28" t="n">
        <v>5.7</v>
      </c>
      <c r="D23" s="28" t="n">
        <v>3.8</v>
      </c>
      <c r="E23" s="28" t="n">
        <v>1.7</v>
      </c>
      <c r="F23" s="28" t="n">
        <v>0.3</v>
      </c>
      <c r="G23" s="35" t="n">
        <v>0</v>
      </c>
      <c r="H23" s="1" t="n">
        <f aca="false">IF(G23=P23, 1, 0)</f>
        <v>0</v>
      </c>
      <c r="I23" s="34" t="n">
        <f aca="false">I22-0.1*T22</f>
        <v>0.478406147820295</v>
      </c>
      <c r="J23" s="36" t="n">
        <f aca="false">J22-0.1*U22</f>
        <v>0.394716411929628</v>
      </c>
      <c r="K23" s="36" t="n">
        <f aca="false">K22-0.1*V22</f>
        <v>0.428030206416122</v>
      </c>
      <c r="L23" s="36" t="n">
        <f aca="false">L22-0.1*W22</f>
        <v>0.470081356293095</v>
      </c>
      <c r="M23" s="36" t="n">
        <f aca="false">M22-0.1*X22</f>
        <v>0.49555235752021</v>
      </c>
      <c r="N23" s="31" t="n">
        <f aca="false">I23+J23*C23+K23*D23+L23*E23+F23*M23</f>
        <v>5.30260849315476</v>
      </c>
      <c r="O23" s="31" t="n">
        <f aca="false">1/(1+EXP(-N23))</f>
        <v>0.9950460732363</v>
      </c>
      <c r="P23" s="32" t="n">
        <f aca="false">IF(O23&gt;0.5,1,0)</f>
        <v>1</v>
      </c>
      <c r="Q23" s="32" t="n">
        <f aca="false">O23-G23</f>
        <v>0.9950460732363</v>
      </c>
      <c r="R23" s="33" t="n">
        <f aca="false">Q23^2</f>
        <v>0.99011668786298</v>
      </c>
      <c r="T23" s="26" t="n">
        <f aca="false">2*(O23-G23)*(1-O23)*O23</f>
        <v>0.00980993111838147</v>
      </c>
      <c r="U23" s="26" t="n">
        <f aca="false">2*(O23-G23)*(1-O23)*O23*C23</f>
        <v>0.0559166073747744</v>
      </c>
      <c r="V23" s="26" t="n">
        <f aca="false">2*(O23-G23)*(1-O23)*O23*D23</f>
        <v>0.0372777382498496</v>
      </c>
      <c r="W23" s="26" t="n">
        <f aca="false">2*(O23-G23)*(1-O23)*O23*E23</f>
        <v>0.0166768829012485</v>
      </c>
      <c r="X23" s="26" t="n">
        <f aca="false">2*(O23-G23)*(1-O23)*O23*F23</f>
        <v>0.00294297933551444</v>
      </c>
    </row>
    <row r="24" customFormat="false" ht="14.25" hidden="false" customHeight="true" outlineLevel="0" collapsed="false">
      <c r="A24" s="27"/>
      <c r="B24" s="34" t="n">
        <v>20</v>
      </c>
      <c r="C24" s="28" t="n">
        <v>5.1</v>
      </c>
      <c r="D24" s="28" t="n">
        <v>3.8</v>
      </c>
      <c r="E24" s="28" t="n">
        <v>1.5</v>
      </c>
      <c r="F24" s="28" t="n">
        <v>0.3</v>
      </c>
      <c r="G24" s="35" t="n">
        <v>0</v>
      </c>
      <c r="H24" s="1" t="n">
        <f aca="false">IF(G24=P24, 1, 0)</f>
        <v>0</v>
      </c>
      <c r="I24" s="34" t="n">
        <f aca="false">I23-0.1*T23</f>
        <v>0.477425154708457</v>
      </c>
      <c r="J24" s="36" t="n">
        <f aca="false">J23-0.1*U23</f>
        <v>0.389124751192151</v>
      </c>
      <c r="K24" s="36" t="n">
        <f aca="false">K23-0.1*V23</f>
        <v>0.424302432591137</v>
      </c>
      <c r="L24" s="36" t="n">
        <f aca="false">L23-0.1*W23</f>
        <v>0.46841366800297</v>
      </c>
      <c r="M24" s="36" t="n">
        <f aca="false">M23-0.1*X23</f>
        <v>0.495258059586658</v>
      </c>
      <c r="N24" s="31" t="n">
        <f aca="false">I24+J24*C24+K24*D24+L24*E24+F24*M24</f>
        <v>4.9255085495152</v>
      </c>
      <c r="O24" s="31" t="n">
        <f aca="false">1/(1+EXP(-N24))</f>
        <v>0.992793280060481</v>
      </c>
      <c r="P24" s="32" t="n">
        <f aca="false">IF(O24&gt;0.5,1,0)</f>
        <v>1</v>
      </c>
      <c r="Q24" s="32" t="n">
        <f aca="false">O24-G24</f>
        <v>0.992793280060481</v>
      </c>
      <c r="R24" s="33" t="n">
        <f aca="false">Q24^2</f>
        <v>0.985638496933248</v>
      </c>
      <c r="T24" s="26" t="n">
        <f aca="false">2*(O24-G24)*(1-O24)*O24</f>
        <v>0.0142064412180131</v>
      </c>
      <c r="U24" s="26" t="n">
        <f aca="false">2*(O24-G24)*(1-O24)*O24*C24</f>
        <v>0.0724528502118666</v>
      </c>
      <c r="V24" s="26" t="n">
        <f aca="false">2*(O24-G24)*(1-O24)*O24*D24</f>
        <v>0.0539844766284496</v>
      </c>
      <c r="W24" s="26" t="n">
        <f aca="false">2*(O24-G24)*(1-O24)*O24*E24</f>
        <v>0.0213096618270196</v>
      </c>
      <c r="X24" s="26" t="n">
        <f aca="false">2*(O24-G24)*(1-O24)*O24*F24</f>
        <v>0.00426193236540392</v>
      </c>
    </row>
    <row r="25" customFormat="false" ht="14.25" hidden="false" customHeight="true" outlineLevel="0" collapsed="false">
      <c r="A25" s="27"/>
      <c r="B25" s="28" t="n">
        <v>21</v>
      </c>
      <c r="C25" s="28" t="n">
        <v>5.4</v>
      </c>
      <c r="D25" s="28" t="n">
        <v>3.4</v>
      </c>
      <c r="E25" s="28" t="n">
        <v>1.7</v>
      </c>
      <c r="F25" s="28" t="n">
        <v>0.2</v>
      </c>
      <c r="G25" s="35" t="n">
        <v>0</v>
      </c>
      <c r="H25" s="1" t="n">
        <f aca="false">IF(G25=P25, 1, 0)</f>
        <v>0</v>
      </c>
      <c r="I25" s="34" t="n">
        <f aca="false">I24-0.1*T24</f>
        <v>0.476004510586656</v>
      </c>
      <c r="J25" s="36" t="n">
        <f aca="false">J24-0.1*U24</f>
        <v>0.381879466170964</v>
      </c>
      <c r="K25" s="36" t="n">
        <f aca="false">K24-0.1*V24</f>
        <v>0.418903984928292</v>
      </c>
      <c r="L25" s="36" t="n">
        <f aca="false">L24-0.1*W24</f>
        <v>0.466282701820268</v>
      </c>
      <c r="M25" s="36" t="n">
        <f aca="false">M24-0.1*X24</f>
        <v>0.494831866350118</v>
      </c>
      <c r="N25" s="31" t="n">
        <f aca="false">I25+J25*C25+K25*D25+L25*E25+F25*M25</f>
        <v>4.85407414303053</v>
      </c>
      <c r="O25" s="31" t="n">
        <f aca="false">1/(1+EXP(-N25))</f>
        <v>0.992263767411131</v>
      </c>
      <c r="P25" s="32" t="n">
        <f aca="false">IF(O25&gt;0.5,1,0)</f>
        <v>1</v>
      </c>
      <c r="Q25" s="32" t="n">
        <f aca="false">O25-G25</f>
        <v>0.992263767411131</v>
      </c>
      <c r="R25" s="33" t="n">
        <f aca="false">Q25^2</f>
        <v>0.984587384116932</v>
      </c>
      <c r="T25" s="26" t="n">
        <f aca="false">2*(O25-G25)*(1-O25)*O25</f>
        <v>0.0152339940151888</v>
      </c>
      <c r="U25" s="26" t="n">
        <f aca="false">2*(O25-G25)*(1-O25)*O25*C25</f>
        <v>0.0822635676820193</v>
      </c>
      <c r="V25" s="26" t="n">
        <f aca="false">2*(O25-G25)*(1-O25)*O25*D25</f>
        <v>0.0517955796516418</v>
      </c>
      <c r="W25" s="26" t="n">
        <f aca="false">2*(O25-G25)*(1-O25)*O25*E25</f>
        <v>0.0258977898258209</v>
      </c>
      <c r="X25" s="26" t="n">
        <f aca="false">2*(O25-G25)*(1-O25)*O25*F25</f>
        <v>0.00304679880303775</v>
      </c>
    </row>
    <row r="26" customFormat="false" ht="14.25" hidden="false" customHeight="true" outlineLevel="0" collapsed="false">
      <c r="A26" s="27"/>
      <c r="B26" s="34" t="n">
        <v>22</v>
      </c>
      <c r="C26" s="28" t="n">
        <v>5.1</v>
      </c>
      <c r="D26" s="28" t="n">
        <v>3.7</v>
      </c>
      <c r="E26" s="28" t="n">
        <v>1.5</v>
      </c>
      <c r="F26" s="28" t="n">
        <v>0.4</v>
      </c>
      <c r="G26" s="35" t="n">
        <v>0</v>
      </c>
      <c r="H26" s="1" t="n">
        <f aca="false">IF(G26=P26, 1, 0)</f>
        <v>0</v>
      </c>
      <c r="I26" s="34" t="n">
        <f aca="false">I25-0.1*T25</f>
        <v>0.474481111185137</v>
      </c>
      <c r="J26" s="36" t="n">
        <f aca="false">J25-0.1*U25</f>
        <v>0.373653109402762</v>
      </c>
      <c r="K26" s="36" t="n">
        <f aca="false">K25-0.1*V25</f>
        <v>0.413724426963128</v>
      </c>
      <c r="L26" s="36" t="n">
        <f aca="false">L25-0.1*W25</f>
        <v>0.463692922837686</v>
      </c>
      <c r="M26" s="36" t="n">
        <f aca="false">M25-0.1*X25</f>
        <v>0.494527186469814</v>
      </c>
      <c r="N26" s="31" t="n">
        <f aca="false">I26+J26*C26+K26*D26+L26*E26+F26*M26</f>
        <v>4.80424260774725</v>
      </c>
      <c r="O26" s="31" t="n">
        <f aca="false">1/(1+EXP(-N26))</f>
        <v>0.991871705184884</v>
      </c>
      <c r="P26" s="32" t="n">
        <f aca="false">IF(O26&gt;0.5,1,0)</f>
        <v>1</v>
      </c>
      <c r="Q26" s="32" t="n">
        <f aca="false">O26-G26</f>
        <v>0.991871705184884</v>
      </c>
      <c r="R26" s="33" t="n">
        <f aca="false">Q26^2</f>
        <v>0.983809479546369</v>
      </c>
      <c r="T26" s="26" t="n">
        <f aca="false">2*(O26-G26)*(1-O26)*O26</f>
        <v>0.0159933869833177</v>
      </c>
      <c r="U26" s="26" t="n">
        <f aca="false">2*(O26-G26)*(1-O26)*O26*C26</f>
        <v>0.0815662736149202</v>
      </c>
      <c r="V26" s="26" t="n">
        <f aca="false">2*(O26-G26)*(1-O26)*O26*D26</f>
        <v>0.0591755318382754</v>
      </c>
      <c r="W26" s="26" t="n">
        <f aca="false">2*(O26-G26)*(1-O26)*O26*E26</f>
        <v>0.0239900804749765</v>
      </c>
      <c r="X26" s="26" t="n">
        <f aca="false">2*(O26-G26)*(1-O26)*O26*F26</f>
        <v>0.00639735479332708</v>
      </c>
    </row>
    <row r="27" customFormat="false" ht="14.25" hidden="false" customHeight="true" outlineLevel="0" collapsed="false">
      <c r="A27" s="27"/>
      <c r="B27" s="28" t="n">
        <v>23</v>
      </c>
      <c r="C27" s="28" t="n">
        <v>4.6</v>
      </c>
      <c r="D27" s="28" t="n">
        <v>3.6</v>
      </c>
      <c r="E27" s="28" t="n">
        <v>1</v>
      </c>
      <c r="F27" s="28" t="n">
        <v>0.2</v>
      </c>
      <c r="G27" s="35" t="n">
        <v>0</v>
      </c>
      <c r="H27" s="1" t="n">
        <f aca="false">IF(G27=P27, 1, 0)</f>
        <v>0</v>
      </c>
      <c r="I27" s="34" t="n">
        <f aca="false">I26-0.1*T26</f>
        <v>0.472881772486805</v>
      </c>
      <c r="J27" s="36" t="n">
        <f aca="false">J26-0.1*U26</f>
        <v>0.36549648204127</v>
      </c>
      <c r="K27" s="36" t="n">
        <f aca="false">K26-0.1*V26</f>
        <v>0.4078068737793</v>
      </c>
      <c r="L27" s="36" t="n">
        <f aca="false">L26-0.1*W26</f>
        <v>0.461293914790188</v>
      </c>
      <c r="M27" s="36" t="n">
        <f aca="false">M26-0.1*X26</f>
        <v>0.493887450990482</v>
      </c>
      <c r="N27" s="31" t="n">
        <f aca="false">I27+J27*C27+K27*D27+L27*E27+F27*M27</f>
        <v>4.18234174047041</v>
      </c>
      <c r="O27" s="31" t="n">
        <f aca="false">1/(1+EXP(-N27))</f>
        <v>0.984966724395297</v>
      </c>
      <c r="P27" s="32" t="n">
        <f aca="false">IF(O27&gt;0.5,1,0)</f>
        <v>1</v>
      </c>
      <c r="Q27" s="32" t="n">
        <f aca="false">O27-G27</f>
        <v>0.984966724395297</v>
      </c>
      <c r="R27" s="33" t="n">
        <f aca="false">Q27^2</f>
        <v>0.970159448166001</v>
      </c>
      <c r="T27" s="26" t="n">
        <f aca="false">2*(O27-G27)*(1-O27)*O27</f>
        <v>0.0291693487295726</v>
      </c>
      <c r="U27" s="26" t="n">
        <f aca="false">2*(O27-G27)*(1-O27)*O27*C27</f>
        <v>0.134179004156034</v>
      </c>
      <c r="V27" s="26" t="n">
        <f aca="false">2*(O27-G27)*(1-O27)*O27*D27</f>
        <v>0.105009655426461</v>
      </c>
      <c r="W27" s="26" t="n">
        <f aca="false">2*(O27-G27)*(1-O27)*O27*E27</f>
        <v>0.0291693487295726</v>
      </c>
      <c r="X27" s="26" t="n">
        <f aca="false">2*(O27-G27)*(1-O27)*O27*F27</f>
        <v>0.00583386974591452</v>
      </c>
    </row>
    <row r="28" customFormat="false" ht="14.25" hidden="false" customHeight="true" outlineLevel="0" collapsed="false">
      <c r="A28" s="27"/>
      <c r="B28" s="34" t="n">
        <v>24</v>
      </c>
      <c r="C28" s="28" t="n">
        <v>5.1</v>
      </c>
      <c r="D28" s="28" t="n">
        <v>3.3</v>
      </c>
      <c r="E28" s="28" t="n">
        <v>1.7</v>
      </c>
      <c r="F28" s="28" t="n">
        <v>0.5</v>
      </c>
      <c r="G28" s="35" t="n">
        <v>0</v>
      </c>
      <c r="H28" s="1" t="n">
        <f aca="false">IF(G28=P28, 1, 0)</f>
        <v>0</v>
      </c>
      <c r="I28" s="34" t="n">
        <f aca="false">I27-0.1*T27</f>
        <v>0.469964837613848</v>
      </c>
      <c r="J28" s="36" t="n">
        <f aca="false">J27-0.1*U27</f>
        <v>0.352078581625667</v>
      </c>
      <c r="K28" s="36" t="n">
        <f aca="false">K27-0.1*V27</f>
        <v>0.397305908236654</v>
      </c>
      <c r="L28" s="36" t="n">
        <f aca="false">L27-0.1*W27</f>
        <v>0.458376979917231</v>
      </c>
      <c r="M28" s="36" t="n">
        <f aca="false">M27-0.1*X27</f>
        <v>0.49330406401589</v>
      </c>
      <c r="N28" s="31" t="n">
        <f aca="false">I28+J28*C28+K28*D28+L28*E28+F28*M28</f>
        <v>4.60256799895295</v>
      </c>
      <c r="O28" s="31" t="n">
        <f aca="false">1/(1+EXP(-N28))</f>
        <v>0.990073468204626</v>
      </c>
      <c r="P28" s="32" t="n">
        <f aca="false">IF(O28&gt;0.5,1,0)</f>
        <v>1</v>
      </c>
      <c r="Q28" s="32" t="n">
        <f aca="false">O28-G28</f>
        <v>0.990073468204626</v>
      </c>
      <c r="R28" s="33" t="n">
        <f aca="false">Q28^2</f>
        <v>0.980245472442736</v>
      </c>
      <c r="T28" s="26" t="n">
        <f aca="false">2*(O28-G28)*(1-O28)*O28</f>
        <v>0.0194608756989492</v>
      </c>
      <c r="U28" s="26" t="n">
        <f aca="false">2*(O28-G28)*(1-O28)*O28*C28</f>
        <v>0.099250466064641</v>
      </c>
      <c r="V28" s="26" t="n">
        <f aca="false">2*(O28-G28)*(1-O28)*O28*D28</f>
        <v>0.0642208898065324</v>
      </c>
      <c r="W28" s="26" t="n">
        <f aca="false">2*(O28-G28)*(1-O28)*O28*E28</f>
        <v>0.0330834886882137</v>
      </c>
      <c r="X28" s="26" t="n">
        <f aca="false">2*(O28-G28)*(1-O28)*O28*F28</f>
        <v>0.00973043784947461</v>
      </c>
    </row>
    <row r="29" customFormat="false" ht="14.25" hidden="false" customHeight="true" outlineLevel="0" collapsed="false">
      <c r="A29" s="27"/>
      <c r="B29" s="28" t="n">
        <v>25</v>
      </c>
      <c r="C29" s="28" t="n">
        <v>4.8</v>
      </c>
      <c r="D29" s="28" t="n">
        <v>3.4</v>
      </c>
      <c r="E29" s="28" t="n">
        <v>1.9</v>
      </c>
      <c r="F29" s="28" t="n">
        <v>0.2</v>
      </c>
      <c r="G29" s="35" t="n">
        <v>0</v>
      </c>
      <c r="H29" s="1" t="n">
        <f aca="false">IF(G29=P29, 1, 0)</f>
        <v>0</v>
      </c>
      <c r="I29" s="34" t="n">
        <f aca="false">I28-0.1*T28</f>
        <v>0.468018750043953</v>
      </c>
      <c r="J29" s="36" t="n">
        <f aca="false">J28-0.1*U28</f>
        <v>0.342153535019203</v>
      </c>
      <c r="K29" s="36" t="n">
        <f aca="false">K28-0.1*V28</f>
        <v>0.390883819256001</v>
      </c>
      <c r="L29" s="36" t="n">
        <f aca="false">L28-0.1*W28</f>
        <v>0.45506863104841</v>
      </c>
      <c r="M29" s="36" t="n">
        <f aca="false">M28-0.1*X28</f>
        <v>0.492331020230943</v>
      </c>
      <c r="N29" s="31" t="n">
        <f aca="false">I29+J29*C29+K29*D29+L29*E29+F29*M29</f>
        <v>4.4024573066447</v>
      </c>
      <c r="O29" s="31" t="n">
        <f aca="false">1/(1+EXP(-N29))</f>
        <v>0.987900971563573</v>
      </c>
      <c r="P29" s="32" t="n">
        <f aca="false">IF(O29&gt;0.5,1,0)</f>
        <v>1</v>
      </c>
      <c r="Q29" s="32" t="n">
        <f aca="false">O29-G29</f>
        <v>0.987900971563573</v>
      </c>
      <c r="R29" s="33" t="n">
        <f aca="false">Q29^2</f>
        <v>0.975948329616252</v>
      </c>
      <c r="T29" s="26" t="n">
        <f aca="false">2*(O29-G29)*(1-O29)*O29</f>
        <v>0.0236160531850204</v>
      </c>
      <c r="U29" s="26" t="n">
        <f aca="false">2*(O29-G29)*(1-O29)*O29*C29</f>
        <v>0.113357055288098</v>
      </c>
      <c r="V29" s="26" t="n">
        <f aca="false">2*(O29-G29)*(1-O29)*O29*D29</f>
        <v>0.0802945808290694</v>
      </c>
      <c r="W29" s="26" t="n">
        <f aca="false">2*(O29-G29)*(1-O29)*O29*E29</f>
        <v>0.0448705010515388</v>
      </c>
      <c r="X29" s="26" t="n">
        <f aca="false">2*(O29-G29)*(1-O29)*O29*F29</f>
        <v>0.00472321063700408</v>
      </c>
    </row>
    <row r="30" customFormat="false" ht="14.25" hidden="false" customHeight="true" outlineLevel="0" collapsed="false">
      <c r="A30" s="27"/>
      <c r="B30" s="34" t="n">
        <v>26</v>
      </c>
      <c r="C30" s="28" t="n">
        <v>5</v>
      </c>
      <c r="D30" s="28" t="n">
        <v>3</v>
      </c>
      <c r="E30" s="28" t="n">
        <v>1.6</v>
      </c>
      <c r="F30" s="28" t="n">
        <v>0.2</v>
      </c>
      <c r="G30" s="35" t="n">
        <v>0</v>
      </c>
      <c r="H30" s="1" t="n">
        <f aca="false">IF(G30=P30, 1, 0)</f>
        <v>0</v>
      </c>
      <c r="I30" s="34" t="n">
        <f aca="false">I29-0.1*T29</f>
        <v>0.465657144725451</v>
      </c>
      <c r="J30" s="36" t="n">
        <f aca="false">J29-0.1*U29</f>
        <v>0.330817829490393</v>
      </c>
      <c r="K30" s="36" t="n">
        <f aca="false">K29-0.1*V29</f>
        <v>0.382854361173094</v>
      </c>
      <c r="L30" s="36" t="n">
        <f aca="false">L29-0.1*W29</f>
        <v>0.450581580943256</v>
      </c>
      <c r="M30" s="36" t="n">
        <f aca="false">M29-0.1*X29</f>
        <v>0.491858699167242</v>
      </c>
      <c r="N30" s="31" t="n">
        <f aca="false">I30+J30*C30+K30*D30+L30*E30+F30*M30</f>
        <v>4.08761164503936</v>
      </c>
      <c r="O30" s="31" t="n">
        <f aca="false">1/(1+EXP(-N30))</f>
        <v>0.983497636880395</v>
      </c>
      <c r="P30" s="32" t="n">
        <f aca="false">IF(O30&gt;0.5,1,0)</f>
        <v>1</v>
      </c>
      <c r="Q30" s="32" t="n">
        <f aca="false">O30-G30</f>
        <v>0.983497636880395</v>
      </c>
      <c r="R30" s="33" t="n">
        <f aca="false">Q30^2</f>
        <v>0.967267601749321</v>
      </c>
      <c r="T30" s="26" t="n">
        <f aca="false">2*(O30-G30)*(1-O30)*O30</f>
        <v>0.0319244023957943</v>
      </c>
      <c r="U30" s="26" t="n">
        <f aca="false">2*(O30-G30)*(1-O30)*O30*C30</f>
        <v>0.159622011978972</v>
      </c>
      <c r="V30" s="26" t="n">
        <f aca="false">2*(O30-G30)*(1-O30)*O30*D30</f>
        <v>0.0957732071873829</v>
      </c>
      <c r="W30" s="26" t="n">
        <f aca="false">2*(O30-G30)*(1-O30)*O30*E30</f>
        <v>0.0510790438332709</v>
      </c>
      <c r="X30" s="26" t="n">
        <f aca="false">2*(O30-G30)*(1-O30)*O30*F30</f>
        <v>0.00638488047915886</v>
      </c>
    </row>
    <row r="31" customFormat="false" ht="14.25" hidden="false" customHeight="true" outlineLevel="0" collapsed="false">
      <c r="A31" s="27"/>
      <c r="B31" s="28" t="n">
        <v>27</v>
      </c>
      <c r="C31" s="28" t="n">
        <v>5</v>
      </c>
      <c r="D31" s="28" t="n">
        <v>3.4</v>
      </c>
      <c r="E31" s="28" t="n">
        <v>1.6</v>
      </c>
      <c r="F31" s="28" t="n">
        <v>0.4</v>
      </c>
      <c r="G31" s="35" t="n">
        <v>0</v>
      </c>
      <c r="H31" s="1" t="n">
        <f aca="false">IF(G31=P31, 1, 0)</f>
        <v>0</v>
      </c>
      <c r="I31" s="34" t="n">
        <f aca="false">I30-0.1*T30</f>
        <v>0.462464704485872</v>
      </c>
      <c r="J31" s="36" t="n">
        <f aca="false">J30-0.1*U30</f>
        <v>0.314855628292496</v>
      </c>
      <c r="K31" s="36" t="n">
        <f aca="false">K30-0.1*V30</f>
        <v>0.373277040454356</v>
      </c>
      <c r="L31" s="36" t="n">
        <f aca="false">L30-0.1*W30</f>
        <v>0.445473676559929</v>
      </c>
      <c r="M31" s="36" t="n">
        <f aca="false">M30-0.1*X30</f>
        <v>0.491220211119326</v>
      </c>
      <c r="N31" s="31" t="n">
        <f aca="false">I31+J31*C31+K31*D31+L31*E31+F31*M31</f>
        <v>4.21513075043678</v>
      </c>
      <c r="O31" s="31" t="n">
        <f aca="false">1/(1+EXP(-N31))</f>
        <v>0.985444598556011</v>
      </c>
      <c r="P31" s="32" t="n">
        <f aca="false">IF(O31&gt;0.5,1,0)</f>
        <v>1</v>
      </c>
      <c r="Q31" s="32" t="n">
        <f aca="false">O31-G31</f>
        <v>0.985444598556011</v>
      </c>
      <c r="R31" s="33" t="n">
        <f aca="false">Q31^2</f>
        <v>0.971101056823218</v>
      </c>
      <c r="T31" s="26" t="n">
        <f aca="false">2*(O31-G31)*(1-O31)*O31</f>
        <v>0.0282695314494877</v>
      </c>
      <c r="U31" s="26" t="n">
        <f aca="false">2*(O31-G31)*(1-O31)*O31*C31</f>
        <v>0.141347657247438</v>
      </c>
      <c r="V31" s="26" t="n">
        <f aca="false">2*(O31-G31)*(1-O31)*O31*D31</f>
        <v>0.0961164069282581</v>
      </c>
      <c r="W31" s="26" t="n">
        <f aca="false">2*(O31-G31)*(1-O31)*O31*E31</f>
        <v>0.0452312503191803</v>
      </c>
      <c r="X31" s="26" t="n">
        <f aca="false">2*(O31-G31)*(1-O31)*O31*F31</f>
        <v>0.0113078125797951</v>
      </c>
    </row>
    <row r="32" customFormat="false" ht="14.25" hidden="false" customHeight="true" outlineLevel="0" collapsed="false">
      <c r="A32" s="27"/>
      <c r="B32" s="34" t="n">
        <v>28</v>
      </c>
      <c r="C32" s="28" t="n">
        <v>5.2</v>
      </c>
      <c r="D32" s="28" t="n">
        <v>3.5</v>
      </c>
      <c r="E32" s="28" t="n">
        <v>1.5</v>
      </c>
      <c r="F32" s="28" t="n">
        <v>0.2</v>
      </c>
      <c r="G32" s="35" t="n">
        <v>0</v>
      </c>
      <c r="H32" s="1" t="n">
        <f aca="false">IF(G32=P32, 1, 0)</f>
        <v>0</v>
      </c>
      <c r="I32" s="34" t="n">
        <f aca="false">I31-0.1*T31</f>
        <v>0.459637751340923</v>
      </c>
      <c r="J32" s="36" t="n">
        <f aca="false">J31-0.1*U31</f>
        <v>0.300720862567752</v>
      </c>
      <c r="K32" s="36" t="n">
        <f aca="false">K31-0.1*V31</f>
        <v>0.36366539976153</v>
      </c>
      <c r="L32" s="36" t="n">
        <f aca="false">L31-0.1*W31</f>
        <v>0.440950551528011</v>
      </c>
      <c r="M32" s="36" t="n">
        <f aca="false">M31-0.1*X31</f>
        <v>0.490089429861347</v>
      </c>
      <c r="N32" s="31" t="n">
        <f aca="false">I32+J32*C32+K32*D32+L32*E32+F32*M32</f>
        <v>4.05565884912287</v>
      </c>
      <c r="O32" s="31" t="n">
        <f aca="false">1/(1+EXP(-N32))</f>
        <v>0.982970949849531</v>
      </c>
      <c r="P32" s="32" t="n">
        <f aca="false">IF(O32&gt;0.5,1,0)</f>
        <v>1</v>
      </c>
      <c r="Q32" s="32" t="n">
        <f aca="false">O32-G32</f>
        <v>0.982970949849531</v>
      </c>
      <c r="R32" s="33" t="n">
        <f aca="false">Q32^2</f>
        <v>0.966231888248089</v>
      </c>
      <c r="T32" s="26" t="n">
        <f aca="false">2*(O32-G32)*(1-O32)*O32</f>
        <v>0.0329080225639183</v>
      </c>
      <c r="U32" s="26" t="n">
        <f aca="false">2*(O32-G32)*(1-O32)*O32*C32</f>
        <v>0.171121717332375</v>
      </c>
      <c r="V32" s="26" t="n">
        <f aca="false">2*(O32-G32)*(1-O32)*O32*D32</f>
        <v>0.115178078973714</v>
      </c>
      <c r="W32" s="26" t="n">
        <f aca="false">2*(O32-G32)*(1-O32)*O32*E32</f>
        <v>0.0493620338458774</v>
      </c>
      <c r="X32" s="26" t="n">
        <f aca="false">2*(O32-G32)*(1-O32)*O32*F32</f>
        <v>0.00658160451278366</v>
      </c>
    </row>
    <row r="33" customFormat="false" ht="14.25" hidden="false" customHeight="true" outlineLevel="0" collapsed="false">
      <c r="A33" s="27"/>
      <c r="B33" s="28" t="n">
        <v>29</v>
      </c>
      <c r="C33" s="28" t="n">
        <v>5.2</v>
      </c>
      <c r="D33" s="28" t="n">
        <v>3.4</v>
      </c>
      <c r="E33" s="28" t="n">
        <v>1.4</v>
      </c>
      <c r="F33" s="28" t="n">
        <v>0.2</v>
      </c>
      <c r="G33" s="35" t="n">
        <v>0</v>
      </c>
      <c r="H33" s="1" t="n">
        <f aca="false">IF(G33=P33, 1, 0)</f>
        <v>0</v>
      </c>
      <c r="I33" s="34" t="n">
        <f aca="false">I32-0.1*T32</f>
        <v>0.456346949084531</v>
      </c>
      <c r="J33" s="36" t="n">
        <f aca="false">J32-0.1*U32</f>
        <v>0.283608690834514</v>
      </c>
      <c r="K33" s="36" t="n">
        <f aca="false">K32-0.1*V32</f>
        <v>0.352147591864159</v>
      </c>
      <c r="L33" s="36" t="n">
        <f aca="false">L32-0.1*W32</f>
        <v>0.436014348143423</v>
      </c>
      <c r="M33" s="36" t="n">
        <f aca="false">M32-0.1*X32</f>
        <v>0.489431269410068</v>
      </c>
      <c r="N33" s="31" t="n">
        <f aca="false">I33+J33*C33+K33*D33+L33*E33+F33*M33</f>
        <v>3.83672029504495</v>
      </c>
      <c r="O33" s="31" t="n">
        <f aca="false">1/(1+EXP(-N33))</f>
        <v>0.978890989392168</v>
      </c>
      <c r="P33" s="32" t="n">
        <f aca="false">IF(O33&gt;0.5,1,0)</f>
        <v>1</v>
      </c>
      <c r="Q33" s="32" t="n">
        <f aca="false">O33-G33</f>
        <v>0.978890989392168</v>
      </c>
      <c r="R33" s="33" t="n">
        <f aca="false">Q33^2</f>
        <v>0.958227569113177</v>
      </c>
      <c r="T33" s="26" t="n">
        <f aca="false">2*(O33-G33)*(1-O33)*O33</f>
        <v>0.0404544718422547</v>
      </c>
      <c r="U33" s="26" t="n">
        <f aca="false">2*(O33-G33)*(1-O33)*O33*C33</f>
        <v>0.210363253579724</v>
      </c>
      <c r="V33" s="26" t="n">
        <f aca="false">2*(O33-G33)*(1-O33)*O33*D33</f>
        <v>0.137545204263666</v>
      </c>
      <c r="W33" s="26" t="n">
        <f aca="false">2*(O33-G33)*(1-O33)*O33*E33</f>
        <v>0.0566362605791565</v>
      </c>
      <c r="X33" s="26" t="n">
        <f aca="false">2*(O33-G33)*(1-O33)*O33*F33</f>
        <v>0.00809089436845093</v>
      </c>
    </row>
    <row r="34" customFormat="false" ht="14.25" hidden="false" customHeight="true" outlineLevel="0" collapsed="false">
      <c r="A34" s="27"/>
      <c r="B34" s="34" t="n">
        <v>30</v>
      </c>
      <c r="C34" s="28" t="n">
        <v>4.7</v>
      </c>
      <c r="D34" s="28" t="n">
        <v>3.2</v>
      </c>
      <c r="E34" s="28" t="n">
        <v>1.6</v>
      </c>
      <c r="F34" s="28" t="n">
        <v>0.2</v>
      </c>
      <c r="G34" s="35" t="n">
        <v>0</v>
      </c>
      <c r="H34" s="1" t="n">
        <f aca="false">IF(G34=P34, 1, 0)</f>
        <v>0</v>
      </c>
      <c r="I34" s="34" t="n">
        <f aca="false">I33-0.1*T33</f>
        <v>0.452301501900306</v>
      </c>
      <c r="J34" s="36" t="n">
        <f aca="false">J33-0.1*U33</f>
        <v>0.262572365476542</v>
      </c>
      <c r="K34" s="36" t="n">
        <f aca="false">K33-0.1*V33</f>
        <v>0.338393071437792</v>
      </c>
      <c r="L34" s="36" t="n">
        <f aca="false">L33-0.1*W33</f>
        <v>0.430350722085507</v>
      </c>
      <c r="M34" s="36" t="n">
        <f aca="false">M33-0.1*X33</f>
        <v>0.488622179973223</v>
      </c>
      <c r="N34" s="31" t="n">
        <f aca="false">I34+J34*C34+K34*D34+L34*E34+F34*M34</f>
        <v>3.55553503957244</v>
      </c>
      <c r="O34" s="31" t="n">
        <f aca="false">1/(1+EXP(-N34))</f>
        <v>0.972227271338822</v>
      </c>
      <c r="P34" s="32" t="n">
        <f aca="false">IF(O34&gt;0.5,1,0)</f>
        <v>1</v>
      </c>
      <c r="Q34" s="32" t="n">
        <f aca="false">O34-G34</f>
        <v>0.972227271338822</v>
      </c>
      <c r="R34" s="33" t="n">
        <f aca="false">Q34^2</f>
        <v>0.945225867134932</v>
      </c>
      <c r="T34" s="26" t="n">
        <f aca="false">2*(O34-G34)*(1-O34)*O34</f>
        <v>0.0525030030629298</v>
      </c>
      <c r="U34" s="26" t="n">
        <f aca="false">2*(O34-G34)*(1-O34)*O34*C34</f>
        <v>0.24676411439577</v>
      </c>
      <c r="V34" s="26" t="n">
        <f aca="false">2*(O34-G34)*(1-O34)*O34*D34</f>
        <v>0.168009609801375</v>
      </c>
      <c r="W34" s="26" t="n">
        <f aca="false">2*(O34-G34)*(1-O34)*O34*E34</f>
        <v>0.0840048049006877</v>
      </c>
      <c r="X34" s="26" t="n">
        <f aca="false">2*(O34-G34)*(1-O34)*O34*F34</f>
        <v>0.010500600612586</v>
      </c>
    </row>
    <row r="35" customFormat="false" ht="14.25" hidden="false" customHeight="true" outlineLevel="0" collapsed="false">
      <c r="A35" s="27"/>
      <c r="B35" s="28" t="n">
        <v>31</v>
      </c>
      <c r="C35" s="28" t="n">
        <v>4.8</v>
      </c>
      <c r="D35" s="28" t="n">
        <v>3.1</v>
      </c>
      <c r="E35" s="28" t="n">
        <v>1.6</v>
      </c>
      <c r="F35" s="28" t="n">
        <v>0.2</v>
      </c>
      <c r="G35" s="35" t="n">
        <v>0</v>
      </c>
      <c r="H35" s="1" t="n">
        <f aca="false">IF(G35=P35, 1, 0)</f>
        <v>0</v>
      </c>
      <c r="I35" s="34" t="n">
        <f aca="false">I34-0.1*T34</f>
        <v>0.447051201594013</v>
      </c>
      <c r="J35" s="36" t="n">
        <f aca="false">J34-0.1*U34</f>
        <v>0.237895954036965</v>
      </c>
      <c r="K35" s="36" t="n">
        <f aca="false">K34-0.1*V34</f>
        <v>0.321592110457654</v>
      </c>
      <c r="L35" s="36" t="n">
        <f aca="false">L34-0.1*W34</f>
        <v>0.421950241595439</v>
      </c>
      <c r="M35" s="36" t="n">
        <f aca="false">M34-0.1*X34</f>
        <v>0.487572119911965</v>
      </c>
      <c r="N35" s="31" t="n">
        <f aca="false">I35+J35*C35+K35*D35+L35*E35+F35*M35</f>
        <v>3.35852213392527</v>
      </c>
      <c r="O35" s="31" t="n">
        <f aca="false">1/(1+EXP(-N35))</f>
        <v>0.96638279823494</v>
      </c>
      <c r="P35" s="32" t="n">
        <f aca="false">IF(O35&gt;0.5,1,0)</f>
        <v>1</v>
      </c>
      <c r="Q35" s="32" t="n">
        <f aca="false">O35-G35</f>
        <v>0.96638279823494</v>
      </c>
      <c r="R35" s="33" t="n">
        <f aca="false">Q35^2</f>
        <v>0.933895712724393</v>
      </c>
      <c r="T35" s="26" t="n">
        <f aca="false">2*(O35-G35)*(1-O35)*O35</f>
        <v>0.062789921204361</v>
      </c>
      <c r="U35" s="26" t="n">
        <f aca="false">2*(O35-G35)*(1-O35)*O35*C35</f>
        <v>0.301391621780933</v>
      </c>
      <c r="V35" s="26" t="n">
        <f aca="false">2*(O35-G35)*(1-O35)*O35*D35</f>
        <v>0.194648755733519</v>
      </c>
      <c r="W35" s="26" t="n">
        <f aca="false">2*(O35-G35)*(1-O35)*O35*E35</f>
        <v>0.100463873926978</v>
      </c>
      <c r="X35" s="26" t="n">
        <f aca="false">2*(O35-G35)*(1-O35)*O35*F35</f>
        <v>0.0125579842408722</v>
      </c>
    </row>
    <row r="36" customFormat="false" ht="14.25" hidden="false" customHeight="true" outlineLevel="0" collapsed="false">
      <c r="A36" s="27"/>
      <c r="B36" s="34" t="n">
        <v>32</v>
      </c>
      <c r="C36" s="28" t="n">
        <v>5.4</v>
      </c>
      <c r="D36" s="28" t="n">
        <v>3.4</v>
      </c>
      <c r="E36" s="28" t="n">
        <v>1.5</v>
      </c>
      <c r="F36" s="28" t="n">
        <v>0.4</v>
      </c>
      <c r="G36" s="35" t="n">
        <v>0</v>
      </c>
      <c r="H36" s="1" t="n">
        <f aca="false">IF(G36=P36, 1, 0)</f>
        <v>0</v>
      </c>
      <c r="I36" s="34" t="n">
        <f aca="false">I35-0.1*T35</f>
        <v>0.440772209473576</v>
      </c>
      <c r="J36" s="36" t="n">
        <f aca="false">J35-0.1*U35</f>
        <v>0.207756791858872</v>
      </c>
      <c r="K36" s="36" t="n">
        <f aca="false">K35-0.1*V35</f>
        <v>0.302127234884303</v>
      </c>
      <c r="L36" s="36" t="n">
        <f aca="false">L35-0.1*W35</f>
        <v>0.411903854202741</v>
      </c>
      <c r="M36" s="36" t="n">
        <f aca="false">M35-0.1*X35</f>
        <v>0.486316321487878</v>
      </c>
      <c r="N36" s="31" t="n">
        <f aca="false">I36+J36*C36+K36*D36+L36*E36+F36*M36</f>
        <v>3.40227379401737</v>
      </c>
      <c r="O36" s="31" t="n">
        <f aca="false">1/(1+EXP(-N36))</f>
        <v>0.967775521453754</v>
      </c>
      <c r="P36" s="32" t="n">
        <f aca="false">IF(O36&gt;0.5,1,0)</f>
        <v>1</v>
      </c>
      <c r="Q36" s="32" t="n">
        <f aca="false">O36-G36</f>
        <v>0.967775521453754</v>
      </c>
      <c r="R36" s="33" t="n">
        <f aca="false">Q36^2</f>
        <v>0.936589459925085</v>
      </c>
      <c r="T36" s="26" t="n">
        <f aca="false">2*(O36-G36)*(1-O36)*O36</f>
        <v>0.0603622139159923</v>
      </c>
      <c r="U36" s="26" t="n">
        <f aca="false">2*(O36-G36)*(1-O36)*O36*C36</f>
        <v>0.325955955146358</v>
      </c>
      <c r="V36" s="26" t="n">
        <f aca="false">2*(O36-G36)*(1-O36)*O36*D36</f>
        <v>0.205231527314374</v>
      </c>
      <c r="W36" s="26" t="n">
        <f aca="false">2*(O36-G36)*(1-O36)*O36*E36</f>
        <v>0.0905433208739884</v>
      </c>
      <c r="X36" s="26" t="n">
        <f aca="false">2*(O36-G36)*(1-O36)*O36*F36</f>
        <v>0.0241448855663969</v>
      </c>
    </row>
    <row r="37" customFormat="false" ht="14.25" hidden="false" customHeight="true" outlineLevel="0" collapsed="false">
      <c r="A37" s="27"/>
      <c r="B37" s="28" t="n">
        <v>33</v>
      </c>
      <c r="C37" s="28" t="n">
        <v>5.2</v>
      </c>
      <c r="D37" s="28" t="n">
        <v>4.1</v>
      </c>
      <c r="E37" s="28" t="n">
        <v>1.5</v>
      </c>
      <c r="F37" s="28" t="n">
        <v>0.1</v>
      </c>
      <c r="G37" s="35" t="n">
        <v>0</v>
      </c>
      <c r="H37" s="1" t="n">
        <f aca="false">IF(G37=P37, 1, 0)</f>
        <v>0</v>
      </c>
      <c r="I37" s="34" t="n">
        <f aca="false">I36-0.1*T36</f>
        <v>0.434735988081977</v>
      </c>
      <c r="J37" s="36" t="n">
        <f aca="false">J36-0.1*U36</f>
        <v>0.175161196344236</v>
      </c>
      <c r="K37" s="36" t="n">
        <f aca="false">K36-0.1*V36</f>
        <v>0.281604082152865</v>
      </c>
      <c r="L37" s="36" t="n">
        <f aca="false">L36-0.1*W36</f>
        <v>0.402849522115342</v>
      </c>
      <c r="M37" s="36" t="n">
        <f aca="false">M36-0.1*X36</f>
        <v>0.483901832931238</v>
      </c>
      <c r="N37" s="31" t="n">
        <f aca="false">I37+J37*C37+K37*D37+L37*E37+F37*M37</f>
        <v>3.15281541236489</v>
      </c>
      <c r="O37" s="31" t="n">
        <f aca="false">1/(1+EXP(-N37))</f>
        <v>0.959019513669599</v>
      </c>
      <c r="P37" s="32" t="n">
        <f aca="false">IF(O37&gt;0.5,1,0)</f>
        <v>1</v>
      </c>
      <c r="Q37" s="32" t="n">
        <f aca="false">O37-G37</f>
        <v>0.959019513669599</v>
      </c>
      <c r="R37" s="33" t="n">
        <f aca="false">Q37^2</f>
        <v>0.919718427599074</v>
      </c>
      <c r="T37" s="26" t="n">
        <f aca="false">2*(O37-G37)*(1-O37)*O37</f>
        <v>0.0753810169000838</v>
      </c>
      <c r="U37" s="26" t="n">
        <f aca="false">2*(O37-G37)*(1-O37)*O37*C37</f>
        <v>0.391981287880436</v>
      </c>
      <c r="V37" s="26" t="n">
        <f aca="false">2*(O37-G37)*(1-O37)*O37*D37</f>
        <v>0.309062169290344</v>
      </c>
      <c r="W37" s="26" t="n">
        <f aca="false">2*(O37-G37)*(1-O37)*O37*E37</f>
        <v>0.113071525350126</v>
      </c>
      <c r="X37" s="26" t="n">
        <f aca="false">2*(O37-G37)*(1-O37)*O37*F37</f>
        <v>0.00753810169000838</v>
      </c>
    </row>
    <row r="38" customFormat="false" ht="14.25" hidden="false" customHeight="true" outlineLevel="0" collapsed="false">
      <c r="A38" s="27"/>
      <c r="B38" s="34" t="n">
        <v>34</v>
      </c>
      <c r="C38" s="28" t="n">
        <v>5.5</v>
      </c>
      <c r="D38" s="28" t="n">
        <v>4.2</v>
      </c>
      <c r="E38" s="28" t="n">
        <v>1.4</v>
      </c>
      <c r="F38" s="28" t="n">
        <v>0.2</v>
      </c>
      <c r="G38" s="35" t="n">
        <v>0</v>
      </c>
      <c r="H38" s="1" t="n">
        <f aca="false">IF(G38=P38, 1, 0)</f>
        <v>0</v>
      </c>
      <c r="I38" s="34" t="n">
        <f aca="false">I37-0.1*T37</f>
        <v>0.427197886391969</v>
      </c>
      <c r="J38" s="36" t="n">
        <f aca="false">J37-0.1*U37</f>
        <v>0.135963067556192</v>
      </c>
      <c r="K38" s="36" t="n">
        <f aca="false">K37-0.1*V37</f>
        <v>0.250697865223831</v>
      </c>
      <c r="L38" s="36" t="n">
        <f aca="false">L37-0.1*W37</f>
        <v>0.391542369580329</v>
      </c>
      <c r="M38" s="36" t="n">
        <f aca="false">M37-0.1*X37</f>
        <v>0.483148022762237</v>
      </c>
      <c r="N38" s="31" t="n">
        <f aca="false">I38+J38*C38+K38*D38+L38*E38+F38*M38</f>
        <v>2.87271471385602</v>
      </c>
      <c r="O38" s="31" t="n">
        <f aca="false">1/(1+EXP(-N38))</f>
        <v>0.946481027779361</v>
      </c>
      <c r="P38" s="32" t="n">
        <f aca="false">IF(O38&gt;0.5,1,0)</f>
        <v>1</v>
      </c>
      <c r="Q38" s="32" t="n">
        <f aca="false">O38-G38</f>
        <v>0.946481027779361</v>
      </c>
      <c r="R38" s="33" t="n">
        <f aca="false">Q38^2</f>
        <v>0.895826335946276</v>
      </c>
      <c r="T38" s="26" t="n">
        <f aca="false">2*(O38-G38)*(1-O38)*O38</f>
        <v>0.095887409576051</v>
      </c>
      <c r="U38" s="26" t="n">
        <f aca="false">2*(O38-G38)*(1-O38)*O38*C38</f>
        <v>0.527380752668281</v>
      </c>
      <c r="V38" s="26" t="n">
        <f aca="false">2*(O38-G38)*(1-O38)*O38*D38</f>
        <v>0.402727120219414</v>
      </c>
      <c r="W38" s="26" t="n">
        <f aca="false">2*(O38-G38)*(1-O38)*O38*E38</f>
        <v>0.134242373406471</v>
      </c>
      <c r="X38" s="26" t="n">
        <f aca="false">2*(O38-G38)*(1-O38)*O38*F38</f>
        <v>0.0191774819152102</v>
      </c>
    </row>
    <row r="39" customFormat="false" ht="14.25" hidden="false" customHeight="true" outlineLevel="0" collapsed="false">
      <c r="A39" s="27"/>
      <c r="B39" s="28" t="n">
        <v>35</v>
      </c>
      <c r="C39" s="28" t="n">
        <v>4.9</v>
      </c>
      <c r="D39" s="28" t="n">
        <v>3.1</v>
      </c>
      <c r="E39" s="28" t="n">
        <v>1.5</v>
      </c>
      <c r="F39" s="28" t="n">
        <v>0.1</v>
      </c>
      <c r="G39" s="35" t="n">
        <v>0</v>
      </c>
      <c r="H39" s="1" t="n">
        <f aca="false">IF(G39=P39, 1, 0)</f>
        <v>0</v>
      </c>
      <c r="I39" s="34" t="n">
        <f aca="false">I38-0.1*T38</f>
        <v>0.417609145434364</v>
      </c>
      <c r="J39" s="36" t="n">
        <f aca="false">J38-0.1*U38</f>
        <v>0.0832249922893642</v>
      </c>
      <c r="K39" s="36" t="n">
        <f aca="false">K38-0.1*V38</f>
        <v>0.210425153201889</v>
      </c>
      <c r="L39" s="36" t="n">
        <f aca="false">L38-0.1*W38</f>
        <v>0.378118132239682</v>
      </c>
      <c r="M39" s="36" t="n">
        <f aca="false">M38-0.1*X38</f>
        <v>0.481230274570716</v>
      </c>
      <c r="N39" s="31" t="n">
        <f aca="false">I39+J39*C39+K39*D39+L39*E39+F39*M39</f>
        <v>2.0930298083947</v>
      </c>
      <c r="O39" s="31" t="n">
        <f aca="false">1/(1+EXP(-N39))</f>
        <v>0.890223864933032</v>
      </c>
      <c r="P39" s="32" t="n">
        <f aca="false">IF(O39&gt;0.5,1,0)</f>
        <v>1</v>
      </c>
      <c r="Q39" s="32" t="n">
        <f aca="false">O39-G39</f>
        <v>0.890223864933032</v>
      </c>
      <c r="R39" s="33" t="n">
        <f aca="false">Q39^2</f>
        <v>0.792498529696304</v>
      </c>
      <c r="T39" s="26" t="n">
        <f aca="false">2*(O39-G39)*(1-O39)*O39</f>
        <v>0.173994851272631</v>
      </c>
      <c r="U39" s="26" t="n">
        <f aca="false">2*(O39-G39)*(1-O39)*O39*C39</f>
        <v>0.852574771235891</v>
      </c>
      <c r="V39" s="26" t="n">
        <f aca="false">2*(O39-G39)*(1-O39)*O39*D39</f>
        <v>0.539384038945156</v>
      </c>
      <c r="W39" s="26" t="n">
        <f aca="false">2*(O39-G39)*(1-O39)*O39*E39</f>
        <v>0.260992276908946</v>
      </c>
      <c r="X39" s="26" t="n">
        <f aca="false">2*(O39-G39)*(1-O39)*O39*F39</f>
        <v>0.0173994851272631</v>
      </c>
    </row>
    <row r="40" customFormat="false" ht="14.25" hidden="false" customHeight="true" outlineLevel="0" collapsed="false">
      <c r="A40" s="27"/>
      <c r="B40" s="34" t="n">
        <v>36</v>
      </c>
      <c r="C40" s="28" t="n">
        <v>5</v>
      </c>
      <c r="D40" s="28" t="n">
        <v>3.2</v>
      </c>
      <c r="E40" s="28" t="n">
        <v>1.2</v>
      </c>
      <c r="F40" s="28" t="n">
        <v>0.2</v>
      </c>
      <c r="G40" s="35" t="n">
        <v>0</v>
      </c>
      <c r="H40" s="1" t="n">
        <f aca="false">IF(G40=P40, 1, 0)</f>
        <v>0</v>
      </c>
      <c r="I40" s="34" t="n">
        <f aca="false">I39-0.1*T39</f>
        <v>0.400209660307101</v>
      </c>
      <c r="J40" s="36" t="n">
        <f aca="false">J39-0.1*U39</f>
        <v>-0.00203248483422494</v>
      </c>
      <c r="K40" s="36" t="n">
        <f aca="false">K39-0.1*V39</f>
        <v>0.156486749307374</v>
      </c>
      <c r="L40" s="36" t="n">
        <f aca="false">L39-0.1*W39</f>
        <v>0.352018904548788</v>
      </c>
      <c r="M40" s="36" t="n">
        <f aca="false">M39-0.1*X39</f>
        <v>0.47949032605799</v>
      </c>
      <c r="N40" s="31" t="n">
        <f aca="false">I40+J40*C40+K40*D40+L40*E40+F40*M40</f>
        <v>1.40912558458971</v>
      </c>
      <c r="O40" s="31" t="n">
        <f aca="false">1/(1+EXP(-N40))</f>
        <v>0.803627988734851</v>
      </c>
      <c r="P40" s="32" t="n">
        <f aca="false">IF(O40&gt;0.5,1,0)</f>
        <v>1</v>
      </c>
      <c r="Q40" s="32" t="n">
        <f aca="false">O40-G40</f>
        <v>0.803627988734851</v>
      </c>
      <c r="R40" s="33" t="n">
        <f aca="false">Q40^2</f>
        <v>0.645817944278022</v>
      </c>
      <c r="T40" s="26" t="n">
        <f aca="false">2*(O40-G40)*(1-O40)*O40</f>
        <v>0.253641137257998</v>
      </c>
      <c r="U40" s="26" t="n">
        <f aca="false">2*(O40-G40)*(1-O40)*O40*C40</f>
        <v>1.26820568628999</v>
      </c>
      <c r="V40" s="26" t="n">
        <f aca="false">2*(O40-G40)*(1-O40)*O40*D40</f>
        <v>0.811651639225595</v>
      </c>
      <c r="W40" s="26" t="n">
        <f aca="false">2*(O40-G40)*(1-O40)*O40*E40</f>
        <v>0.304369364709598</v>
      </c>
      <c r="X40" s="26" t="n">
        <f aca="false">2*(O40-G40)*(1-O40)*O40*F40</f>
        <v>0.0507282274515997</v>
      </c>
    </row>
    <row r="41" customFormat="false" ht="14.25" hidden="false" customHeight="true" outlineLevel="0" collapsed="false">
      <c r="A41" s="27"/>
      <c r="B41" s="28" t="n">
        <v>37</v>
      </c>
      <c r="C41" s="28" t="n">
        <v>5.5</v>
      </c>
      <c r="D41" s="28" t="n">
        <v>3.5</v>
      </c>
      <c r="E41" s="28" t="n">
        <v>1.3</v>
      </c>
      <c r="F41" s="28" t="n">
        <v>0.2</v>
      </c>
      <c r="G41" s="35" t="n">
        <v>0</v>
      </c>
      <c r="H41" s="1" t="n">
        <f aca="false">IF(G41=P41, 1, 0)</f>
        <v>0</v>
      </c>
      <c r="I41" s="34" t="n">
        <f aca="false">I40-0.1*T40</f>
        <v>0.374845546581301</v>
      </c>
      <c r="J41" s="36" t="n">
        <f aca="false">J40-0.1*U40</f>
        <v>-0.128853053463224</v>
      </c>
      <c r="K41" s="36" t="n">
        <f aca="false">K40-0.1*V40</f>
        <v>0.0753215853848143</v>
      </c>
      <c r="L41" s="36" t="n">
        <f aca="false">L40-0.1*W40</f>
        <v>0.321581968077828</v>
      </c>
      <c r="M41" s="36" t="n">
        <f aca="false">M40-0.1*X40</f>
        <v>0.47441750331283</v>
      </c>
      <c r="N41" s="31" t="n">
        <f aca="false">I41+J41*C41+K41*D41+L41*E41+F41*M41</f>
        <v>0.442719360544161</v>
      </c>
      <c r="O41" s="31" t="n">
        <f aca="false">1/(1+EXP(-N41))</f>
        <v>0.608906808826705</v>
      </c>
      <c r="P41" s="32" t="n">
        <f aca="false">IF(O41&gt;0.5,1,0)</f>
        <v>1</v>
      </c>
      <c r="Q41" s="32" t="n">
        <f aca="false">O41-G41</f>
        <v>0.608906808826705</v>
      </c>
      <c r="R41" s="33" t="n">
        <f aca="false">Q41^2</f>
        <v>0.370767501835522</v>
      </c>
      <c r="T41" s="26" t="n">
        <f aca="false">2*(O41-G41)*(1-O41)*O41</f>
        <v>0.290009290952409</v>
      </c>
      <c r="U41" s="26" t="n">
        <f aca="false">2*(O41-G41)*(1-O41)*O41*C41</f>
        <v>1.59505110023825</v>
      </c>
      <c r="V41" s="26" t="n">
        <f aca="false">2*(O41-G41)*(1-O41)*O41*D41</f>
        <v>1.01503251833343</v>
      </c>
      <c r="W41" s="26" t="n">
        <f aca="false">2*(O41-G41)*(1-O41)*O41*E41</f>
        <v>0.377012078238132</v>
      </c>
      <c r="X41" s="26" t="n">
        <f aca="false">2*(O41-G41)*(1-O41)*O41*F41</f>
        <v>0.0580018581904819</v>
      </c>
    </row>
    <row r="42" customFormat="false" ht="14.25" hidden="false" customHeight="true" outlineLevel="0" collapsed="false">
      <c r="A42" s="27"/>
      <c r="B42" s="34" t="n">
        <v>38</v>
      </c>
      <c r="C42" s="28" t="n">
        <v>4.9</v>
      </c>
      <c r="D42" s="28" t="n">
        <v>3.1</v>
      </c>
      <c r="E42" s="28" t="n">
        <v>1.5</v>
      </c>
      <c r="F42" s="28" t="n">
        <v>0.1</v>
      </c>
      <c r="G42" s="35" t="n">
        <v>0</v>
      </c>
      <c r="H42" s="1" t="n">
        <f aca="false">IF(G42=P42, 1, 0)</f>
        <v>1</v>
      </c>
      <c r="I42" s="34" t="n">
        <f aca="false">I41-0.1*T41</f>
        <v>0.34584461748606</v>
      </c>
      <c r="J42" s="36" t="n">
        <f aca="false">J41-0.1*U41</f>
        <v>-0.288358163487049</v>
      </c>
      <c r="K42" s="36" t="n">
        <f aca="false">K41-0.1*V41</f>
        <v>-0.026181666448529</v>
      </c>
      <c r="L42" s="36" t="n">
        <f aca="false">L41-0.1*W41</f>
        <v>0.283880760254015</v>
      </c>
      <c r="M42" s="36" t="n">
        <f aca="false">M41-0.1*X41</f>
        <v>0.468617317493782</v>
      </c>
      <c r="N42" s="31" t="n">
        <f aca="false">I42+J42*C42+K42*D42+L42*E42+F42*M42</f>
        <v>-0.675590677460521</v>
      </c>
      <c r="O42" s="31" t="n">
        <f aca="false">1/(1+EXP(-N42))</f>
        <v>0.33724612712615</v>
      </c>
      <c r="P42" s="32" t="n">
        <f aca="false">IF(O42&gt;0.5,1,0)</f>
        <v>0</v>
      </c>
      <c r="Q42" s="32" t="n">
        <f aca="false">O42-G42</f>
        <v>0.33724612712615</v>
      </c>
      <c r="R42" s="33" t="n">
        <f aca="false">Q42^2</f>
        <v>0.113734950261587</v>
      </c>
      <c r="T42" s="26" t="n">
        <f aca="false">2*(O42-G42)*(1-O42)*O42</f>
        <v>0.150756557533963</v>
      </c>
      <c r="U42" s="26" t="n">
        <f aca="false">2*(O42-G42)*(1-O42)*O42*C42</f>
        <v>0.73870713191642</v>
      </c>
      <c r="V42" s="26" t="n">
        <f aca="false">2*(O42-G42)*(1-O42)*O42*D42</f>
        <v>0.467345328355286</v>
      </c>
      <c r="W42" s="26" t="n">
        <f aca="false">2*(O42-G42)*(1-O42)*O42*E42</f>
        <v>0.226134836300945</v>
      </c>
      <c r="X42" s="26" t="n">
        <f aca="false">2*(O42-G42)*(1-O42)*O42*F42</f>
        <v>0.0150756557533963</v>
      </c>
    </row>
    <row r="43" customFormat="false" ht="14.25" hidden="false" customHeight="true" outlineLevel="0" collapsed="false">
      <c r="A43" s="27"/>
      <c r="B43" s="28" t="n">
        <v>39</v>
      </c>
      <c r="C43" s="28" t="n">
        <v>4.4</v>
      </c>
      <c r="D43" s="28" t="n">
        <v>3</v>
      </c>
      <c r="E43" s="28" t="n">
        <v>1.3</v>
      </c>
      <c r="F43" s="28" t="n">
        <v>0.2</v>
      </c>
      <c r="G43" s="35" t="n">
        <v>0</v>
      </c>
      <c r="H43" s="1" t="n">
        <f aca="false">IF(G43=P43, 1, 0)</f>
        <v>1</v>
      </c>
      <c r="I43" s="34" t="n">
        <f aca="false">I42-0.1*T42</f>
        <v>0.330768961732664</v>
      </c>
      <c r="J43" s="36" t="n">
        <f aca="false">J42-0.1*U42</f>
        <v>-0.362228876678691</v>
      </c>
      <c r="K43" s="36" t="n">
        <f aca="false">K42-0.1*V42</f>
        <v>-0.0729161992840576</v>
      </c>
      <c r="L43" s="36" t="n">
        <f aca="false">L42-0.1*W42</f>
        <v>0.26126727662392</v>
      </c>
      <c r="M43" s="36" t="n">
        <f aca="false">M42-0.1*X42</f>
        <v>0.467109751918442</v>
      </c>
      <c r="N43" s="31" t="n">
        <f aca="false">I43+J43*C43+K43*D43+L43*E43+F43*M43</f>
        <v>-1.04871728351097</v>
      </c>
      <c r="O43" s="31" t="n">
        <f aca="false">1/(1+EXP(-N43))</f>
        <v>0.259471493655287</v>
      </c>
      <c r="P43" s="32" t="n">
        <f aca="false">IF(O43&gt;0.5,1,0)</f>
        <v>0</v>
      </c>
      <c r="Q43" s="32" t="n">
        <f aca="false">O43-G43</f>
        <v>0.259471493655287</v>
      </c>
      <c r="R43" s="33" t="n">
        <f aca="false">Q43^2</f>
        <v>0.0673254560197057</v>
      </c>
      <c r="T43" s="26" t="n">
        <f aca="false">2*(O43-G43)*(1-O43)*O43</f>
        <v>0.0997128387704986</v>
      </c>
      <c r="U43" s="26" t="n">
        <f aca="false">2*(O43-G43)*(1-O43)*O43*C43</f>
        <v>0.438736490590194</v>
      </c>
      <c r="V43" s="26" t="n">
        <f aca="false">2*(O43-G43)*(1-O43)*O43*D43</f>
        <v>0.299138516311496</v>
      </c>
      <c r="W43" s="26" t="n">
        <f aca="false">2*(O43-G43)*(1-O43)*O43*E43</f>
        <v>0.129626690401648</v>
      </c>
      <c r="X43" s="26" t="n">
        <f aca="false">2*(O43-G43)*(1-O43)*O43*F43</f>
        <v>0.0199425677540997</v>
      </c>
    </row>
    <row r="44" customFormat="false" ht="14.25" hidden="false" customHeight="true" outlineLevel="0" collapsed="false">
      <c r="A44" s="27"/>
      <c r="B44" s="34" t="n">
        <v>40</v>
      </c>
      <c r="C44" s="28" t="n">
        <v>5.1</v>
      </c>
      <c r="D44" s="28" t="n">
        <v>3.4</v>
      </c>
      <c r="E44" s="28" t="n">
        <v>1.5</v>
      </c>
      <c r="F44" s="28" t="n">
        <v>0.2</v>
      </c>
      <c r="G44" s="35" t="n">
        <v>0</v>
      </c>
      <c r="H44" s="1" t="n">
        <f aca="false">IF(G44=P44, 1, 0)</f>
        <v>1</v>
      </c>
      <c r="I44" s="34" t="n">
        <f aca="false">I43-0.1*T43</f>
        <v>0.320797677855614</v>
      </c>
      <c r="J44" s="36" t="n">
        <f aca="false">J43-0.1*U43</f>
        <v>-0.406102525737711</v>
      </c>
      <c r="K44" s="36" t="n">
        <f aca="false">K43-0.1*V43</f>
        <v>-0.102830050915207</v>
      </c>
      <c r="L44" s="36" t="n">
        <f aca="false">L43-0.1*W43</f>
        <v>0.248304607583755</v>
      </c>
      <c r="M44" s="36" t="n">
        <f aca="false">M43-0.1*X43</f>
        <v>0.465115495143032</v>
      </c>
      <c r="N44" s="31" t="n">
        <f aca="false">I44+J44*C44+K44*D44+L44*E44+F44*M44</f>
        <v>-1.63446736611417</v>
      </c>
      <c r="O44" s="31" t="n">
        <f aca="false">1/(1+EXP(-N44))</f>
        <v>0.163219295565995</v>
      </c>
      <c r="P44" s="32" t="n">
        <f aca="false">IF(O44&gt;0.5,1,0)</f>
        <v>0</v>
      </c>
      <c r="Q44" s="32" t="n">
        <f aca="false">O44-G44</f>
        <v>0.163219295565995</v>
      </c>
      <c r="R44" s="33" t="n">
        <f aca="false">Q44^2</f>
        <v>0.0266405384450596</v>
      </c>
      <c r="T44" s="26" t="n">
        <f aca="false">2*(O44-G44)*(1-O44)*O44</f>
        <v>0.0445845770531163</v>
      </c>
      <c r="U44" s="26" t="n">
        <f aca="false">2*(O44-G44)*(1-O44)*O44*C44</f>
        <v>0.227381342970893</v>
      </c>
      <c r="V44" s="26" t="n">
        <f aca="false">2*(O44-G44)*(1-O44)*O44*D44</f>
        <v>0.151587561980596</v>
      </c>
      <c r="W44" s="26" t="n">
        <f aca="false">2*(O44-G44)*(1-O44)*O44*E44</f>
        <v>0.0668768655796745</v>
      </c>
      <c r="X44" s="26" t="n">
        <f aca="false">2*(O44-G44)*(1-O44)*O44*F44</f>
        <v>0.00891691541062327</v>
      </c>
    </row>
    <row r="45" customFormat="false" ht="14.25" hidden="false" customHeight="true" outlineLevel="0" collapsed="false">
      <c r="A45" s="27"/>
      <c r="B45" s="28" t="n">
        <v>41</v>
      </c>
      <c r="C45" s="28" t="n">
        <v>7</v>
      </c>
      <c r="D45" s="28" t="n">
        <v>3.2</v>
      </c>
      <c r="E45" s="28" t="n">
        <v>4.7</v>
      </c>
      <c r="F45" s="28" t="n">
        <v>1.4</v>
      </c>
      <c r="G45" s="35" t="n">
        <v>1</v>
      </c>
      <c r="H45" s="1" t="n">
        <f aca="false">IF(G45=P45, 1, 0)</f>
        <v>0</v>
      </c>
      <c r="I45" s="34" t="n">
        <f aca="false">I44-0.1*T44</f>
        <v>0.316339220150302</v>
      </c>
      <c r="J45" s="36" t="n">
        <f aca="false">J44-0.1*U44</f>
        <v>-0.4288406600348</v>
      </c>
      <c r="K45" s="36" t="n">
        <f aca="false">K44-0.1*V44</f>
        <v>-0.117988807113267</v>
      </c>
      <c r="L45" s="36" t="n">
        <f aca="false">L44-0.1*W44</f>
        <v>0.241616921025788</v>
      </c>
      <c r="M45" s="36" t="n">
        <f aca="false">M44-0.1*X44</f>
        <v>0.46422380360197</v>
      </c>
      <c r="N45" s="31" t="n">
        <f aca="false">I45+J45*C45+K45*D45+L45*E45+F45*M45</f>
        <v>-1.27759672899179</v>
      </c>
      <c r="O45" s="31" t="n">
        <f aca="false">1/(1+EXP(-N45))</f>
        <v>0.217959591155023</v>
      </c>
      <c r="P45" s="32" t="n">
        <f aca="false">IF(O45&gt;0.5,1,0)</f>
        <v>0</v>
      </c>
      <c r="Q45" s="32" t="n">
        <f aca="false">O45-G45</f>
        <v>-0.782040408844977</v>
      </c>
      <c r="R45" s="33" t="n">
        <f aca="false">Q45^2</f>
        <v>0.611587201066419</v>
      </c>
      <c r="T45" s="26" t="n">
        <f aca="false">2*(O45-G45)*(1-O45)*O45</f>
        <v>-0.266602592600163</v>
      </c>
      <c r="U45" s="26" t="n">
        <f aca="false">2*(O45-G45)*(1-O45)*O45*C45</f>
        <v>-1.86621814820114</v>
      </c>
      <c r="V45" s="26" t="n">
        <f aca="false">2*(O45-G45)*(1-O45)*O45*D45</f>
        <v>-0.853128296320522</v>
      </c>
      <c r="W45" s="26" t="n">
        <f aca="false">2*(O45-G45)*(1-O45)*O45*E45</f>
        <v>-1.25303218522077</v>
      </c>
      <c r="X45" s="26" t="n">
        <f aca="false">2*(O45-G45)*(1-O45)*O45*F45</f>
        <v>-0.373243629640228</v>
      </c>
    </row>
    <row r="46" customFormat="false" ht="14.25" hidden="false" customHeight="true" outlineLevel="0" collapsed="false">
      <c r="A46" s="27"/>
      <c r="B46" s="34" t="n">
        <v>42</v>
      </c>
      <c r="C46" s="28" t="n">
        <v>6.4</v>
      </c>
      <c r="D46" s="28" t="n">
        <v>3.2</v>
      </c>
      <c r="E46" s="28" t="n">
        <v>4.5</v>
      </c>
      <c r="F46" s="28" t="n">
        <v>1.5</v>
      </c>
      <c r="G46" s="35" t="n">
        <v>1</v>
      </c>
      <c r="H46" s="1" t="n">
        <f aca="false">IF(G46=P46, 1, 0)</f>
        <v>1</v>
      </c>
      <c r="I46" s="34" t="n">
        <f aca="false">I45-0.1*T45</f>
        <v>0.342999479410318</v>
      </c>
      <c r="J46" s="36" t="n">
        <f aca="false">J45-0.1*U45</f>
        <v>-0.242218845214686</v>
      </c>
      <c r="K46" s="36" t="n">
        <f aca="false">K45-0.1*V45</f>
        <v>-0.0326759774812146</v>
      </c>
      <c r="L46" s="36" t="n">
        <f aca="false">L45-0.1*W45</f>
        <v>0.366920139547865</v>
      </c>
      <c r="M46" s="36" t="n">
        <f aca="false">M45-0.1*X45</f>
        <v>0.501548166565992</v>
      </c>
      <c r="N46" s="31" t="n">
        <f aca="false">I46+J46*C46+K46*D46+L46*E46+F46*M46</f>
        <v>1.09169861991082</v>
      </c>
      <c r="O46" s="31" t="n">
        <f aca="false">1/(1+EXP(-N46))</f>
        <v>0.748701447840569</v>
      </c>
      <c r="P46" s="32" t="n">
        <f aca="false">IF(O46&gt;0.5,1,0)</f>
        <v>1</v>
      </c>
      <c r="Q46" s="32" t="n">
        <f aca="false">O46-G46</f>
        <v>-0.251298552159431</v>
      </c>
      <c r="R46" s="33" t="n">
        <f aca="false">Q46^2</f>
        <v>0.0631509623174264</v>
      </c>
      <c r="T46" s="26" t="n">
        <f aca="false">2*(O46-G46)*(1-O46)*O46</f>
        <v>-0.0945624338391647</v>
      </c>
      <c r="U46" s="26" t="n">
        <f aca="false">2*(O46-G46)*(1-O46)*O46*C46</f>
        <v>-0.605199576570654</v>
      </c>
      <c r="V46" s="26" t="n">
        <f aca="false">2*(O46-G46)*(1-O46)*O46*D46</f>
        <v>-0.302599788285327</v>
      </c>
      <c r="W46" s="26" t="n">
        <f aca="false">2*(O46-G46)*(1-O46)*O46*E46</f>
        <v>-0.425530952276241</v>
      </c>
      <c r="X46" s="26" t="n">
        <f aca="false">2*(O46-G46)*(1-O46)*O46*F46</f>
        <v>-0.141843650758747</v>
      </c>
    </row>
    <row r="47" customFormat="false" ht="14.25" hidden="false" customHeight="true" outlineLevel="0" collapsed="false">
      <c r="A47" s="27"/>
      <c r="B47" s="28" t="n">
        <v>43</v>
      </c>
      <c r="C47" s="28" t="n">
        <v>6.9</v>
      </c>
      <c r="D47" s="28" t="n">
        <v>3.1</v>
      </c>
      <c r="E47" s="28" t="n">
        <v>4.9</v>
      </c>
      <c r="F47" s="28" t="n">
        <v>1.5</v>
      </c>
      <c r="G47" s="35" t="n">
        <v>1</v>
      </c>
      <c r="H47" s="1" t="n">
        <f aca="false">IF(G47=P47, 1, 0)</f>
        <v>1</v>
      </c>
      <c r="I47" s="34" t="n">
        <f aca="false">I46-0.1*T46</f>
        <v>0.352455722794235</v>
      </c>
      <c r="J47" s="36" t="n">
        <f aca="false">J46-0.1*U46</f>
        <v>-0.18169888755762</v>
      </c>
      <c r="K47" s="36" t="n">
        <f aca="false">K46-0.1*V46</f>
        <v>-0.00241599865268184</v>
      </c>
      <c r="L47" s="36" t="n">
        <f aca="false">L46-0.1*W46</f>
        <v>0.409473234775489</v>
      </c>
      <c r="M47" s="36" t="n">
        <f aca="false">M46-0.1*X46</f>
        <v>0.515732531641867</v>
      </c>
      <c r="N47" s="31" t="n">
        <f aca="false">I47+J47*C47+K47*D47+L47*E47+F47*M47</f>
        <v>1.87126145068604</v>
      </c>
      <c r="O47" s="31" t="n">
        <f aca="false">1/(1+EXP(-N47))</f>
        <v>0.866604170359037</v>
      </c>
      <c r="P47" s="32" t="n">
        <f aca="false">IF(O47&gt;0.5,1,0)</f>
        <v>1</v>
      </c>
      <c r="Q47" s="32" t="n">
        <f aca="false">O47-G47</f>
        <v>-0.133395829640963</v>
      </c>
      <c r="R47" s="33" t="n">
        <f aca="false">Q47^2</f>
        <v>0.0177944473656008</v>
      </c>
      <c r="T47" s="26" t="n">
        <f aca="false">2*(O47-G47)*(1-O47)*O47</f>
        <v>-0.0308414845925281</v>
      </c>
      <c r="U47" s="26" t="n">
        <f aca="false">2*(O47-G47)*(1-O47)*O47*C47</f>
        <v>-0.212806243688444</v>
      </c>
      <c r="V47" s="26" t="n">
        <f aca="false">2*(O47-G47)*(1-O47)*O47*D47</f>
        <v>-0.095608602236837</v>
      </c>
      <c r="W47" s="26" t="n">
        <f aca="false">2*(O47-G47)*(1-O47)*O47*E47</f>
        <v>-0.151123274503387</v>
      </c>
      <c r="X47" s="26" t="n">
        <f aca="false">2*(O47-G47)*(1-O47)*O47*F47</f>
        <v>-0.0462622268887921</v>
      </c>
    </row>
    <row r="48" customFormat="false" ht="14.25" hidden="false" customHeight="true" outlineLevel="0" collapsed="false">
      <c r="A48" s="27"/>
      <c r="B48" s="34" t="n">
        <v>44</v>
      </c>
      <c r="C48" s="28" t="n">
        <v>5.5</v>
      </c>
      <c r="D48" s="28" t="n">
        <v>2.3</v>
      </c>
      <c r="E48" s="28" t="n">
        <v>4</v>
      </c>
      <c r="F48" s="28" t="n">
        <v>1.3</v>
      </c>
      <c r="G48" s="35" t="n">
        <v>1</v>
      </c>
      <c r="H48" s="1" t="n">
        <f aca="false">IF(G48=P48, 1, 0)</f>
        <v>1</v>
      </c>
      <c r="I48" s="34" t="n">
        <f aca="false">I47-0.1*T47</f>
        <v>0.355539871253488</v>
      </c>
      <c r="J48" s="36" t="n">
        <f aca="false">J47-0.1*U47</f>
        <v>-0.160418263188776</v>
      </c>
      <c r="K48" s="36" t="n">
        <f aca="false">K47-0.1*V47</f>
        <v>0.00714486157100185</v>
      </c>
      <c r="L48" s="36" t="n">
        <f aca="false">L47-0.1*W47</f>
        <v>0.424585562225827</v>
      </c>
      <c r="M48" s="36" t="n">
        <f aca="false">M47-0.1*X47</f>
        <v>0.520358754330746</v>
      </c>
      <c r="N48" s="31" t="n">
        <f aca="false">I48+J48*C48+K48*D48+L48*E48+F48*M48</f>
        <v>1.8644812348618</v>
      </c>
      <c r="O48" s="31" t="n">
        <f aca="false">1/(1+EXP(-N48))</f>
        <v>0.865818417938056</v>
      </c>
      <c r="P48" s="32" t="n">
        <f aca="false">IF(O48&gt;0.5,1,0)</f>
        <v>1</v>
      </c>
      <c r="Q48" s="32" t="n">
        <f aca="false">O48-G48</f>
        <v>-0.134181582061944</v>
      </c>
      <c r="R48" s="33" t="n">
        <f aca="false">Q48^2</f>
        <v>0.0180046969646463</v>
      </c>
      <c r="T48" s="26" t="n">
        <f aca="false">2*(O48-G48)*(1-O48)*O48</f>
        <v>-0.0311775964827683</v>
      </c>
      <c r="U48" s="26" t="n">
        <f aca="false">2*(O48-G48)*(1-O48)*O48*C48</f>
        <v>-0.171476780655226</v>
      </c>
      <c r="V48" s="26" t="n">
        <f aca="false">2*(O48-G48)*(1-O48)*O48*D48</f>
        <v>-0.0717084719103671</v>
      </c>
      <c r="W48" s="26" t="n">
        <f aca="false">2*(O48-G48)*(1-O48)*O48*E48</f>
        <v>-0.124710385931073</v>
      </c>
      <c r="X48" s="26" t="n">
        <f aca="false">2*(O48-G48)*(1-O48)*O48*F48</f>
        <v>-0.0405308754275988</v>
      </c>
    </row>
    <row r="49" customFormat="false" ht="14.25" hidden="false" customHeight="true" outlineLevel="0" collapsed="false">
      <c r="A49" s="27"/>
      <c r="B49" s="28" t="n">
        <v>45</v>
      </c>
      <c r="C49" s="28" t="n">
        <v>6.5</v>
      </c>
      <c r="D49" s="28" t="n">
        <v>2.8</v>
      </c>
      <c r="E49" s="28" t="n">
        <v>4.6</v>
      </c>
      <c r="F49" s="28" t="n">
        <v>1.5</v>
      </c>
      <c r="G49" s="35" t="n">
        <v>1</v>
      </c>
      <c r="H49" s="1" t="n">
        <f aca="false">IF(G49=P49, 1, 0)</f>
        <v>1</v>
      </c>
      <c r="I49" s="34" t="n">
        <f aca="false">I48-0.1*T48</f>
        <v>0.358657630901765</v>
      </c>
      <c r="J49" s="36" t="n">
        <f aca="false">J48-0.1*U48</f>
        <v>-0.143270585123253</v>
      </c>
      <c r="K49" s="36" t="n">
        <f aca="false">K48-0.1*V48</f>
        <v>0.0143157087620386</v>
      </c>
      <c r="L49" s="36" t="n">
        <f aca="false">L48-0.1*W48</f>
        <v>0.437056600818935</v>
      </c>
      <c r="M49" s="36" t="n">
        <f aca="false">M48-0.1*X48</f>
        <v>0.524411841873506</v>
      </c>
      <c r="N49" s="31" t="n">
        <f aca="false">I49+J49*C49+K49*D49+L49*E49+F49*M49</f>
        <v>2.26456093871168</v>
      </c>
      <c r="O49" s="31" t="n">
        <f aca="false">1/(1+EXP(-N49))</f>
        <v>0.905899152712908</v>
      </c>
      <c r="P49" s="32" t="n">
        <f aca="false">IF(O49&gt;0.5,1,0)</f>
        <v>1</v>
      </c>
      <c r="Q49" s="32" t="n">
        <f aca="false">O49-G49</f>
        <v>-0.094100847287092</v>
      </c>
      <c r="R49" s="33" t="n">
        <f aca="false">Q49^2</f>
        <v>0.00885496946014861</v>
      </c>
      <c r="T49" s="26" t="n">
        <f aca="false">2*(O49-G49)*(1-O49)*O49</f>
        <v>-0.0160434186624946</v>
      </c>
      <c r="U49" s="26" t="n">
        <f aca="false">2*(O49-G49)*(1-O49)*O49*C49</f>
        <v>-0.104282221306215</v>
      </c>
      <c r="V49" s="26" t="n">
        <f aca="false">2*(O49-G49)*(1-O49)*O49*D49</f>
        <v>-0.0449215722549849</v>
      </c>
      <c r="W49" s="26" t="n">
        <f aca="false">2*(O49-G49)*(1-O49)*O49*E49</f>
        <v>-0.0737997258474752</v>
      </c>
      <c r="X49" s="26" t="n">
        <f aca="false">2*(O49-G49)*(1-O49)*O49*F49</f>
        <v>-0.0240651279937419</v>
      </c>
    </row>
    <row r="50" customFormat="false" ht="14.25" hidden="false" customHeight="true" outlineLevel="0" collapsed="false">
      <c r="A50" s="27"/>
      <c r="B50" s="34" t="n">
        <v>46</v>
      </c>
      <c r="C50" s="28" t="n">
        <v>5.7</v>
      </c>
      <c r="D50" s="28" t="n">
        <v>2.8</v>
      </c>
      <c r="E50" s="28" t="n">
        <v>4.5</v>
      </c>
      <c r="F50" s="28" t="n">
        <v>1.3</v>
      </c>
      <c r="G50" s="35" t="n">
        <v>1</v>
      </c>
      <c r="H50" s="1" t="n">
        <f aca="false">IF(G50=P50, 1, 0)</f>
        <v>1</v>
      </c>
      <c r="I50" s="34" t="n">
        <f aca="false">I49-0.1*T49</f>
        <v>0.360261972768014</v>
      </c>
      <c r="J50" s="36" t="n">
        <f aca="false">J49-0.1*U49</f>
        <v>-0.132842362992632</v>
      </c>
      <c r="K50" s="36" t="n">
        <f aca="false">K49-0.1*V49</f>
        <v>0.0188078659875371</v>
      </c>
      <c r="L50" s="36" t="n">
        <f aca="false">L49-0.1*W49</f>
        <v>0.444436573403682</v>
      </c>
      <c r="M50" s="36" t="n">
        <f aca="false">M49-0.1*X49</f>
        <v>0.526818354672881</v>
      </c>
      <c r="N50" s="31" t="n">
        <f aca="false">I50+J50*C50+K50*D50+L50*E50+F50*M50</f>
        <v>2.34055096986643</v>
      </c>
      <c r="O50" s="31" t="n">
        <f aca="false">1/(1+EXP(-N50))</f>
        <v>0.912180231989805</v>
      </c>
      <c r="P50" s="32" t="n">
        <f aca="false">IF(O50&gt;0.5,1,0)</f>
        <v>1</v>
      </c>
      <c r="Q50" s="32" t="n">
        <f aca="false">O50-G50</f>
        <v>-0.0878197680101955</v>
      </c>
      <c r="R50" s="33" t="n">
        <f aca="false">Q50^2</f>
        <v>0.00771231165336456</v>
      </c>
      <c r="T50" s="26" t="n">
        <f aca="false">2*(O50-G50)*(1-O50)*O50</f>
        <v>-0.0140700364662875</v>
      </c>
      <c r="U50" s="26" t="n">
        <f aca="false">2*(O50-G50)*(1-O50)*O50*C50</f>
        <v>-0.0801992078578389</v>
      </c>
      <c r="V50" s="26" t="n">
        <f aca="false">2*(O50-G50)*(1-O50)*O50*D50</f>
        <v>-0.0393961021056051</v>
      </c>
      <c r="W50" s="26" t="n">
        <f aca="false">2*(O50-G50)*(1-O50)*O50*E50</f>
        <v>-0.0633151640982938</v>
      </c>
      <c r="X50" s="26" t="n">
        <f aca="false">2*(O50-G50)*(1-O50)*O50*F50</f>
        <v>-0.0182910474061738</v>
      </c>
    </row>
    <row r="51" customFormat="false" ht="14.25" hidden="false" customHeight="true" outlineLevel="0" collapsed="false">
      <c r="A51" s="27"/>
      <c r="B51" s="28" t="n">
        <v>47</v>
      </c>
      <c r="C51" s="28" t="n">
        <v>6.3</v>
      </c>
      <c r="D51" s="28" t="n">
        <v>3.3</v>
      </c>
      <c r="E51" s="28" t="n">
        <v>4.7</v>
      </c>
      <c r="F51" s="28" t="n">
        <v>1.6</v>
      </c>
      <c r="G51" s="35" t="n">
        <v>1</v>
      </c>
      <c r="H51" s="1" t="n">
        <f aca="false">IF(G51=P51, 1, 0)</f>
        <v>1</v>
      </c>
      <c r="I51" s="34" t="n">
        <f aca="false">I50-0.1*T50</f>
        <v>0.361668976414643</v>
      </c>
      <c r="J51" s="36" t="n">
        <f aca="false">J50-0.1*U50</f>
        <v>-0.124822442206848</v>
      </c>
      <c r="K51" s="36" t="n">
        <f aca="false">K50-0.1*V50</f>
        <v>0.0227474761980976</v>
      </c>
      <c r="L51" s="36" t="n">
        <f aca="false">L50-0.1*W50</f>
        <v>0.450768089813512</v>
      </c>
      <c r="M51" s="36" t="n">
        <f aca="false">M50-0.1*X50</f>
        <v>0.528647459413498</v>
      </c>
      <c r="N51" s="31" t="n">
        <f aca="false">I51+J51*C51+K51*D51+L51*E51+F51*M51</f>
        <v>2.61480021915032</v>
      </c>
      <c r="O51" s="31" t="n">
        <f aca="false">1/(1+EXP(-N51))</f>
        <v>0.931808043855766</v>
      </c>
      <c r="P51" s="32" t="n">
        <f aca="false">IF(O51&gt;0.5,1,0)</f>
        <v>1</v>
      </c>
      <c r="Q51" s="32" t="n">
        <f aca="false">O51-G51</f>
        <v>-0.0681919561442336</v>
      </c>
      <c r="R51" s="33" t="n">
        <f aca="false">Q51^2</f>
        <v>0.00465014288277707</v>
      </c>
      <c r="T51" s="26" t="n">
        <f aca="false">2*(O51-G51)*(1-O51)*O51</f>
        <v>-0.00866608108650064</v>
      </c>
      <c r="U51" s="26" t="n">
        <f aca="false">2*(O51-G51)*(1-O51)*O51*C51</f>
        <v>-0.054596310844954</v>
      </c>
      <c r="V51" s="26" t="n">
        <f aca="false">2*(O51-G51)*(1-O51)*O51*D51</f>
        <v>-0.0285980675854521</v>
      </c>
      <c r="W51" s="26" t="n">
        <f aca="false">2*(O51-G51)*(1-O51)*O51*E51</f>
        <v>-0.040730581106553</v>
      </c>
      <c r="X51" s="26" t="n">
        <f aca="false">2*(O51-G51)*(1-O51)*O51*F51</f>
        <v>-0.013865729738401</v>
      </c>
    </row>
    <row r="52" customFormat="false" ht="14.25" hidden="false" customHeight="true" outlineLevel="0" collapsed="false">
      <c r="A52" s="27"/>
      <c r="B52" s="34" t="n">
        <v>48</v>
      </c>
      <c r="C52" s="28" t="n">
        <v>4.9</v>
      </c>
      <c r="D52" s="28" t="n">
        <v>2.4</v>
      </c>
      <c r="E52" s="28" t="n">
        <v>3.3</v>
      </c>
      <c r="F52" s="28" t="n">
        <v>1</v>
      </c>
      <c r="G52" s="35" t="n">
        <v>1</v>
      </c>
      <c r="H52" s="1" t="n">
        <f aca="false">IF(G52=P52, 1, 0)</f>
        <v>1</v>
      </c>
      <c r="I52" s="34" t="n">
        <f aca="false">I51-0.1*T51</f>
        <v>0.362535584523293</v>
      </c>
      <c r="J52" s="36" t="n">
        <f aca="false">J51-0.1*U51</f>
        <v>-0.119362811122353</v>
      </c>
      <c r="K52" s="36" t="n">
        <f aca="false">K51-0.1*V51</f>
        <v>0.0256072829566428</v>
      </c>
      <c r="L52" s="36" t="n">
        <f aca="false">L51-0.1*W51</f>
        <v>0.454841147924167</v>
      </c>
      <c r="M52" s="36" t="n">
        <f aca="false">M51-0.1*X51</f>
        <v>0.530034032387338</v>
      </c>
      <c r="N52" s="31" t="n">
        <f aca="false">I52+J52*C52+K52*D52+L52*E52+F52*M52</f>
        <v>1.8701251096568</v>
      </c>
      <c r="O52" s="31" t="n">
        <f aca="false">1/(1+EXP(-N52))</f>
        <v>0.866472753032665</v>
      </c>
      <c r="P52" s="32" t="n">
        <f aca="false">IF(O52&gt;0.5,1,0)</f>
        <v>1</v>
      </c>
      <c r="Q52" s="32" t="n">
        <f aca="false">O52-G52</f>
        <v>-0.133527246967335</v>
      </c>
      <c r="R52" s="33" t="n">
        <f aca="false">Q52^2</f>
        <v>0.0178295256826757</v>
      </c>
      <c r="T52" s="26" t="n">
        <f aca="false">2*(O52-G52)*(1-O52)*O52</f>
        <v>-0.0308975964070692</v>
      </c>
      <c r="U52" s="26" t="n">
        <f aca="false">2*(O52-G52)*(1-O52)*O52*C52</f>
        <v>-0.151398222394639</v>
      </c>
      <c r="V52" s="26" t="n">
        <f aca="false">2*(O52-G52)*(1-O52)*O52*D52</f>
        <v>-0.0741542313769661</v>
      </c>
      <c r="W52" s="26" t="n">
        <f aca="false">2*(O52-G52)*(1-O52)*O52*E52</f>
        <v>-0.101962068143328</v>
      </c>
      <c r="X52" s="26" t="n">
        <f aca="false">2*(O52-G52)*(1-O52)*O52*F52</f>
        <v>-0.0308975964070692</v>
      </c>
    </row>
    <row r="53" customFormat="false" ht="14.25" hidden="false" customHeight="true" outlineLevel="0" collapsed="false">
      <c r="A53" s="27"/>
      <c r="B53" s="28" t="n">
        <v>49</v>
      </c>
      <c r="C53" s="28" t="n">
        <v>6.6</v>
      </c>
      <c r="D53" s="28" t="n">
        <v>2.9</v>
      </c>
      <c r="E53" s="28" t="n">
        <v>4.6</v>
      </c>
      <c r="F53" s="28" t="n">
        <v>1.3</v>
      </c>
      <c r="G53" s="35" t="n">
        <v>1</v>
      </c>
      <c r="H53" s="1" t="n">
        <f aca="false">IF(G53=P53, 1, 0)</f>
        <v>1</v>
      </c>
      <c r="I53" s="34" t="n">
        <f aca="false">I52-0.1*T52</f>
        <v>0.365625344164</v>
      </c>
      <c r="J53" s="36" t="n">
        <f aca="false">J52-0.1*U52</f>
        <v>-0.104222988882889</v>
      </c>
      <c r="K53" s="36" t="n">
        <f aca="false">K52-0.1*V52</f>
        <v>0.0330227060943394</v>
      </c>
      <c r="L53" s="36" t="n">
        <f aca="false">L52-0.1*W52</f>
        <v>0.4650373547385</v>
      </c>
      <c r="M53" s="36" t="n">
        <f aca="false">M52-0.1*X52</f>
        <v>0.533123792028045</v>
      </c>
      <c r="N53" s="31" t="n">
        <f aca="false">I53+J53*C53+K53*D53+L53*E53+F53*M53</f>
        <v>2.60575222664408</v>
      </c>
      <c r="O53" s="31" t="n">
        <f aca="false">1/(1+EXP(-N53))</f>
        <v>0.931230866915177</v>
      </c>
      <c r="P53" s="32" t="n">
        <f aca="false">IF(O53&gt;0.5,1,0)</f>
        <v>1</v>
      </c>
      <c r="Q53" s="32" t="n">
        <f aca="false">O53-G53</f>
        <v>-0.0687691330848229</v>
      </c>
      <c r="R53" s="33" t="n">
        <f aca="false">Q53^2</f>
        <v>0.00472919366523809</v>
      </c>
      <c r="T53" s="26" t="n">
        <f aca="false">2*(O53-G53)*(1-O53)*O53</f>
        <v>-0.00880794223337885</v>
      </c>
      <c r="U53" s="26" t="n">
        <f aca="false">2*(O53-G53)*(1-O53)*O53*C53</f>
        <v>-0.0581324187403004</v>
      </c>
      <c r="V53" s="26" t="n">
        <f aca="false">2*(O53-G53)*(1-O53)*O53*D53</f>
        <v>-0.0255430324767987</v>
      </c>
      <c r="W53" s="26" t="n">
        <f aca="false">2*(O53-G53)*(1-O53)*O53*E53</f>
        <v>-0.0405165342735427</v>
      </c>
      <c r="X53" s="26" t="n">
        <f aca="false">2*(O53-G53)*(1-O53)*O53*F53</f>
        <v>-0.0114503249033925</v>
      </c>
    </row>
    <row r="54" customFormat="false" ht="14.25" hidden="false" customHeight="true" outlineLevel="0" collapsed="false">
      <c r="A54" s="27"/>
      <c r="B54" s="34" t="n">
        <v>50</v>
      </c>
      <c r="C54" s="28" t="n">
        <v>5.2</v>
      </c>
      <c r="D54" s="28" t="n">
        <v>2.7</v>
      </c>
      <c r="E54" s="28" t="n">
        <v>3.9</v>
      </c>
      <c r="F54" s="28" t="n">
        <v>1.4</v>
      </c>
      <c r="G54" s="35" t="n">
        <v>1</v>
      </c>
      <c r="H54" s="1" t="n">
        <f aca="false">IF(G54=P54, 1, 0)</f>
        <v>1</v>
      </c>
      <c r="I54" s="34" t="n">
        <f aca="false">I53-0.1*T53</f>
        <v>0.366506138387338</v>
      </c>
      <c r="J54" s="36" t="n">
        <f aca="false">J53-0.1*U53</f>
        <v>-0.0984097470088586</v>
      </c>
      <c r="K54" s="36" t="n">
        <f aca="false">K53-0.1*V53</f>
        <v>0.0355770093420192</v>
      </c>
      <c r="L54" s="36" t="n">
        <f aca="false">L53-0.1*W53</f>
        <v>0.469089008165854</v>
      </c>
      <c r="M54" s="36" t="n">
        <f aca="false">M53-0.1*X53</f>
        <v>0.534268824518384</v>
      </c>
      <c r="N54" s="31" t="n">
        <f aca="false">I54+J54*C54+K54*D54+L54*E54+F54*M54</f>
        <v>2.52825686533729</v>
      </c>
      <c r="O54" s="31" t="n">
        <f aca="false">1/(1+EXP(-N54))</f>
        <v>0.926099142670588</v>
      </c>
      <c r="P54" s="32" t="n">
        <f aca="false">IF(O54&gt;0.5,1,0)</f>
        <v>1</v>
      </c>
      <c r="Q54" s="32" t="n">
        <f aca="false">O54-G54</f>
        <v>-0.0739008573294125</v>
      </c>
      <c r="R54" s="33" t="n">
        <f aca="false">Q54^2</f>
        <v>0.00546133671402219</v>
      </c>
      <c r="T54" s="26" t="n">
        <f aca="false">2*(O54-G54)*(1-O54)*O54</f>
        <v>-0.0101154784973827</v>
      </c>
      <c r="U54" s="26" t="n">
        <f aca="false">2*(O54-G54)*(1-O54)*O54*C54</f>
        <v>-0.05260048818639</v>
      </c>
      <c r="V54" s="26" t="n">
        <f aca="false">2*(O54-G54)*(1-O54)*O54*D54</f>
        <v>-0.0273117919429333</v>
      </c>
      <c r="W54" s="26" t="n">
        <f aca="false">2*(O54-G54)*(1-O54)*O54*E54</f>
        <v>-0.0394503661397925</v>
      </c>
      <c r="X54" s="26" t="n">
        <f aca="false">2*(O54-G54)*(1-O54)*O54*F54</f>
        <v>-0.0141616698963358</v>
      </c>
    </row>
    <row r="55" customFormat="false" ht="14.25" hidden="false" customHeight="true" outlineLevel="0" collapsed="false">
      <c r="A55" s="27"/>
      <c r="B55" s="28" t="n">
        <v>51</v>
      </c>
      <c r="C55" s="28" t="n">
        <v>5</v>
      </c>
      <c r="D55" s="28" t="n">
        <v>2</v>
      </c>
      <c r="E55" s="28" t="n">
        <v>3.5</v>
      </c>
      <c r="F55" s="28" t="n">
        <v>1</v>
      </c>
      <c r="G55" s="35" t="n">
        <v>1</v>
      </c>
      <c r="H55" s="1" t="n">
        <f aca="false">IF(G55=P55, 1, 0)</f>
        <v>1</v>
      </c>
      <c r="I55" s="34" t="n">
        <f aca="false">I54-0.1*T54</f>
        <v>0.367517686237076</v>
      </c>
      <c r="J55" s="36" t="n">
        <f aca="false">J54-0.1*U54</f>
        <v>-0.0931496981902196</v>
      </c>
      <c r="K55" s="36" t="n">
        <f aca="false">K54-0.1*V54</f>
        <v>0.0383081885363126</v>
      </c>
      <c r="L55" s="36" t="n">
        <f aca="false">L54-0.1*W54</f>
        <v>0.473034044779833</v>
      </c>
      <c r="M55" s="36" t="n">
        <f aca="false">M54-0.1*X54</f>
        <v>0.535684991508018</v>
      </c>
      <c r="N55" s="31" t="n">
        <f aca="false">I55+J55*C55+K55*D55+L55*E55+F55*M55</f>
        <v>2.16968972059604</v>
      </c>
      <c r="O55" s="31" t="n">
        <f aca="false">1/(1+EXP(-N55))</f>
        <v>0.897494424935172</v>
      </c>
      <c r="P55" s="32" t="n">
        <f aca="false">IF(O55&gt;0.5,1,0)</f>
        <v>1</v>
      </c>
      <c r="Q55" s="32" t="n">
        <f aca="false">O55-G55</f>
        <v>-0.102505575064828</v>
      </c>
      <c r="R55" s="33" t="n">
        <f aca="false">Q55^2</f>
        <v>0.0105073929193712</v>
      </c>
      <c r="T55" s="26" t="n">
        <f aca="false">2*(O55-G55)*(1-O55)*O55</f>
        <v>-0.0188606531314778</v>
      </c>
      <c r="U55" s="26" t="n">
        <f aca="false">2*(O55-G55)*(1-O55)*O55*C55</f>
        <v>-0.0943032656573892</v>
      </c>
      <c r="V55" s="26" t="n">
        <f aca="false">2*(O55-G55)*(1-O55)*O55*D55</f>
        <v>-0.0377213062629557</v>
      </c>
      <c r="W55" s="26" t="n">
        <f aca="false">2*(O55-G55)*(1-O55)*O55*E55</f>
        <v>-0.0660122859601724</v>
      </c>
      <c r="X55" s="26" t="n">
        <f aca="false">2*(O55-G55)*(1-O55)*O55*F55</f>
        <v>-0.0188606531314778</v>
      </c>
    </row>
    <row r="56" customFormat="false" ht="14.25" hidden="false" customHeight="true" outlineLevel="0" collapsed="false">
      <c r="A56" s="27"/>
      <c r="B56" s="34" t="n">
        <v>52</v>
      </c>
      <c r="C56" s="28" t="n">
        <v>5.9</v>
      </c>
      <c r="D56" s="28" t="n">
        <v>3</v>
      </c>
      <c r="E56" s="28" t="n">
        <v>4.2</v>
      </c>
      <c r="F56" s="28" t="n">
        <v>1.5</v>
      </c>
      <c r="G56" s="35" t="n">
        <v>1</v>
      </c>
      <c r="H56" s="1" t="n">
        <f aca="false">IF(G56=P56, 1, 0)</f>
        <v>1</v>
      </c>
      <c r="I56" s="34" t="n">
        <f aca="false">I55-0.1*T55</f>
        <v>0.369403751550224</v>
      </c>
      <c r="J56" s="36" t="n">
        <f aca="false">J55-0.1*U55</f>
        <v>-0.0837193716244807</v>
      </c>
      <c r="K56" s="36" t="n">
        <f aca="false">K55-0.1*V55</f>
        <v>0.0420803191626082</v>
      </c>
      <c r="L56" s="36" t="n">
        <f aca="false">L55-0.1*W55</f>
        <v>0.479635273375851</v>
      </c>
      <c r="M56" s="36" t="n">
        <f aca="false">M55-0.1*X55</f>
        <v>0.537571056821166</v>
      </c>
      <c r="N56" s="31" t="n">
        <f aca="false">I56+J56*C56+K56*D56+L56*E56+F56*M56</f>
        <v>2.82252514986393</v>
      </c>
      <c r="O56" s="31" t="n">
        <f aca="false">1/(1+EXP(-N56))</f>
        <v>0.943880972832001</v>
      </c>
      <c r="P56" s="32" t="n">
        <f aca="false">IF(O56&gt;0.5,1,0)</f>
        <v>1</v>
      </c>
      <c r="Q56" s="32" t="n">
        <f aca="false">O56-G56</f>
        <v>-0.0561190271679987</v>
      </c>
      <c r="R56" s="33" t="n">
        <f aca="false">Q56^2</f>
        <v>0.00314934521028257</v>
      </c>
      <c r="T56" s="26" t="n">
        <f aca="false">2*(O56-G56)*(1-O56)*O56</f>
        <v>-0.00594521404173064</v>
      </c>
      <c r="U56" s="26" t="n">
        <f aca="false">2*(O56-G56)*(1-O56)*O56*C56</f>
        <v>-0.0350767628462108</v>
      </c>
      <c r="V56" s="26" t="n">
        <f aca="false">2*(O56-G56)*(1-O56)*O56*D56</f>
        <v>-0.0178356421251919</v>
      </c>
      <c r="W56" s="26" t="n">
        <f aca="false">2*(O56-G56)*(1-O56)*O56*E56</f>
        <v>-0.0249698989752687</v>
      </c>
      <c r="X56" s="26" t="n">
        <f aca="false">2*(O56-G56)*(1-O56)*O56*F56</f>
        <v>-0.00891782106259595</v>
      </c>
    </row>
    <row r="57" customFormat="false" ht="14.25" hidden="false" customHeight="true" outlineLevel="0" collapsed="false">
      <c r="A57" s="27"/>
      <c r="B57" s="28" t="n">
        <v>53</v>
      </c>
      <c r="C57" s="28" t="n">
        <v>6</v>
      </c>
      <c r="D57" s="28" t="n">
        <v>2.2</v>
      </c>
      <c r="E57" s="28" t="n">
        <v>4</v>
      </c>
      <c r="F57" s="28" t="n">
        <v>1</v>
      </c>
      <c r="G57" s="35" t="n">
        <v>1</v>
      </c>
      <c r="H57" s="1" t="n">
        <f aca="false">IF(G57=P57, 1, 0)</f>
        <v>1</v>
      </c>
      <c r="I57" s="34" t="n">
        <f aca="false">I56-0.1*T56</f>
        <v>0.369998272954397</v>
      </c>
      <c r="J57" s="36" t="n">
        <f aca="false">J56-0.1*U56</f>
        <v>-0.0802116953398596</v>
      </c>
      <c r="K57" s="36" t="n">
        <f aca="false">K56-0.1*V56</f>
        <v>0.0438638833751273</v>
      </c>
      <c r="L57" s="36" t="n">
        <f aca="false">L56-0.1*W56</f>
        <v>0.482132263273377</v>
      </c>
      <c r="M57" s="36" t="n">
        <f aca="false">M56-0.1*X56</f>
        <v>0.538462838927425</v>
      </c>
      <c r="N57" s="31" t="n">
        <f aca="false">I57+J57*C57+K57*D57+L57*E57+F57*M57</f>
        <v>2.45222053636145</v>
      </c>
      <c r="O57" s="31" t="n">
        <f aca="false">1/(1+EXP(-N57))</f>
        <v>0.920723682775268</v>
      </c>
      <c r="P57" s="32" t="n">
        <f aca="false">IF(O57&gt;0.5,1,0)</f>
        <v>1</v>
      </c>
      <c r="Q57" s="32" t="n">
        <f aca="false">O57-G57</f>
        <v>-0.0792763172247324</v>
      </c>
      <c r="R57" s="33" t="n">
        <f aca="false">Q57^2</f>
        <v>0.0062847344727164</v>
      </c>
      <c r="T57" s="26" t="n">
        <f aca="false">2*(O57-G57)*(1-O57)*O57</f>
        <v>-0.0115730077379682</v>
      </c>
      <c r="U57" s="26" t="n">
        <f aca="false">2*(O57-G57)*(1-O57)*O57*C57</f>
        <v>-0.0694380464278095</v>
      </c>
      <c r="V57" s="26" t="n">
        <f aca="false">2*(O57-G57)*(1-O57)*O57*D57</f>
        <v>-0.0254606170235301</v>
      </c>
      <c r="W57" s="26" t="n">
        <f aca="false">2*(O57-G57)*(1-O57)*O57*E57</f>
        <v>-0.046292030951873</v>
      </c>
      <c r="X57" s="26" t="n">
        <f aca="false">2*(O57-G57)*(1-O57)*O57*F57</f>
        <v>-0.0115730077379682</v>
      </c>
    </row>
    <row r="58" customFormat="false" ht="14.25" hidden="false" customHeight="true" outlineLevel="0" collapsed="false">
      <c r="A58" s="27"/>
      <c r="B58" s="34" t="n">
        <v>54</v>
      </c>
      <c r="C58" s="28" t="n">
        <v>6.1</v>
      </c>
      <c r="D58" s="28" t="n">
        <v>2.9</v>
      </c>
      <c r="E58" s="28" t="n">
        <v>4.7</v>
      </c>
      <c r="F58" s="28" t="n">
        <v>1.4</v>
      </c>
      <c r="G58" s="35" t="n">
        <v>1</v>
      </c>
      <c r="H58" s="1" t="n">
        <f aca="false">IF(G58=P58, 1, 0)</f>
        <v>1</v>
      </c>
      <c r="I58" s="34" t="n">
        <f aca="false">I57-0.1*T57</f>
        <v>0.371155573728194</v>
      </c>
      <c r="J58" s="36" t="n">
        <f aca="false">J57-0.1*U57</f>
        <v>-0.0732678906970787</v>
      </c>
      <c r="K58" s="36" t="n">
        <f aca="false">K57-0.1*V57</f>
        <v>0.0464099450774804</v>
      </c>
      <c r="L58" s="36" t="n">
        <f aca="false">L57-0.1*W57</f>
        <v>0.486761466368565</v>
      </c>
      <c r="M58" s="36" t="n">
        <f aca="false">M57-0.1*X57</f>
        <v>0.539620139701222</v>
      </c>
      <c r="N58" s="31" t="n">
        <f aca="false">I58+J58*C58+K58*D58+L58*E58+F58*M58</f>
        <v>3.10205736871467</v>
      </c>
      <c r="O58" s="31" t="n">
        <f aca="false">1/(1+EXP(-N58))</f>
        <v>0.9569775297739</v>
      </c>
      <c r="P58" s="32" t="n">
        <f aca="false">IF(O58&gt;0.5,1,0)</f>
        <v>1</v>
      </c>
      <c r="Q58" s="32" t="n">
        <f aca="false">O58-G58</f>
        <v>-0.0430224702261005</v>
      </c>
      <c r="R58" s="33" t="n">
        <f aca="false">Q58^2</f>
        <v>0.0018509329443557</v>
      </c>
      <c r="T58" s="26" t="n">
        <f aca="false">2*(O58-G58)*(1-O58)*O58</f>
        <v>-0.00354260247373331</v>
      </c>
      <c r="U58" s="26" t="n">
        <f aca="false">2*(O58-G58)*(1-O58)*O58*C58</f>
        <v>-0.0216098750897732</v>
      </c>
      <c r="V58" s="26" t="n">
        <f aca="false">2*(O58-G58)*(1-O58)*O58*D58</f>
        <v>-0.0102735471738266</v>
      </c>
      <c r="W58" s="26" t="n">
        <f aca="false">2*(O58-G58)*(1-O58)*O58*E58</f>
        <v>-0.0166502316265465</v>
      </c>
      <c r="X58" s="26" t="n">
        <f aca="false">2*(O58-G58)*(1-O58)*O58*F58</f>
        <v>-0.00495964346322663</v>
      </c>
    </row>
    <row r="59" customFormat="false" ht="14.25" hidden="false" customHeight="true" outlineLevel="0" collapsed="false">
      <c r="A59" s="27"/>
      <c r="B59" s="28" t="n">
        <v>55</v>
      </c>
      <c r="C59" s="28" t="n">
        <v>5.6</v>
      </c>
      <c r="D59" s="28" t="n">
        <v>2.9</v>
      </c>
      <c r="E59" s="28" t="n">
        <v>3.6</v>
      </c>
      <c r="F59" s="28" t="n">
        <v>1.3</v>
      </c>
      <c r="G59" s="35" t="n">
        <v>1</v>
      </c>
      <c r="H59" s="1" t="n">
        <f aca="false">IF(G59=P59, 1, 0)</f>
        <v>1</v>
      </c>
      <c r="I59" s="34" t="n">
        <f aca="false">I58-0.1*T58</f>
        <v>0.371509833975567</v>
      </c>
      <c r="J59" s="36" t="n">
        <f aca="false">J58-0.1*U58</f>
        <v>-0.0711069031881014</v>
      </c>
      <c r="K59" s="36" t="n">
        <f aca="false">K58-0.1*V58</f>
        <v>0.047437299794863</v>
      </c>
      <c r="L59" s="36" t="n">
        <f aca="false">L58-0.1*W58</f>
        <v>0.488426489531219</v>
      </c>
      <c r="M59" s="36" t="n">
        <f aca="false">M58-0.1*X58</f>
        <v>0.540116104047545</v>
      </c>
      <c r="N59" s="31" t="n">
        <f aca="false">I59+J59*C59+K59*D59+L59*E59+F59*M59</f>
        <v>2.5713656431015</v>
      </c>
      <c r="O59" s="31" t="n">
        <f aca="false">1/(1+EXP(-N59))</f>
        <v>0.928995830046587</v>
      </c>
      <c r="P59" s="32" t="n">
        <f aca="false">IF(O59&gt;0.5,1,0)</f>
        <v>1</v>
      </c>
      <c r="Q59" s="32" t="n">
        <f aca="false">O59-G59</f>
        <v>-0.0710041699534131</v>
      </c>
      <c r="R59" s="33" t="n">
        <f aca="false">Q59^2</f>
        <v>0.00504159215077317</v>
      </c>
      <c r="T59" s="26" t="n">
        <f aca="false">2*(O59-G59)*(1-O59)*O59</f>
        <v>-0.00936723616972775</v>
      </c>
      <c r="U59" s="26" t="n">
        <f aca="false">2*(O59-G59)*(1-O59)*O59*C59</f>
        <v>-0.0524565225504754</v>
      </c>
      <c r="V59" s="26" t="n">
        <f aca="false">2*(O59-G59)*(1-O59)*O59*D59</f>
        <v>-0.0271649848922105</v>
      </c>
      <c r="W59" s="26" t="n">
        <f aca="false">2*(O59-G59)*(1-O59)*O59*E59</f>
        <v>-0.0337220502110199</v>
      </c>
      <c r="X59" s="26" t="n">
        <f aca="false">2*(O59-G59)*(1-O59)*O59*F59</f>
        <v>-0.0121774070206461</v>
      </c>
    </row>
    <row r="60" customFormat="false" ht="14.25" hidden="false" customHeight="true" outlineLevel="0" collapsed="false">
      <c r="A60" s="27"/>
      <c r="B60" s="34" t="n">
        <v>56</v>
      </c>
      <c r="C60" s="28" t="n">
        <v>6.7</v>
      </c>
      <c r="D60" s="28" t="n">
        <v>3.1</v>
      </c>
      <c r="E60" s="28" t="n">
        <v>4.4</v>
      </c>
      <c r="F60" s="28" t="n">
        <v>1.4</v>
      </c>
      <c r="G60" s="35" t="n">
        <v>1</v>
      </c>
      <c r="H60" s="1" t="n">
        <f aca="false">IF(G60=P60, 1, 0)</f>
        <v>1</v>
      </c>
      <c r="I60" s="34" t="n">
        <f aca="false">I59-0.1*T59</f>
        <v>0.37244655759254</v>
      </c>
      <c r="J60" s="36" t="n">
        <f aca="false">J59-0.1*U59</f>
        <v>-0.0658612509330538</v>
      </c>
      <c r="K60" s="36" t="n">
        <f aca="false">K59-0.1*V59</f>
        <v>0.0501537982840841</v>
      </c>
      <c r="L60" s="36" t="n">
        <f aca="false">L59-0.1*W59</f>
        <v>0.491798694552321</v>
      </c>
      <c r="M60" s="36" t="n">
        <f aca="false">M59-0.1*X59</f>
        <v>0.541333844749609</v>
      </c>
      <c r="N60" s="31" t="n">
        <f aca="false">I60+J60*C60+K60*D60+L60*E60+F60*M60</f>
        <v>3.00843458970141</v>
      </c>
      <c r="O60" s="31" t="n">
        <f aca="false">1/(1+EXP(-N60))</f>
        <v>0.952953722140403</v>
      </c>
      <c r="P60" s="32" t="n">
        <f aca="false">IF(O60&gt;0.5,1,0)</f>
        <v>1</v>
      </c>
      <c r="Q60" s="32" t="n">
        <f aca="false">O60-G60</f>
        <v>-0.047046277859597</v>
      </c>
      <c r="R60" s="33" t="n">
        <f aca="false">Q60^2</f>
        <v>0.00221335226044241</v>
      </c>
      <c r="T60" s="26" t="n">
        <f aca="false">2*(O60-G60)*(1-O60)*O60</f>
        <v>-0.00421844454999294</v>
      </c>
      <c r="U60" s="26" t="n">
        <f aca="false">2*(O60-G60)*(1-O60)*O60*C60</f>
        <v>-0.0282635784849527</v>
      </c>
      <c r="V60" s="26" t="n">
        <f aca="false">2*(O60-G60)*(1-O60)*O60*D60</f>
        <v>-0.0130771781049781</v>
      </c>
      <c r="W60" s="26" t="n">
        <f aca="false">2*(O60-G60)*(1-O60)*O60*E60</f>
        <v>-0.0185611560199689</v>
      </c>
      <c r="X60" s="26" t="n">
        <f aca="false">2*(O60-G60)*(1-O60)*O60*F60</f>
        <v>-0.00590582236999011</v>
      </c>
    </row>
    <row r="61" customFormat="false" ht="14.25" hidden="false" customHeight="true" outlineLevel="0" collapsed="false">
      <c r="A61" s="27"/>
      <c r="B61" s="28" t="n">
        <v>57</v>
      </c>
      <c r="C61" s="28" t="n">
        <v>5.6</v>
      </c>
      <c r="D61" s="28" t="n">
        <v>3</v>
      </c>
      <c r="E61" s="28" t="n">
        <v>4.5</v>
      </c>
      <c r="F61" s="28" t="n">
        <v>1.5</v>
      </c>
      <c r="G61" s="35" t="n">
        <v>1</v>
      </c>
      <c r="H61" s="1" t="n">
        <f aca="false">IF(G61=P61, 1, 0)</f>
        <v>1</v>
      </c>
      <c r="I61" s="34" t="n">
        <f aca="false">I60-0.1*T60</f>
        <v>0.372868402047539</v>
      </c>
      <c r="J61" s="36" t="n">
        <f aca="false">J60-0.1*U60</f>
        <v>-0.0630348930845585</v>
      </c>
      <c r="K61" s="36" t="n">
        <f aca="false">K60-0.1*V60</f>
        <v>0.0514615160945819</v>
      </c>
      <c r="L61" s="36" t="n">
        <f aca="false">L60-0.1*W60</f>
        <v>0.493654810154318</v>
      </c>
      <c r="M61" s="36" t="n">
        <f aca="false">M60-0.1*X60</f>
        <v>0.541924426986608</v>
      </c>
      <c r="N61" s="31" t="n">
        <f aca="false">I61+J61*C61+K61*D61+L61*E61+F61*M61</f>
        <v>3.2085908352321</v>
      </c>
      <c r="O61" s="31" t="n">
        <f aca="false">1/(1+EXP(-N61))</f>
        <v>0.96115628872145</v>
      </c>
      <c r="P61" s="32" t="n">
        <f aca="false">IF(O61&gt;0.5,1,0)</f>
        <v>1</v>
      </c>
      <c r="Q61" s="32" t="n">
        <f aca="false">O61-G61</f>
        <v>-0.0388437112785502</v>
      </c>
      <c r="R61" s="33" t="n">
        <f aca="false">Q61^2</f>
        <v>0.00150883390589137</v>
      </c>
      <c r="T61" s="26" t="n">
        <f aca="false">2*(O61-G61)*(1-O61)*O61</f>
        <v>-0.00290045039456728</v>
      </c>
      <c r="U61" s="26" t="n">
        <f aca="false">2*(O61-G61)*(1-O61)*O61*C61</f>
        <v>-0.0162425222095768</v>
      </c>
      <c r="V61" s="26" t="n">
        <f aca="false">2*(O61-G61)*(1-O61)*O61*D61</f>
        <v>-0.00870135118370184</v>
      </c>
      <c r="W61" s="26" t="n">
        <f aca="false">2*(O61-G61)*(1-O61)*O61*E61</f>
        <v>-0.0130520267755528</v>
      </c>
      <c r="X61" s="26" t="n">
        <f aca="false">2*(O61-G61)*(1-O61)*O61*F61</f>
        <v>-0.00435067559185092</v>
      </c>
    </row>
    <row r="62" customFormat="false" ht="14.25" hidden="false" customHeight="true" outlineLevel="0" collapsed="false">
      <c r="A62" s="27"/>
      <c r="B62" s="34" t="n">
        <v>58</v>
      </c>
      <c r="C62" s="28" t="n">
        <v>5.8</v>
      </c>
      <c r="D62" s="28" t="n">
        <v>2.7</v>
      </c>
      <c r="E62" s="28" t="n">
        <v>4.1</v>
      </c>
      <c r="F62" s="28" t="n">
        <v>1</v>
      </c>
      <c r="G62" s="35" t="n">
        <v>1</v>
      </c>
      <c r="H62" s="1" t="n">
        <f aca="false">IF(G62=P62, 1, 0)</f>
        <v>1</v>
      </c>
      <c r="I62" s="34" t="n">
        <f aca="false">I61-0.1*T61</f>
        <v>0.373158447086996</v>
      </c>
      <c r="J62" s="36" t="n">
        <f aca="false">J61-0.1*U61</f>
        <v>-0.0614106408636009</v>
      </c>
      <c r="K62" s="36" t="n">
        <f aca="false">K61-0.1*V61</f>
        <v>0.0523316512129521</v>
      </c>
      <c r="L62" s="36" t="n">
        <f aca="false">L61-0.1*W61</f>
        <v>0.494960012831874</v>
      </c>
      <c r="M62" s="36" t="n">
        <f aca="false">M61-0.1*X61</f>
        <v>0.542359494545794</v>
      </c>
      <c r="N62" s="31" t="n">
        <f aca="false">I62+J62*C62+K62*D62+L62*E62+F62*M62</f>
        <v>2.72996773550956</v>
      </c>
      <c r="O62" s="31" t="n">
        <f aca="false">1/(1+EXP(-N62))</f>
        <v>0.93877198267095</v>
      </c>
      <c r="P62" s="32" t="n">
        <f aca="false">IF(O62&gt;0.5,1,0)</f>
        <v>1</v>
      </c>
      <c r="Q62" s="32" t="n">
        <f aca="false">O62-G62</f>
        <v>-0.0612280173290504</v>
      </c>
      <c r="R62" s="33" t="n">
        <f aca="false">Q62^2</f>
        <v>0.00374887010604649</v>
      </c>
      <c r="T62" s="26" t="n">
        <f aca="false">2*(O62-G62)*(1-O62)*O62</f>
        <v>-0.00703866844445824</v>
      </c>
      <c r="U62" s="26" t="n">
        <f aca="false">2*(O62-G62)*(1-O62)*O62*C62</f>
        <v>-0.0408242769778578</v>
      </c>
      <c r="V62" s="26" t="n">
        <f aca="false">2*(O62-G62)*(1-O62)*O62*D62</f>
        <v>-0.0190044048000372</v>
      </c>
      <c r="W62" s="26" t="n">
        <f aca="false">2*(O62-G62)*(1-O62)*O62*E62</f>
        <v>-0.0288585406222788</v>
      </c>
      <c r="X62" s="26" t="n">
        <f aca="false">2*(O62-G62)*(1-O62)*O62*F62</f>
        <v>-0.00703866844445824</v>
      </c>
    </row>
    <row r="63" customFormat="false" ht="14.25" hidden="false" customHeight="true" outlineLevel="0" collapsed="false">
      <c r="A63" s="27"/>
      <c r="B63" s="28" t="n">
        <v>59</v>
      </c>
      <c r="C63" s="28" t="n">
        <v>6.2</v>
      </c>
      <c r="D63" s="28" t="n">
        <v>2.2</v>
      </c>
      <c r="E63" s="28" t="n">
        <v>4.5</v>
      </c>
      <c r="F63" s="28" t="n">
        <v>1.5</v>
      </c>
      <c r="G63" s="35" t="n">
        <v>1</v>
      </c>
      <c r="H63" s="1" t="n">
        <f aca="false">IF(G63=P63, 1, 0)</f>
        <v>1</v>
      </c>
      <c r="I63" s="34" t="n">
        <f aca="false">I62-0.1*T62</f>
        <v>0.373862313931442</v>
      </c>
      <c r="J63" s="36" t="n">
        <f aca="false">J62-0.1*U62</f>
        <v>-0.0573282131658151</v>
      </c>
      <c r="K63" s="36" t="n">
        <f aca="false">K62-0.1*V62</f>
        <v>0.0542320916929558</v>
      </c>
      <c r="L63" s="36" t="n">
        <f aca="false">L62-0.1*W62</f>
        <v>0.497845866894101</v>
      </c>
      <c r="M63" s="36" t="n">
        <f aca="false">M62-0.1*X62</f>
        <v>0.543063361390239</v>
      </c>
      <c r="N63" s="31" t="n">
        <f aca="false">I63+J63*C63+K63*D63+L63*E63+F63*M63</f>
        <v>3.19263943713671</v>
      </c>
      <c r="O63" s="31" t="n">
        <f aca="false">1/(1+EXP(-N63))</f>
        <v>0.960556344710079</v>
      </c>
      <c r="P63" s="32" t="n">
        <f aca="false">IF(O63&gt;0.5,1,0)</f>
        <v>1</v>
      </c>
      <c r="Q63" s="32" t="n">
        <f aca="false">O63-G63</f>
        <v>-0.0394436552899206</v>
      </c>
      <c r="R63" s="33" t="n">
        <f aca="false">Q63^2</f>
        <v>0.00155580194263008</v>
      </c>
      <c r="T63" s="26" t="n">
        <f aca="false">2*(O63-G63)*(1-O63)*O63</f>
        <v>-0.00298887085421118</v>
      </c>
      <c r="U63" s="26" t="n">
        <f aca="false">2*(O63-G63)*(1-O63)*O63*C63</f>
        <v>-0.0185309992961093</v>
      </c>
      <c r="V63" s="26" t="n">
        <f aca="false">2*(O63-G63)*(1-O63)*O63*D63</f>
        <v>-0.00657551587926459</v>
      </c>
      <c r="W63" s="26" t="n">
        <f aca="false">2*(O63-G63)*(1-O63)*O63*E63</f>
        <v>-0.0134499188439503</v>
      </c>
      <c r="X63" s="26" t="n">
        <f aca="false">2*(O63-G63)*(1-O63)*O63*F63</f>
        <v>-0.00448330628131676</v>
      </c>
    </row>
    <row r="64" customFormat="false" ht="14.25" hidden="false" customHeight="true" outlineLevel="0" collapsed="false">
      <c r="A64" s="27"/>
      <c r="B64" s="34" t="n">
        <v>60</v>
      </c>
      <c r="C64" s="28" t="n">
        <v>5.6</v>
      </c>
      <c r="D64" s="28" t="n">
        <v>2.5</v>
      </c>
      <c r="E64" s="28" t="n">
        <v>3.9</v>
      </c>
      <c r="F64" s="28" t="n">
        <v>1.1</v>
      </c>
      <c r="G64" s="35" t="n">
        <v>1</v>
      </c>
      <c r="H64" s="1" t="n">
        <f aca="false">IF(G64=P64, 1, 0)</f>
        <v>1</v>
      </c>
      <c r="I64" s="34" t="n">
        <f aca="false">I63-0.1*T63</f>
        <v>0.374161201016863</v>
      </c>
      <c r="J64" s="36" t="n">
        <f aca="false">J63-0.1*U63</f>
        <v>-0.0554751132362042</v>
      </c>
      <c r="K64" s="36" t="n">
        <f aca="false">K63-0.1*V63</f>
        <v>0.0548896432808822</v>
      </c>
      <c r="L64" s="36" t="n">
        <f aca="false">L63-0.1*W63</f>
        <v>0.499190858778496</v>
      </c>
      <c r="M64" s="36" t="n">
        <f aca="false">M63-0.1*X63</f>
        <v>0.543511692018371</v>
      </c>
      <c r="N64" s="31" t="n">
        <f aca="false">I64+J64*C64+K64*D64+L64*E64+F64*M64</f>
        <v>2.74543188555267</v>
      </c>
      <c r="O64" s="31" t="n">
        <f aca="false">1/(1+EXP(-N64))</f>
        <v>0.939654840833352</v>
      </c>
      <c r="P64" s="32" t="n">
        <f aca="false">IF(O64&gt;0.5,1,0)</f>
        <v>1</v>
      </c>
      <c r="Q64" s="32" t="n">
        <f aca="false">O64-G64</f>
        <v>-0.0603451591666482</v>
      </c>
      <c r="R64" s="33" t="n">
        <f aca="false">Q64^2</f>
        <v>0.0036415382348481</v>
      </c>
      <c r="T64" s="26" t="n">
        <f aca="false">2*(O64-G64)*(1-O64)*O64</f>
        <v>-0.00684357806090952</v>
      </c>
      <c r="U64" s="26" t="n">
        <f aca="false">2*(O64-G64)*(1-O64)*O64*C64</f>
        <v>-0.0383240371410933</v>
      </c>
      <c r="V64" s="26" t="n">
        <f aca="false">2*(O64-G64)*(1-O64)*O64*D64</f>
        <v>-0.0171089451522738</v>
      </c>
      <c r="W64" s="26" t="n">
        <f aca="false">2*(O64-G64)*(1-O64)*O64*E64</f>
        <v>-0.0266899544375471</v>
      </c>
      <c r="X64" s="26" t="n">
        <f aca="false">2*(O64-G64)*(1-O64)*O64*F64</f>
        <v>-0.00752793586700047</v>
      </c>
    </row>
    <row r="65" customFormat="false" ht="14.25" hidden="false" customHeight="true" outlineLevel="0" collapsed="false">
      <c r="A65" s="27"/>
      <c r="B65" s="28" t="n">
        <v>61</v>
      </c>
      <c r="C65" s="28" t="n">
        <v>5.9</v>
      </c>
      <c r="D65" s="28" t="n">
        <v>3.2</v>
      </c>
      <c r="E65" s="28" t="n">
        <v>4.8</v>
      </c>
      <c r="F65" s="28" t="n">
        <v>1.8</v>
      </c>
      <c r="G65" s="35" t="n">
        <v>1</v>
      </c>
      <c r="H65" s="1" t="n">
        <f aca="false">IF(G65=P65, 1, 0)</f>
        <v>1</v>
      </c>
      <c r="I65" s="34" t="n">
        <f aca="false">I64-0.1*T64</f>
        <v>0.374845558822954</v>
      </c>
      <c r="J65" s="36" t="n">
        <f aca="false">J64-0.1*U64</f>
        <v>-0.0516427095220948</v>
      </c>
      <c r="K65" s="36" t="n">
        <f aca="false">K64-0.1*V64</f>
        <v>0.0566005377961096</v>
      </c>
      <c r="L65" s="36" t="n">
        <f aca="false">L64-0.1*W64</f>
        <v>0.501859854222251</v>
      </c>
      <c r="M65" s="36" t="n">
        <f aca="false">M64-0.1*X64</f>
        <v>0.544264485605071</v>
      </c>
      <c r="N65" s="31" t="n">
        <f aca="false">I65+J65*C65+K65*D65+L65*E65+F65*M65</f>
        <v>3.63987866794608</v>
      </c>
      <c r="O65" s="31" t="n">
        <f aca="false">1/(1+EXP(-N65))</f>
        <v>0.974416187141182</v>
      </c>
      <c r="P65" s="32" t="n">
        <f aca="false">IF(O65&gt;0.5,1,0)</f>
        <v>1</v>
      </c>
      <c r="Q65" s="32" t="n">
        <f aca="false">O65-G65</f>
        <v>-0.0255838128588178</v>
      </c>
      <c r="R65" s="33" t="n">
        <f aca="false">Q65^2</f>
        <v>0.000654531480395013</v>
      </c>
      <c r="T65" s="26" t="n">
        <f aca="false">2*(O65-G65)*(1-O65)*O65</f>
        <v>-0.00127557213898076</v>
      </c>
      <c r="U65" s="26" t="n">
        <f aca="false">2*(O65-G65)*(1-O65)*O65*C65</f>
        <v>-0.0075258756199865</v>
      </c>
      <c r="V65" s="26" t="n">
        <f aca="false">2*(O65-G65)*(1-O65)*O65*D65</f>
        <v>-0.00408183084473844</v>
      </c>
      <c r="W65" s="26" t="n">
        <f aca="false">2*(O65-G65)*(1-O65)*O65*E65</f>
        <v>-0.00612274626710766</v>
      </c>
      <c r="X65" s="26" t="n">
        <f aca="false">2*(O65-G65)*(1-O65)*O65*F65</f>
        <v>-0.00229602985016537</v>
      </c>
    </row>
    <row r="66" customFormat="false" ht="14.25" hidden="false" customHeight="true" outlineLevel="0" collapsed="false">
      <c r="A66" s="27"/>
      <c r="B66" s="34" t="n">
        <v>62</v>
      </c>
      <c r="C66" s="28" t="n">
        <v>6.1</v>
      </c>
      <c r="D66" s="28" t="n">
        <v>2.8</v>
      </c>
      <c r="E66" s="28" t="n">
        <v>4</v>
      </c>
      <c r="F66" s="28" t="n">
        <v>1.3</v>
      </c>
      <c r="G66" s="35" t="n">
        <v>1</v>
      </c>
      <c r="H66" s="1" t="n">
        <f aca="false">IF(G66=P66, 1, 0)</f>
        <v>1</v>
      </c>
      <c r="I66" s="34" t="n">
        <f aca="false">I65-0.1*T65</f>
        <v>0.374973116036852</v>
      </c>
      <c r="J66" s="36" t="n">
        <f aca="false">J65-0.1*U65</f>
        <v>-0.0508901219600962</v>
      </c>
      <c r="K66" s="36" t="n">
        <f aca="false">K65-0.1*V65</f>
        <v>0.0570087208805835</v>
      </c>
      <c r="L66" s="36" t="n">
        <f aca="false">L65-0.1*W65</f>
        <v>0.502472128848962</v>
      </c>
      <c r="M66" s="36" t="n">
        <f aca="false">M65-0.1*X65</f>
        <v>0.544494088590087</v>
      </c>
      <c r="N66" s="31" t="n">
        <f aca="false">I66+J66*C66+K66*D66+L66*E66+F66*M66</f>
        <v>2.94189862110886</v>
      </c>
      <c r="O66" s="31" t="n">
        <f aca="false">1/(1+EXP(-N66))</f>
        <v>0.949879194957604</v>
      </c>
      <c r="P66" s="32" t="n">
        <f aca="false">IF(O66&gt;0.5,1,0)</f>
        <v>1</v>
      </c>
      <c r="Q66" s="32" t="n">
        <f aca="false">O66-G66</f>
        <v>-0.0501208050423964</v>
      </c>
      <c r="R66" s="33" t="n">
        <f aca="false">Q66^2</f>
        <v>0.0025120950980979</v>
      </c>
      <c r="T66" s="26" t="n">
        <f aca="false">2*(O66-G66)*(1-O66)*O66</f>
        <v>-0.00477237373887636</v>
      </c>
      <c r="U66" s="26" t="n">
        <f aca="false">2*(O66-G66)*(1-O66)*O66*C66</f>
        <v>-0.0291114798071458</v>
      </c>
      <c r="V66" s="26" t="n">
        <f aca="false">2*(O66-G66)*(1-O66)*O66*D66</f>
        <v>-0.0133626464688538</v>
      </c>
      <c r="W66" s="26" t="n">
        <f aca="false">2*(O66-G66)*(1-O66)*O66*E66</f>
        <v>-0.0190894949555054</v>
      </c>
      <c r="X66" s="26" t="n">
        <f aca="false">2*(O66-G66)*(1-O66)*O66*F66</f>
        <v>-0.00620408586053927</v>
      </c>
    </row>
    <row r="67" customFormat="false" ht="14.25" hidden="false" customHeight="true" outlineLevel="0" collapsed="false">
      <c r="A67" s="27"/>
      <c r="B67" s="28" t="n">
        <v>63</v>
      </c>
      <c r="C67" s="28" t="n">
        <v>6.3</v>
      </c>
      <c r="D67" s="28" t="n">
        <v>2.5</v>
      </c>
      <c r="E67" s="28" t="n">
        <v>4.9</v>
      </c>
      <c r="F67" s="28" t="n">
        <v>1.5</v>
      </c>
      <c r="G67" s="35" t="n">
        <v>1</v>
      </c>
      <c r="H67" s="1" t="n">
        <f aca="false">IF(G67=P67, 1, 0)</f>
        <v>1</v>
      </c>
      <c r="I67" s="34" t="n">
        <f aca="false">I66-0.1*T66</f>
        <v>0.375450353410739</v>
      </c>
      <c r="J67" s="36" t="n">
        <f aca="false">J66-0.1*U66</f>
        <v>-0.0479789739793816</v>
      </c>
      <c r="K67" s="36" t="n">
        <f aca="false">K66-0.1*V66</f>
        <v>0.0583449855274688</v>
      </c>
      <c r="L67" s="36" t="n">
        <f aca="false">L66-0.1*W66</f>
        <v>0.504381078344512</v>
      </c>
      <c r="M67" s="36" t="n">
        <f aca="false">M66-0.1*X66</f>
        <v>0.545114497176141</v>
      </c>
      <c r="N67" s="31" t="n">
        <f aca="false">I67+J67*C67+K67*D67+L67*E67+F67*M67</f>
        <v>3.50818431081163</v>
      </c>
      <c r="O67" s="31" t="n">
        <f aca="false">1/(1+EXP(-N67))</f>
        <v>0.970919742723773</v>
      </c>
      <c r="P67" s="32" t="n">
        <f aca="false">IF(O67&gt;0.5,1,0)</f>
        <v>1</v>
      </c>
      <c r="Q67" s="32" t="n">
        <f aca="false">O67-G67</f>
        <v>-0.0290802572762271</v>
      </c>
      <c r="R67" s="33" t="n">
        <f aca="false">Q67^2</f>
        <v>0.000845661363251559</v>
      </c>
      <c r="T67" s="26" t="n">
        <f aca="false">2*(O67-G67)*(1-O67)*O67</f>
        <v>-0.00164213862647928</v>
      </c>
      <c r="U67" s="26" t="n">
        <f aca="false">2*(O67-G67)*(1-O67)*O67*C67</f>
        <v>-0.0103454733468194</v>
      </c>
      <c r="V67" s="26" t="n">
        <f aca="false">2*(O67-G67)*(1-O67)*O67*D67</f>
        <v>-0.00410534656619819</v>
      </c>
      <c r="W67" s="26" t="n">
        <f aca="false">2*(O67-G67)*(1-O67)*O67*E67</f>
        <v>-0.00804647926974846</v>
      </c>
      <c r="X67" s="26" t="n">
        <f aca="false">2*(O67-G67)*(1-O67)*O67*F67</f>
        <v>-0.00246320793971892</v>
      </c>
    </row>
    <row r="68" customFormat="false" ht="14.25" hidden="false" customHeight="true" outlineLevel="0" collapsed="false">
      <c r="A68" s="27"/>
      <c r="B68" s="34" t="n">
        <v>64</v>
      </c>
      <c r="C68" s="28" t="n">
        <v>6.1</v>
      </c>
      <c r="D68" s="28" t="n">
        <v>2.8</v>
      </c>
      <c r="E68" s="28" t="n">
        <v>4.7</v>
      </c>
      <c r="F68" s="28" t="n">
        <v>1.2</v>
      </c>
      <c r="G68" s="35" t="n">
        <v>1</v>
      </c>
      <c r="H68" s="1" t="n">
        <f aca="false">IF(G68=P68, 1, 0)</f>
        <v>1</v>
      </c>
      <c r="I68" s="34" t="n">
        <f aca="false">I67-0.1*T67</f>
        <v>0.375614567273387</v>
      </c>
      <c r="J68" s="36" t="n">
        <f aca="false">J67-0.1*U67</f>
        <v>-0.0469444266446997</v>
      </c>
      <c r="K68" s="36" t="n">
        <f aca="false">K67-0.1*V67</f>
        <v>0.0587555201840887</v>
      </c>
      <c r="L68" s="36" t="n">
        <f aca="false">L67-0.1*W67</f>
        <v>0.505185726271487</v>
      </c>
      <c r="M68" s="36" t="n">
        <f aca="false">M67-0.1*X67</f>
        <v>0.545360817970113</v>
      </c>
      <c r="N68" s="31" t="n">
        <f aca="false">I68+J68*C68+K68*D68+L68*E68+F68*M68</f>
        <v>3.28257491629629</v>
      </c>
      <c r="O68" s="31" t="n">
        <f aca="false">1/(1+EXP(-N68))</f>
        <v>0.963826166120845</v>
      </c>
      <c r="P68" s="32" t="n">
        <f aca="false">IF(O68&gt;0.5,1,0)</f>
        <v>1</v>
      </c>
      <c r="Q68" s="32" t="n">
        <f aca="false">O68-G68</f>
        <v>-0.0361738338791554</v>
      </c>
      <c r="R68" s="33" t="n">
        <f aca="false">Q68^2</f>
        <v>0.00130854625751673</v>
      </c>
      <c r="T68" s="26" t="n">
        <f aca="false">2*(O68-G68)*(1-O68)*O68</f>
        <v>-0.00252242224514826</v>
      </c>
      <c r="U68" s="26" t="n">
        <f aca="false">2*(O68-G68)*(1-O68)*O68*C68</f>
        <v>-0.0153867756954044</v>
      </c>
      <c r="V68" s="26" t="n">
        <f aca="false">2*(O68-G68)*(1-O68)*O68*D68</f>
        <v>-0.00706278228641513</v>
      </c>
      <c r="W68" s="26" t="n">
        <f aca="false">2*(O68-G68)*(1-O68)*O68*E68</f>
        <v>-0.0118553845521968</v>
      </c>
      <c r="X68" s="26" t="n">
        <f aca="false">2*(O68-G68)*(1-O68)*O68*F68</f>
        <v>-0.00302690669417791</v>
      </c>
    </row>
    <row r="69" customFormat="false" ht="14.25" hidden="false" customHeight="true" outlineLevel="0" collapsed="false">
      <c r="A69" s="27"/>
      <c r="B69" s="28" t="n">
        <v>65</v>
      </c>
      <c r="C69" s="28" t="n">
        <v>6.4</v>
      </c>
      <c r="D69" s="28" t="n">
        <v>2.9</v>
      </c>
      <c r="E69" s="28" t="n">
        <v>4.3</v>
      </c>
      <c r="F69" s="28" t="n">
        <v>1.3</v>
      </c>
      <c r="G69" s="35" t="n">
        <v>1</v>
      </c>
      <c r="H69" s="1" t="n">
        <f aca="false">IF(G69=P69, 1, 0)</f>
        <v>1</v>
      </c>
      <c r="I69" s="34" t="n">
        <f aca="false">I68-0.1*T68</f>
        <v>0.375866809497902</v>
      </c>
      <c r="J69" s="36" t="n">
        <f aca="false">J68-0.1*U68</f>
        <v>-0.0454057490751592</v>
      </c>
      <c r="K69" s="36" t="n">
        <f aca="false">K68-0.1*V68</f>
        <v>0.0594617984127302</v>
      </c>
      <c r="L69" s="36" t="n">
        <f aca="false">L68-0.1*W68</f>
        <v>0.506371264726707</v>
      </c>
      <c r="M69" s="36" t="n">
        <f aca="false">M68-0.1*X68</f>
        <v>0.545663508639531</v>
      </c>
      <c r="N69" s="31" t="n">
        <f aca="false">I69+J69*C69+K69*D69+L69*E69+F69*M69</f>
        <v>3.14446823037003</v>
      </c>
      <c r="O69" s="31" t="n">
        <f aca="false">1/(1+EXP(-N69))</f>
        <v>0.958690200493829</v>
      </c>
      <c r="P69" s="32" t="n">
        <f aca="false">IF(O69&gt;0.5,1,0)</f>
        <v>1</v>
      </c>
      <c r="Q69" s="32" t="n">
        <f aca="false">O69-G69</f>
        <v>-0.0413097995061709</v>
      </c>
      <c r="R69" s="33" t="n">
        <f aca="false">Q69^2</f>
        <v>0.00170649953524003</v>
      </c>
      <c r="T69" s="26" t="n">
        <f aca="false">2*(O69-G69)*(1-O69)*O69</f>
        <v>-0.00327200876316379</v>
      </c>
      <c r="U69" s="26" t="n">
        <f aca="false">2*(O69-G69)*(1-O69)*O69*C69</f>
        <v>-0.0209408560842483</v>
      </c>
      <c r="V69" s="26" t="n">
        <f aca="false">2*(O69-G69)*(1-O69)*O69*D69</f>
        <v>-0.00948882541317499</v>
      </c>
      <c r="W69" s="26" t="n">
        <f aca="false">2*(O69-G69)*(1-O69)*O69*E69</f>
        <v>-0.0140696376816043</v>
      </c>
      <c r="X69" s="26" t="n">
        <f aca="false">2*(O69-G69)*(1-O69)*O69*F69</f>
        <v>-0.00425361139211293</v>
      </c>
    </row>
    <row r="70" customFormat="false" ht="14.25" hidden="false" customHeight="true" outlineLevel="0" collapsed="false">
      <c r="A70" s="27"/>
      <c r="B70" s="34" t="n">
        <v>66</v>
      </c>
      <c r="C70" s="28" t="n">
        <v>6.6</v>
      </c>
      <c r="D70" s="28" t="n">
        <v>3</v>
      </c>
      <c r="E70" s="28" t="n">
        <v>4.4</v>
      </c>
      <c r="F70" s="28" t="n">
        <v>1.4</v>
      </c>
      <c r="G70" s="35" t="n">
        <v>1</v>
      </c>
      <c r="H70" s="1" t="n">
        <f aca="false">IF(G70=P70, 1, 0)</f>
        <v>1</v>
      </c>
      <c r="I70" s="34" t="n">
        <f aca="false">I69-0.1*T69</f>
        <v>0.376194010374218</v>
      </c>
      <c r="J70" s="36" t="n">
        <f aca="false">J69-0.1*U69</f>
        <v>-0.0433116634667344</v>
      </c>
      <c r="K70" s="36" t="n">
        <f aca="false">K69-0.1*V69</f>
        <v>0.0604106809540477</v>
      </c>
      <c r="L70" s="36" t="n">
        <f aca="false">L69-0.1*W69</f>
        <v>0.507778228494867</v>
      </c>
      <c r="M70" s="36" t="n">
        <f aca="false">M69-0.1*X69</f>
        <v>0.546088869778742</v>
      </c>
      <c r="N70" s="31" t="n">
        <f aca="false">I70+J70*C70+K70*D70+L70*E70+F70*M70</f>
        <v>3.27031769742357</v>
      </c>
      <c r="O70" s="31" t="n">
        <f aca="false">1/(1+EXP(-N70))</f>
        <v>0.963396376592816</v>
      </c>
      <c r="P70" s="32" t="n">
        <f aca="false">IF(O70&gt;0.5,1,0)</f>
        <v>1</v>
      </c>
      <c r="Q70" s="32" t="n">
        <f aca="false">O70-G70</f>
        <v>-0.0366036234071844</v>
      </c>
      <c r="R70" s="33" t="n">
        <f aca="false">Q70^2</f>
        <v>0.00133982524653498</v>
      </c>
      <c r="T70" s="26" t="n">
        <f aca="false">2*(O70-G70)*(1-O70)*O70</f>
        <v>-0.00258156557555874</v>
      </c>
      <c r="U70" s="26" t="n">
        <f aca="false">2*(O70-G70)*(1-O70)*O70*C70</f>
        <v>-0.0170383327986877</v>
      </c>
      <c r="V70" s="26" t="n">
        <f aca="false">2*(O70-G70)*(1-O70)*O70*D70</f>
        <v>-0.00774469672667623</v>
      </c>
      <c r="W70" s="26" t="n">
        <f aca="false">2*(O70-G70)*(1-O70)*O70*E70</f>
        <v>-0.0113588885324585</v>
      </c>
      <c r="X70" s="26" t="n">
        <f aca="false">2*(O70-G70)*(1-O70)*O70*F70</f>
        <v>-0.00361419180578224</v>
      </c>
    </row>
    <row r="71" customFormat="false" ht="14.25" hidden="false" customHeight="true" outlineLevel="0" collapsed="false">
      <c r="A71" s="27"/>
      <c r="B71" s="28" t="n">
        <v>67</v>
      </c>
      <c r="C71" s="28" t="n">
        <v>6.8</v>
      </c>
      <c r="D71" s="28" t="n">
        <v>2.8</v>
      </c>
      <c r="E71" s="28" t="n">
        <v>4.8</v>
      </c>
      <c r="F71" s="28" t="n">
        <v>1.4</v>
      </c>
      <c r="G71" s="35" t="n">
        <v>1</v>
      </c>
      <c r="H71" s="1" t="n">
        <f aca="false">IF(G71=P71, 1, 0)</f>
        <v>1</v>
      </c>
      <c r="I71" s="34" t="n">
        <f aca="false">I70-0.1*T70</f>
        <v>0.376452166931774</v>
      </c>
      <c r="J71" s="36" t="n">
        <f aca="false">J70-0.1*U70</f>
        <v>-0.0416078301868656</v>
      </c>
      <c r="K71" s="36" t="n">
        <f aca="false">K70-0.1*V70</f>
        <v>0.0611851506267153</v>
      </c>
      <c r="L71" s="36" t="n">
        <f aca="false">L70-0.1*W70</f>
        <v>0.508914117348113</v>
      </c>
      <c r="M71" s="36" t="n">
        <f aca="false">M70-0.1*X70</f>
        <v>0.546450288959321</v>
      </c>
      <c r="N71" s="31" t="n">
        <f aca="false">I71+J71*C71+K71*D71+L71*E71+F71*M71</f>
        <v>3.47265551122988</v>
      </c>
      <c r="O71" s="31" t="n">
        <f aca="false">1/(1+EXP(-N71))</f>
        <v>0.969899641191682</v>
      </c>
      <c r="P71" s="32" t="n">
        <f aca="false">IF(O71&gt;0.5,1,0)</f>
        <v>1</v>
      </c>
      <c r="Q71" s="32" t="n">
        <f aca="false">O71-G71</f>
        <v>-0.0301003588083185</v>
      </c>
      <c r="R71" s="33" t="n">
        <f aca="false">Q71^2</f>
        <v>0.000906031600389518</v>
      </c>
      <c r="T71" s="26" t="n">
        <f aca="false">2*(O71-G71)*(1-O71)*O71</f>
        <v>-0.00175751944825224</v>
      </c>
      <c r="U71" s="26" t="n">
        <f aca="false">2*(O71-G71)*(1-O71)*O71*C71</f>
        <v>-0.0119511322481152</v>
      </c>
      <c r="V71" s="26" t="n">
        <f aca="false">2*(O71-G71)*(1-O71)*O71*D71</f>
        <v>-0.00492105445510626</v>
      </c>
      <c r="W71" s="26" t="n">
        <f aca="false">2*(O71-G71)*(1-O71)*O71*E71</f>
        <v>-0.00843609335161074</v>
      </c>
      <c r="X71" s="26" t="n">
        <f aca="false">2*(O71-G71)*(1-O71)*O71*F71</f>
        <v>-0.00246052722755313</v>
      </c>
    </row>
    <row r="72" customFormat="false" ht="14.25" hidden="false" customHeight="true" outlineLevel="0" collapsed="false">
      <c r="A72" s="27"/>
      <c r="B72" s="34" t="n">
        <v>68</v>
      </c>
      <c r="C72" s="28" t="n">
        <v>6.7</v>
      </c>
      <c r="D72" s="28" t="n">
        <v>3</v>
      </c>
      <c r="E72" s="28" t="n">
        <v>5</v>
      </c>
      <c r="F72" s="28" t="n">
        <v>1.7</v>
      </c>
      <c r="G72" s="35" t="n">
        <v>1</v>
      </c>
      <c r="H72" s="1" t="n">
        <f aca="false">IF(G72=P72, 1, 0)</f>
        <v>1</v>
      </c>
      <c r="I72" s="34" t="n">
        <f aca="false">I71-0.1*T71</f>
        <v>0.3766279188766</v>
      </c>
      <c r="J72" s="36" t="n">
        <f aca="false">J71-0.1*U71</f>
        <v>-0.0404127169620541</v>
      </c>
      <c r="K72" s="36" t="n">
        <f aca="false">K71-0.1*V71</f>
        <v>0.0616772560722259</v>
      </c>
      <c r="L72" s="36" t="n">
        <f aca="false">L71-0.1*W71</f>
        <v>0.509757726683274</v>
      </c>
      <c r="M72" s="36" t="n">
        <f aca="false">M71-0.1*X71</f>
        <v>0.546696341682076</v>
      </c>
      <c r="N72" s="31" t="n">
        <f aca="false">I72+J72*C72+K72*D72+L72*E72+F72*M72</f>
        <v>3.76906689772342</v>
      </c>
      <c r="O72" s="31" t="n">
        <f aca="false">1/(1+EXP(-N72))</f>
        <v>0.977446799882103</v>
      </c>
      <c r="P72" s="32" t="n">
        <f aca="false">IF(O72&gt;0.5,1,0)</f>
        <v>1</v>
      </c>
      <c r="Q72" s="32" t="n">
        <f aca="false">O72-G72</f>
        <v>-0.0225532001178971</v>
      </c>
      <c r="R72" s="33" t="n">
        <f aca="false">Q72^2</f>
        <v>0.000508646835557913</v>
      </c>
      <c r="T72" s="26" t="n">
        <f aca="false">2*(O72-G72)*(1-O72)*O72</f>
        <v>-0.00099435044337248</v>
      </c>
      <c r="U72" s="26" t="n">
        <f aca="false">2*(O72-G72)*(1-O72)*O72*C72</f>
        <v>-0.00666214797059562</v>
      </c>
      <c r="V72" s="26" t="n">
        <f aca="false">2*(O72-G72)*(1-O72)*O72*D72</f>
        <v>-0.00298305133011744</v>
      </c>
      <c r="W72" s="26" t="n">
        <f aca="false">2*(O72-G72)*(1-O72)*O72*E72</f>
        <v>-0.0049717522168624</v>
      </c>
      <c r="X72" s="26" t="n">
        <f aca="false">2*(O72-G72)*(1-O72)*O72*F72</f>
        <v>-0.00169039575373322</v>
      </c>
    </row>
    <row r="73" customFormat="false" ht="14.25" hidden="false" customHeight="true" outlineLevel="0" collapsed="false">
      <c r="A73" s="27"/>
      <c r="B73" s="28" t="n">
        <v>69</v>
      </c>
      <c r="C73" s="28" t="n">
        <v>6</v>
      </c>
      <c r="D73" s="28" t="n">
        <v>2.9</v>
      </c>
      <c r="E73" s="28" t="n">
        <v>4.5</v>
      </c>
      <c r="F73" s="28" t="n">
        <v>1.5</v>
      </c>
      <c r="G73" s="35" t="n">
        <v>1</v>
      </c>
      <c r="H73" s="1" t="n">
        <f aca="false">IF(G73=P73, 1, 0)</f>
        <v>1</v>
      </c>
      <c r="I73" s="34" t="n">
        <f aca="false">I72-0.1*T72</f>
        <v>0.376727353920937</v>
      </c>
      <c r="J73" s="36" t="n">
        <f aca="false">J72-0.1*U72</f>
        <v>-0.0397465021649945</v>
      </c>
      <c r="K73" s="36" t="n">
        <f aca="false">K72-0.1*V72</f>
        <v>0.0619755612052377</v>
      </c>
      <c r="L73" s="36" t="n">
        <f aca="false">L72-0.1*W72</f>
        <v>0.510254901904961</v>
      </c>
      <c r="M73" s="36" t="n">
        <f aca="false">M72-0.1*X72</f>
        <v>0.546865381257449</v>
      </c>
      <c r="N73" s="31" t="n">
        <f aca="false">I73+J73*C73+K73*D73+L73*E73+F73*M73</f>
        <v>3.43442259888466</v>
      </c>
      <c r="O73" s="31" t="n">
        <f aca="false">1/(1+EXP(-N73))</f>
        <v>0.96876317819538</v>
      </c>
      <c r="P73" s="32" t="n">
        <f aca="false">IF(O73&gt;0.5,1,0)</f>
        <v>1</v>
      </c>
      <c r="Q73" s="32" t="n">
        <f aca="false">O73-G73</f>
        <v>-0.0312368218046196</v>
      </c>
      <c r="R73" s="33" t="n">
        <f aca="false">Q73^2</f>
        <v>0.00097573903645356</v>
      </c>
      <c r="T73" s="26" t="n">
        <f aca="false">2*(O73-G73)*(1-O73)*O73</f>
        <v>-0.0018905201000881</v>
      </c>
      <c r="U73" s="26" t="n">
        <f aca="false">2*(O73-G73)*(1-O73)*O73*C73</f>
        <v>-0.0113431206005286</v>
      </c>
      <c r="V73" s="26" t="n">
        <f aca="false">2*(O73-G73)*(1-O73)*O73*D73</f>
        <v>-0.00548250829025548</v>
      </c>
      <c r="W73" s="26" t="n">
        <f aca="false">2*(O73-G73)*(1-O73)*O73*E73</f>
        <v>-0.00850734045039644</v>
      </c>
      <c r="X73" s="26" t="n">
        <f aca="false">2*(O73-G73)*(1-O73)*O73*F73</f>
        <v>-0.00283578015013215</v>
      </c>
    </row>
    <row r="74" customFormat="false" ht="14.25" hidden="false" customHeight="true" outlineLevel="0" collapsed="false">
      <c r="A74" s="27"/>
      <c r="B74" s="34" t="n">
        <v>70</v>
      </c>
      <c r="C74" s="28" t="n">
        <v>5.7</v>
      </c>
      <c r="D74" s="28" t="n">
        <v>2.6</v>
      </c>
      <c r="E74" s="28" t="n">
        <v>3.5</v>
      </c>
      <c r="F74" s="28" t="n">
        <v>1</v>
      </c>
      <c r="G74" s="35" t="n">
        <v>1</v>
      </c>
      <c r="H74" s="1" t="n">
        <f aca="false">IF(G74=P74, 1, 0)</f>
        <v>1</v>
      </c>
      <c r="I74" s="34" t="n">
        <f aca="false">I73-0.1*T73</f>
        <v>0.376916405930946</v>
      </c>
      <c r="J74" s="36" t="n">
        <f aca="false">J73-0.1*U73</f>
        <v>-0.0386121901049417</v>
      </c>
      <c r="K74" s="36" t="n">
        <f aca="false">K73-0.1*V73</f>
        <v>0.0625238120342632</v>
      </c>
      <c r="L74" s="36" t="n">
        <f aca="false">L73-0.1*W73</f>
        <v>0.51110563595</v>
      </c>
      <c r="M74" s="36" t="n">
        <f aca="false">M73-0.1*X73</f>
        <v>0.547148959272462</v>
      </c>
      <c r="N74" s="31" t="n">
        <f aca="false">I74+J74*C74+K74*D74+L74*E74+F74*M74</f>
        <v>2.65540751871933</v>
      </c>
      <c r="O74" s="31" t="n">
        <f aca="false">1/(1+EXP(-N74))</f>
        <v>0.934343498824111</v>
      </c>
      <c r="P74" s="32" t="n">
        <f aca="false">IF(O74&gt;0.5,1,0)</f>
        <v>1</v>
      </c>
      <c r="Q74" s="32" t="n">
        <f aca="false">O74-G74</f>
        <v>-0.0656565011758891</v>
      </c>
      <c r="R74" s="33" t="n">
        <f aca="false">Q74^2</f>
        <v>0.00431077614665952</v>
      </c>
      <c r="T74" s="26" t="n">
        <f aca="false">2*(O74-G74)*(1-O74)*O74</f>
        <v>-0.00805549133503475</v>
      </c>
      <c r="U74" s="26" t="n">
        <f aca="false">2*(O74-G74)*(1-O74)*O74*C74</f>
        <v>-0.0459163006096981</v>
      </c>
      <c r="V74" s="26" t="n">
        <f aca="false">2*(O74-G74)*(1-O74)*O74*D74</f>
        <v>-0.0209442774710904</v>
      </c>
      <c r="W74" s="26" t="n">
        <f aca="false">2*(O74-G74)*(1-O74)*O74*E74</f>
        <v>-0.0281942196726216</v>
      </c>
      <c r="X74" s="26" t="n">
        <f aca="false">2*(O74-G74)*(1-O74)*O74*F74</f>
        <v>-0.00805549133503475</v>
      </c>
    </row>
    <row r="75" customFormat="false" ht="14.25" hidden="false" customHeight="true" outlineLevel="0" collapsed="false">
      <c r="A75" s="27"/>
      <c r="B75" s="28" t="n">
        <v>71</v>
      </c>
      <c r="C75" s="28" t="n">
        <v>5.5</v>
      </c>
      <c r="D75" s="28" t="n">
        <v>2.4</v>
      </c>
      <c r="E75" s="28" t="n">
        <v>3.8</v>
      </c>
      <c r="F75" s="28" t="n">
        <v>1.1</v>
      </c>
      <c r="G75" s="35" t="n">
        <v>1</v>
      </c>
      <c r="H75" s="1" t="n">
        <f aca="false">IF(G75=P75, 1, 0)</f>
        <v>1</v>
      </c>
      <c r="I75" s="34" t="n">
        <f aca="false">I74-0.1*T74</f>
        <v>0.377721955064449</v>
      </c>
      <c r="J75" s="36" t="n">
        <f aca="false">J74-0.1*U74</f>
        <v>-0.0340205600439719</v>
      </c>
      <c r="K75" s="36" t="n">
        <f aca="false">K74-0.1*V74</f>
        <v>0.0646182397813722</v>
      </c>
      <c r="L75" s="36" t="n">
        <f aca="false">L74-0.1*W74</f>
        <v>0.513925057917262</v>
      </c>
      <c r="M75" s="36" t="n">
        <f aca="false">M74-0.1*X74</f>
        <v>0.547954508405966</v>
      </c>
      <c r="N75" s="31" t="n">
        <f aca="false">I75+J75*C75+K75*D75+L75*E75+F75*M75</f>
        <v>2.90135782963006</v>
      </c>
      <c r="O75" s="31" t="n">
        <f aca="false">1/(1+EXP(-N75))</f>
        <v>0.947913518483656</v>
      </c>
      <c r="P75" s="32" t="n">
        <f aca="false">IF(O75&gt;0.5,1,0)</f>
        <v>1</v>
      </c>
      <c r="Q75" s="32" t="n">
        <f aca="false">O75-G75</f>
        <v>-0.0520864815163442</v>
      </c>
      <c r="R75" s="33" t="n">
        <f aca="false">Q75^2</f>
        <v>0.00271300155675247</v>
      </c>
      <c r="T75" s="26" t="n">
        <f aca="false">2*(O75-G75)*(1-O75)*O75</f>
        <v>-0.00514338170262573</v>
      </c>
      <c r="U75" s="26" t="n">
        <f aca="false">2*(O75-G75)*(1-O75)*O75*C75</f>
        <v>-0.0282885993644415</v>
      </c>
      <c r="V75" s="26" t="n">
        <f aca="false">2*(O75-G75)*(1-O75)*O75*D75</f>
        <v>-0.0123441160863018</v>
      </c>
      <c r="W75" s="26" t="n">
        <f aca="false">2*(O75-G75)*(1-O75)*O75*E75</f>
        <v>-0.0195448504699778</v>
      </c>
      <c r="X75" s="26" t="n">
        <f aca="false">2*(O75-G75)*(1-O75)*O75*F75</f>
        <v>-0.00565771987288831</v>
      </c>
    </row>
    <row r="76" customFormat="false" ht="14.25" hidden="false" customHeight="true" outlineLevel="0" collapsed="false">
      <c r="A76" s="27"/>
      <c r="B76" s="34" t="n">
        <v>72</v>
      </c>
      <c r="C76" s="28" t="n">
        <v>5.5</v>
      </c>
      <c r="D76" s="28" t="n">
        <v>2.4</v>
      </c>
      <c r="E76" s="28" t="n">
        <v>3.7</v>
      </c>
      <c r="F76" s="28" t="n">
        <v>1</v>
      </c>
      <c r="G76" s="35" t="n">
        <v>1</v>
      </c>
      <c r="H76" s="1" t="n">
        <f aca="false">IF(G76=P76, 1, 0)</f>
        <v>1</v>
      </c>
      <c r="I76" s="34" t="n">
        <f aca="false">I75-0.1*T75</f>
        <v>0.378236293234712</v>
      </c>
      <c r="J76" s="36" t="n">
        <f aca="false">J75-0.1*U75</f>
        <v>-0.0311917001075277</v>
      </c>
      <c r="K76" s="36" t="n">
        <f aca="false">K75-0.1*V75</f>
        <v>0.0658526513900024</v>
      </c>
      <c r="L76" s="36" t="n">
        <f aca="false">L75-0.1*W75</f>
        <v>0.51587954296426</v>
      </c>
      <c r="M76" s="36" t="n">
        <f aca="false">M75-0.1*X75</f>
        <v>0.548520280393255</v>
      </c>
      <c r="N76" s="31" t="n">
        <f aca="false">I76+J76*C76+K76*D76+L76*E76+F76*M76</f>
        <v>2.82200289534033</v>
      </c>
      <c r="O76" s="31" t="n">
        <f aca="false">1/(1+EXP(-N76))</f>
        <v>0.943853302762171</v>
      </c>
      <c r="P76" s="32" t="n">
        <f aca="false">IF(O76&gt;0.5,1,0)</f>
        <v>1</v>
      </c>
      <c r="Q76" s="32" t="n">
        <f aca="false">O76-G76</f>
        <v>-0.0561466972378295</v>
      </c>
      <c r="R76" s="33" t="n">
        <f aca="false">Q76^2</f>
        <v>0.00315245161071649</v>
      </c>
      <c r="T76" s="26" t="n">
        <f aca="false">2*(O76-G76)*(1-O76)*O76</f>
        <v>-0.00595090372914537</v>
      </c>
      <c r="U76" s="26" t="n">
        <f aca="false">2*(O76-G76)*(1-O76)*O76*C76</f>
        <v>-0.0327299705102995</v>
      </c>
      <c r="V76" s="26" t="n">
        <f aca="false">2*(O76-G76)*(1-O76)*O76*D76</f>
        <v>-0.0142821689499489</v>
      </c>
      <c r="W76" s="26" t="n">
        <f aca="false">2*(O76-G76)*(1-O76)*O76*E76</f>
        <v>-0.0220183437978379</v>
      </c>
      <c r="X76" s="26" t="n">
        <f aca="false">2*(O76-G76)*(1-O76)*O76*F76</f>
        <v>-0.00595090372914537</v>
      </c>
    </row>
    <row r="77" customFormat="false" ht="14.25" hidden="false" customHeight="true" outlineLevel="0" collapsed="false">
      <c r="A77" s="27"/>
      <c r="B77" s="28" t="n">
        <v>73</v>
      </c>
      <c r="C77" s="28" t="n">
        <v>5.8</v>
      </c>
      <c r="D77" s="28" t="n">
        <v>2.7</v>
      </c>
      <c r="E77" s="28" t="n">
        <v>3.9</v>
      </c>
      <c r="F77" s="28" t="n">
        <v>1.2</v>
      </c>
      <c r="G77" s="35" t="n">
        <v>1</v>
      </c>
      <c r="H77" s="1" t="n">
        <f aca="false">IF(G77=P77, 1, 0)</f>
        <v>1</v>
      </c>
      <c r="I77" s="34" t="n">
        <f aca="false">I76-0.1*T76</f>
        <v>0.378831383607626</v>
      </c>
      <c r="J77" s="36" t="n">
        <f aca="false">J76-0.1*U76</f>
        <v>-0.0279187030564978</v>
      </c>
      <c r="K77" s="36" t="n">
        <f aca="false">K76-0.1*V76</f>
        <v>0.0672808682849973</v>
      </c>
      <c r="L77" s="36" t="n">
        <f aca="false">L76-0.1*W76</f>
        <v>0.518081377344044</v>
      </c>
      <c r="M77" s="36" t="n">
        <f aca="false">M76-0.1*X76</f>
        <v>0.549115370766169</v>
      </c>
      <c r="N77" s="31" t="n">
        <f aca="false">I77+J77*C77+K77*D77+L77*E77+F77*M77</f>
        <v>3.07801706681061</v>
      </c>
      <c r="O77" s="31" t="n">
        <f aca="false">1/(1+EXP(-N77))</f>
        <v>0.955976807976072</v>
      </c>
      <c r="P77" s="32" t="n">
        <f aca="false">IF(O77&gt;0.5,1,0)</f>
        <v>1</v>
      </c>
      <c r="Q77" s="32" t="n">
        <f aca="false">O77-G77</f>
        <v>-0.0440231920239285</v>
      </c>
      <c r="R77" s="33" t="n">
        <f aca="false">Q77^2</f>
        <v>0.00193804143597568</v>
      </c>
      <c r="T77" s="26" t="n">
        <f aca="false">2*(O77-G77)*(1-O77)*O77</f>
        <v>-0.00370544533137878</v>
      </c>
      <c r="U77" s="26" t="n">
        <f aca="false">2*(O77-G77)*(1-O77)*O77*C77</f>
        <v>-0.0214915829219969</v>
      </c>
      <c r="V77" s="26" t="n">
        <f aca="false">2*(O77-G77)*(1-O77)*O77*D77</f>
        <v>-0.0100047023947227</v>
      </c>
      <c r="W77" s="26" t="n">
        <f aca="false">2*(O77-G77)*(1-O77)*O77*E77</f>
        <v>-0.0144512367923773</v>
      </c>
      <c r="X77" s="26" t="n">
        <f aca="false">2*(O77-G77)*(1-O77)*O77*F77</f>
        <v>-0.00444653439765454</v>
      </c>
    </row>
    <row r="78" customFormat="false" ht="14.25" hidden="false" customHeight="true" outlineLevel="0" collapsed="false">
      <c r="A78" s="27"/>
      <c r="B78" s="34" t="n">
        <v>74</v>
      </c>
      <c r="C78" s="28" t="n">
        <v>6</v>
      </c>
      <c r="D78" s="28" t="n">
        <v>2.7</v>
      </c>
      <c r="E78" s="28" t="n">
        <v>5.1</v>
      </c>
      <c r="F78" s="28" t="n">
        <v>1.6</v>
      </c>
      <c r="G78" s="35" t="n">
        <v>1</v>
      </c>
      <c r="H78" s="1" t="n">
        <f aca="false">IF(G78=P78, 1, 0)</f>
        <v>1</v>
      </c>
      <c r="I78" s="34" t="n">
        <f aca="false">I77-0.1*T77</f>
        <v>0.379201928140764</v>
      </c>
      <c r="J78" s="36" t="n">
        <f aca="false">J77-0.1*U77</f>
        <v>-0.0257695447642981</v>
      </c>
      <c r="K78" s="36" t="n">
        <f aca="false">K77-0.1*V77</f>
        <v>0.0682813385244696</v>
      </c>
      <c r="L78" s="36" t="n">
        <f aca="false">L77-0.1*W77</f>
        <v>0.519526501023282</v>
      </c>
      <c r="M78" s="36" t="n">
        <f aca="false">M77-0.1*X77</f>
        <v>0.549560024205935</v>
      </c>
      <c r="N78" s="31" t="n">
        <f aca="false">I78+J78*C78+K78*D78+L78*E78+F78*M78</f>
        <v>3.93782546751928</v>
      </c>
      <c r="O78" s="31" t="n">
        <f aca="false">1/(1+EXP(-N78))</f>
        <v>0.980882067513642</v>
      </c>
      <c r="P78" s="32" t="n">
        <f aca="false">IF(O78&gt;0.5,1,0)</f>
        <v>1</v>
      </c>
      <c r="Q78" s="32" t="n">
        <f aca="false">O78-G78</f>
        <v>-0.0191179324863577</v>
      </c>
      <c r="R78" s="33" t="n">
        <f aca="false">Q78^2</f>
        <v>0.000365495342552933</v>
      </c>
      <c r="T78" s="26" t="n">
        <f aca="false">2*(O78-G78)*(1-O78)*O78</f>
        <v>-0.000717015654539855</v>
      </c>
      <c r="U78" s="26" t="n">
        <f aca="false">2*(O78-G78)*(1-O78)*O78*C78</f>
        <v>-0.00430209392723913</v>
      </c>
      <c r="V78" s="26" t="n">
        <f aca="false">2*(O78-G78)*(1-O78)*O78*D78</f>
        <v>-0.00193594226725761</v>
      </c>
      <c r="W78" s="26" t="n">
        <f aca="false">2*(O78-G78)*(1-O78)*O78*E78</f>
        <v>-0.00365677983815326</v>
      </c>
      <c r="X78" s="26" t="n">
        <f aca="false">2*(O78-G78)*(1-O78)*O78*F78</f>
        <v>-0.00114722504726377</v>
      </c>
    </row>
    <row r="79" customFormat="false" ht="14.25" hidden="false" customHeight="true" outlineLevel="0" collapsed="false">
      <c r="A79" s="27"/>
      <c r="B79" s="28" t="n">
        <v>75</v>
      </c>
      <c r="C79" s="28" t="n">
        <v>5.4</v>
      </c>
      <c r="D79" s="28" t="n">
        <v>3</v>
      </c>
      <c r="E79" s="28" t="n">
        <v>4.5</v>
      </c>
      <c r="F79" s="28" t="n">
        <v>1.5</v>
      </c>
      <c r="G79" s="35" t="n">
        <v>1</v>
      </c>
      <c r="H79" s="1" t="n">
        <f aca="false">IF(G79=P79, 1, 0)</f>
        <v>1</v>
      </c>
      <c r="I79" s="34" t="n">
        <f aca="false">I78-0.1*T78</f>
        <v>0.379273629706218</v>
      </c>
      <c r="J79" s="36" t="n">
        <f aca="false">J78-0.1*U78</f>
        <v>-0.0253393353715742</v>
      </c>
      <c r="K79" s="36" t="n">
        <f aca="false">K78-0.1*V78</f>
        <v>0.0684749327511953</v>
      </c>
      <c r="L79" s="36" t="n">
        <f aca="false">L78-0.1*W78</f>
        <v>0.519892179007097</v>
      </c>
      <c r="M79" s="36" t="n">
        <f aca="false">M78-0.1*X78</f>
        <v>0.549674746710661</v>
      </c>
      <c r="N79" s="31" t="n">
        <f aca="false">I79+J79*C79+K79*D79+L79*E79+F79*M79</f>
        <v>3.61189294255123</v>
      </c>
      <c r="O79" s="31" t="n">
        <f aca="false">1/(1+EXP(-N79))</f>
        <v>0.973709182444197</v>
      </c>
      <c r="P79" s="32" t="n">
        <f aca="false">IF(O79&gt;0.5,1,0)</f>
        <v>1</v>
      </c>
      <c r="Q79" s="32" t="n">
        <f aca="false">O79-G79</f>
        <v>-0.0262908175558034</v>
      </c>
      <c r="R79" s="33" t="n">
        <f aca="false">Q79^2</f>
        <v>0.000691207087752542</v>
      </c>
      <c r="T79" s="26" t="n">
        <f aca="false">2*(O79-G79)*(1-O79)*O79</f>
        <v>-0.00134606937663032</v>
      </c>
      <c r="U79" s="26" t="n">
        <f aca="false">2*(O79-G79)*(1-O79)*O79*C79</f>
        <v>-0.00726877463380374</v>
      </c>
      <c r="V79" s="26" t="n">
        <f aca="false">2*(O79-G79)*(1-O79)*O79*D79</f>
        <v>-0.00403820812989097</v>
      </c>
      <c r="W79" s="26" t="n">
        <f aca="false">2*(O79-G79)*(1-O79)*O79*E79</f>
        <v>-0.00605731219483645</v>
      </c>
      <c r="X79" s="26" t="n">
        <f aca="false">2*(O79-G79)*(1-O79)*O79*F79</f>
        <v>-0.00201910406494548</v>
      </c>
    </row>
    <row r="80" customFormat="false" ht="14.25" hidden="false" customHeight="true" outlineLevel="0" collapsed="false">
      <c r="A80" s="27"/>
      <c r="B80" s="34" t="n">
        <v>76</v>
      </c>
      <c r="C80" s="28" t="n">
        <v>6</v>
      </c>
      <c r="D80" s="28" t="n">
        <v>3.4</v>
      </c>
      <c r="E80" s="28" t="n">
        <v>4.5</v>
      </c>
      <c r="F80" s="28" t="n">
        <v>1.6</v>
      </c>
      <c r="G80" s="35" t="n">
        <v>1</v>
      </c>
      <c r="H80" s="1" t="n">
        <f aca="false">IF(G80=P80, 1, 0)</f>
        <v>1</v>
      </c>
      <c r="I80" s="34" t="n">
        <f aca="false">I79-0.1*T79</f>
        <v>0.379408236643881</v>
      </c>
      <c r="J80" s="36" t="n">
        <f aca="false">J79-0.1*U79</f>
        <v>-0.0246124579081938</v>
      </c>
      <c r="K80" s="36" t="n">
        <f aca="false">K79-0.1*V79</f>
        <v>0.0688787535641844</v>
      </c>
      <c r="L80" s="36" t="n">
        <f aca="false">L79-0.1*W79</f>
        <v>0.520497910226581</v>
      </c>
      <c r="M80" s="36" t="n">
        <f aca="false">M79-0.1*X79</f>
        <v>0.549876657117156</v>
      </c>
      <c r="N80" s="31" t="n">
        <f aca="false">I80+J80*C80+K80*D80+L80*E80+F80*M80</f>
        <v>3.68796449872001</v>
      </c>
      <c r="O80" s="31" t="n">
        <f aca="false">1/(1+EXP(-N80))</f>
        <v>0.975587974927854</v>
      </c>
      <c r="P80" s="32" t="n">
        <f aca="false">IF(O80&gt;0.5,1,0)</f>
        <v>1</v>
      </c>
      <c r="Q80" s="32" t="n">
        <f aca="false">O80-G80</f>
        <v>-0.024412025072146</v>
      </c>
      <c r="R80" s="33" t="n">
        <f aca="false">Q80^2</f>
        <v>0.000595946968123086</v>
      </c>
      <c r="T80" s="26" t="n">
        <f aca="false">2*(O80-G80)*(1-O80)*O80</f>
        <v>-0.00116279739159119</v>
      </c>
      <c r="U80" s="26" t="n">
        <f aca="false">2*(O80-G80)*(1-O80)*O80*C80</f>
        <v>-0.00697678434954715</v>
      </c>
      <c r="V80" s="26" t="n">
        <f aca="false">2*(O80-G80)*(1-O80)*O80*D80</f>
        <v>-0.00395351113141005</v>
      </c>
      <c r="W80" s="26" t="n">
        <f aca="false">2*(O80-G80)*(1-O80)*O80*E80</f>
        <v>-0.00523258826216036</v>
      </c>
      <c r="X80" s="26" t="n">
        <f aca="false">2*(O80-G80)*(1-O80)*O80*F80</f>
        <v>-0.00186047582654591</v>
      </c>
    </row>
    <row r="81" customFormat="false" ht="14.25" hidden="false" customHeight="true" outlineLevel="0" collapsed="false">
      <c r="A81" s="27"/>
      <c r="B81" s="28" t="n">
        <v>77</v>
      </c>
      <c r="C81" s="28" t="n">
        <v>6.7</v>
      </c>
      <c r="D81" s="28" t="n">
        <v>3.1</v>
      </c>
      <c r="E81" s="28" t="n">
        <v>4.7</v>
      </c>
      <c r="F81" s="28" t="n">
        <v>1.5</v>
      </c>
      <c r="G81" s="35" t="n">
        <v>1</v>
      </c>
      <c r="H81" s="1" t="n">
        <f aca="false">IF(G81=P81, 1, 0)</f>
        <v>1</v>
      </c>
      <c r="I81" s="34" t="n">
        <f aca="false">I80-0.1*T80</f>
        <v>0.37952451638304</v>
      </c>
      <c r="J81" s="36" t="n">
        <f aca="false">J80-0.1*U80</f>
        <v>-0.0239147794732391</v>
      </c>
      <c r="K81" s="36" t="n">
        <f aca="false">K80-0.1*V80</f>
        <v>0.0692741046773254</v>
      </c>
      <c r="L81" s="36" t="n">
        <f aca="false">L80-0.1*W80</f>
        <v>0.521021169052797</v>
      </c>
      <c r="M81" s="36" t="n">
        <f aca="false">M80-0.1*X80</f>
        <v>0.55006270469981</v>
      </c>
      <c r="N81" s="31" t="n">
        <f aca="false">I81+J81*C81+K81*D81+L81*E81+F81*M81</f>
        <v>3.70793877000991</v>
      </c>
      <c r="O81" s="31" t="n">
        <f aca="false">1/(1+EXP(-N81))</f>
        <v>0.976059191731257</v>
      </c>
      <c r="P81" s="32" t="n">
        <f aca="false">IF(O81&gt;0.5,1,0)</f>
        <v>1</v>
      </c>
      <c r="Q81" s="32" t="n">
        <f aca="false">O81-G81</f>
        <v>-0.0239408082687426</v>
      </c>
      <c r="R81" s="33" t="n">
        <f aca="false">Q81^2</f>
        <v>0.000573162300560692</v>
      </c>
      <c r="T81" s="26" t="n">
        <f aca="false">2*(O81-G81)*(1-O81)*O81</f>
        <v>-0.00111888066363219</v>
      </c>
      <c r="U81" s="26" t="n">
        <f aca="false">2*(O81-G81)*(1-O81)*O81*C81</f>
        <v>-0.00749650044633571</v>
      </c>
      <c r="V81" s="26" t="n">
        <f aca="false">2*(O81-G81)*(1-O81)*O81*D81</f>
        <v>-0.0034685300572598</v>
      </c>
      <c r="W81" s="26" t="n">
        <f aca="false">2*(O81-G81)*(1-O81)*O81*E81</f>
        <v>-0.00525873911907132</v>
      </c>
      <c r="X81" s="26" t="n">
        <f aca="false">2*(O81-G81)*(1-O81)*O81*F81</f>
        <v>-0.00167832099544829</v>
      </c>
    </row>
    <row r="82" customFormat="false" ht="14.25" hidden="false" customHeight="true" outlineLevel="0" collapsed="false">
      <c r="A82" s="27"/>
      <c r="B82" s="34" t="n">
        <v>78</v>
      </c>
      <c r="C82" s="28" t="n">
        <v>6.3</v>
      </c>
      <c r="D82" s="28" t="n">
        <v>2.3</v>
      </c>
      <c r="E82" s="28" t="n">
        <v>4.4</v>
      </c>
      <c r="F82" s="28" t="n">
        <v>1.3</v>
      </c>
      <c r="G82" s="35" t="n">
        <v>1</v>
      </c>
      <c r="H82" s="1" t="n">
        <f aca="false">IF(G82=P82, 1, 0)</f>
        <v>1</v>
      </c>
      <c r="I82" s="34" t="n">
        <f aca="false">I81-0.1*T81</f>
        <v>0.379636404449404</v>
      </c>
      <c r="J82" s="36" t="n">
        <f aca="false">J81-0.1*U81</f>
        <v>-0.0231651294286055</v>
      </c>
      <c r="K82" s="36" t="n">
        <f aca="false">K81-0.1*V81</f>
        <v>0.0696209576830514</v>
      </c>
      <c r="L82" s="36" t="n">
        <f aca="false">L81-0.1*W81</f>
        <v>0.521547042964704</v>
      </c>
      <c r="M82" s="36" t="n">
        <f aca="false">M81-0.1*X81</f>
        <v>0.550230536799355</v>
      </c>
      <c r="N82" s="31" t="n">
        <f aca="false">I82+J82*C82+K82*D82+L82*E82+F82*M82</f>
        <v>3.40393097860407</v>
      </c>
      <c r="O82" s="31" t="n">
        <f aca="false">1/(1+EXP(-N82))</f>
        <v>0.967827162470801</v>
      </c>
      <c r="P82" s="32" t="n">
        <f aca="false">IF(O82&gt;0.5,1,0)</f>
        <v>1</v>
      </c>
      <c r="Q82" s="32" t="n">
        <f aca="false">O82-G82</f>
        <v>-0.0321728375291994</v>
      </c>
      <c r="R82" s="33" t="n">
        <f aca="false">Q82^2</f>
        <v>0.00103509147468026</v>
      </c>
      <c r="T82" s="26" t="n">
        <f aca="false">2*(O82-G82)*(1-O82)*O82</f>
        <v>-0.00200357928967503</v>
      </c>
      <c r="U82" s="26" t="n">
        <f aca="false">2*(O82-G82)*(1-O82)*O82*C82</f>
        <v>-0.0126225495249527</v>
      </c>
      <c r="V82" s="26" t="n">
        <f aca="false">2*(O82-G82)*(1-O82)*O82*D82</f>
        <v>-0.00460823236625257</v>
      </c>
      <c r="W82" s="26" t="n">
        <f aca="false">2*(O82-G82)*(1-O82)*O82*E82</f>
        <v>-0.00881574887457013</v>
      </c>
      <c r="X82" s="26" t="n">
        <f aca="false">2*(O82-G82)*(1-O82)*O82*F82</f>
        <v>-0.00260465307657754</v>
      </c>
    </row>
    <row r="83" customFormat="false" ht="14.25" hidden="false" customHeight="true" outlineLevel="0" collapsed="false">
      <c r="A83" s="27"/>
      <c r="B83" s="28" t="n">
        <v>79</v>
      </c>
      <c r="C83" s="28" t="n">
        <v>5.6</v>
      </c>
      <c r="D83" s="28" t="n">
        <v>3</v>
      </c>
      <c r="E83" s="28" t="n">
        <v>4.1</v>
      </c>
      <c r="F83" s="28" t="n">
        <v>1.3</v>
      </c>
      <c r="G83" s="35" t="n">
        <v>1</v>
      </c>
      <c r="H83" s="1" t="n">
        <f aca="false">IF(G83=P83, 1, 0)</f>
        <v>1</v>
      </c>
      <c r="I83" s="34" t="n">
        <f aca="false">I82-0.1*T82</f>
        <v>0.379836762378371</v>
      </c>
      <c r="J83" s="36" t="n">
        <f aca="false">J82-0.1*U82</f>
        <v>-0.0219028744761102</v>
      </c>
      <c r="K83" s="36" t="n">
        <f aca="false">K82-0.1*V82</f>
        <v>0.0700817809196767</v>
      </c>
      <c r="L83" s="36" t="n">
        <f aca="false">L82-0.1*W82</f>
        <v>0.522428617852161</v>
      </c>
      <c r="M83" s="36" t="n">
        <f aca="false">M82-0.1*X82</f>
        <v>0.550491002107013</v>
      </c>
      <c r="N83" s="31" t="n">
        <f aca="false">I83+J83*C83+K83*D83+L83*E83+F83*M83</f>
        <v>3.32502164400416</v>
      </c>
      <c r="O83" s="31" t="n">
        <f aca="false">1/(1+EXP(-N83))</f>
        <v>0.965277295916856</v>
      </c>
      <c r="P83" s="32" t="n">
        <f aca="false">IF(O83&gt;0.5,1,0)</f>
        <v>1</v>
      </c>
      <c r="Q83" s="32" t="n">
        <f aca="false">O83-G83</f>
        <v>-0.0347227040831442</v>
      </c>
      <c r="R83" s="33" t="n">
        <f aca="false">Q83^2</f>
        <v>0.0012056661788456</v>
      </c>
      <c r="T83" s="26" t="n">
        <f aca="false">2*(O83-G83)*(1-O83)*O83</f>
        <v>-0.00232760437778897</v>
      </c>
      <c r="U83" s="26" t="n">
        <f aca="false">2*(O83-G83)*(1-O83)*O83*C83</f>
        <v>-0.0130345845156182</v>
      </c>
      <c r="V83" s="26" t="n">
        <f aca="false">2*(O83-G83)*(1-O83)*O83*D83</f>
        <v>-0.00698281313336691</v>
      </c>
      <c r="W83" s="26" t="n">
        <f aca="false">2*(O83-G83)*(1-O83)*O83*E83</f>
        <v>-0.00954317794893477</v>
      </c>
      <c r="X83" s="26" t="n">
        <f aca="false">2*(O83-G83)*(1-O83)*O83*F83</f>
        <v>-0.00302588569112566</v>
      </c>
    </row>
    <row r="84" customFormat="false" ht="14.25" hidden="false" customHeight="true" outlineLevel="0" collapsed="false">
      <c r="A84" s="27"/>
      <c r="B84" s="34" t="n">
        <v>80</v>
      </c>
      <c r="C84" s="28" t="n">
        <v>5.5</v>
      </c>
      <c r="D84" s="28" t="n">
        <v>2.5</v>
      </c>
      <c r="E84" s="28" t="n">
        <v>4</v>
      </c>
      <c r="F84" s="28" t="n">
        <v>1.3</v>
      </c>
      <c r="G84" s="35" t="n">
        <v>1</v>
      </c>
      <c r="H84" s="1" t="n">
        <f aca="false">IF(G84=P84, 1, 0)</f>
        <v>1</v>
      </c>
      <c r="I84" s="34" t="n">
        <f aca="false">I83-0.1*T83</f>
        <v>0.38006952281615</v>
      </c>
      <c r="J84" s="36" t="n">
        <f aca="false">J83-0.1*U83</f>
        <v>-0.0205994160245484</v>
      </c>
      <c r="K84" s="36" t="n">
        <f aca="false">K83-0.1*V83</f>
        <v>0.0707800622330134</v>
      </c>
      <c r="L84" s="36" t="n">
        <f aca="false">L83-0.1*W83</f>
        <v>0.523382935647055</v>
      </c>
      <c r="M84" s="36" t="n">
        <f aca="false">M83-0.1*X83</f>
        <v>0.550793590676125</v>
      </c>
      <c r="N84" s="31" t="n">
        <f aca="false">I84+J84*C84+K84*D84+L84*E84+F84*M84</f>
        <v>3.25328630073085</v>
      </c>
      <c r="O84" s="31" t="n">
        <f aca="false">1/(1+EXP(-N84))</f>
        <v>0.962791021856612</v>
      </c>
      <c r="P84" s="32" t="n">
        <f aca="false">IF(O84&gt;0.5,1,0)</f>
        <v>1</v>
      </c>
      <c r="Q84" s="32" t="n">
        <f aca="false">O84-G84</f>
        <v>-0.0372089781433882</v>
      </c>
      <c r="R84" s="33" t="n">
        <f aca="false">Q84^2</f>
        <v>0.00138450805447514</v>
      </c>
      <c r="S84" s="1" t="n">
        <f aca="false">AVERAGE(R5:R84)</f>
        <v>0.449888655139529</v>
      </c>
      <c r="T84" s="26" t="n">
        <f aca="false">2*(O84-G84)*(1-O84)*O84</f>
        <v>-0.00266598384907366</v>
      </c>
      <c r="U84" s="26" t="n">
        <f aca="false">2*(O84-G84)*(1-O84)*O84*C84</f>
        <v>-0.0146629111699051</v>
      </c>
      <c r="V84" s="26" t="n">
        <f aca="false">2*(O84-G84)*(1-O84)*O84*D84</f>
        <v>-0.00666495962268415</v>
      </c>
      <c r="W84" s="26" t="n">
        <f aca="false">2*(O84-G84)*(1-O84)*O84*E84</f>
        <v>-0.0106639353962946</v>
      </c>
      <c r="X84" s="26" t="n">
        <f aca="false">2*(O84-G84)*(1-O84)*O84*F84</f>
        <v>-0.00346577900379576</v>
      </c>
    </row>
    <row r="85" customFormat="false" ht="14.25" hidden="false" customHeight="true" outlineLevel="0" collapsed="false">
      <c r="A85" s="37" t="s">
        <v>33</v>
      </c>
      <c r="B85" s="34" t="n">
        <v>1</v>
      </c>
      <c r="C85" s="28" t="n">
        <v>5.1</v>
      </c>
      <c r="D85" s="28" t="n">
        <v>3.5</v>
      </c>
      <c r="E85" s="28" t="n">
        <v>1.4</v>
      </c>
      <c r="F85" s="28" t="n">
        <v>0.2</v>
      </c>
      <c r="G85" s="35" t="n">
        <v>0</v>
      </c>
      <c r="H85" s="1" t="n">
        <f aca="false">IF(G85=P85, 1, 0)</f>
        <v>0</v>
      </c>
      <c r="I85" s="34" t="n">
        <f aca="false">I84-0.1*T84</f>
        <v>0.380336121201057</v>
      </c>
      <c r="J85" s="36" t="n">
        <f aca="false">J84-0.1*U84</f>
        <v>-0.0191331249075579</v>
      </c>
      <c r="K85" s="36" t="n">
        <f aca="false">K84-0.1*V84</f>
        <v>0.0714465581952818</v>
      </c>
      <c r="L85" s="36" t="n">
        <f aca="false">L84-0.1*W84</f>
        <v>0.524449329186684</v>
      </c>
      <c r="M85" s="36" t="n">
        <f aca="false">M84-0.1*X84</f>
        <v>0.551140168576505</v>
      </c>
      <c r="N85" s="31" t="n">
        <f aca="false">I85+J85*C85+K85*D85+L85*E85+F85*M85</f>
        <v>1.37727723243266</v>
      </c>
      <c r="O85" s="31" t="n">
        <f aca="false">1/(1+EXP(-N85))</f>
        <v>0.798553355839113</v>
      </c>
      <c r="P85" s="32" t="n">
        <f aca="false">IF(O85&gt;0.5,1,0)</f>
        <v>1</v>
      </c>
      <c r="Q85" s="32" t="n">
        <f aca="false">O85-G85</f>
        <v>0.798553355839113</v>
      </c>
      <c r="R85" s="33" t="n">
        <f aca="false">Q85^2</f>
        <v>0.637687462121908</v>
      </c>
      <c r="T85" s="26" t="n">
        <f aca="false">2*(O85-G85)*(1-O85)*O85</f>
        <v>0.256919998535863</v>
      </c>
      <c r="U85" s="26" t="n">
        <f aca="false">2*(O85-G85)*(1-O85)*O85*C85</f>
        <v>1.3102919925329</v>
      </c>
      <c r="V85" s="26" t="n">
        <f aca="false">2*(O85-G85)*(1-O85)*O85*D85</f>
        <v>0.89921999487552</v>
      </c>
      <c r="W85" s="26" t="n">
        <f aca="false">2*(O85-G85)*(1-O85)*O85*E85</f>
        <v>0.359687997950208</v>
      </c>
      <c r="X85" s="26" t="n">
        <f aca="false">2*(O85-G85)*(1-O85)*O85*F85</f>
        <v>0.0513839997071726</v>
      </c>
    </row>
    <row r="86" customFormat="false" ht="14.25" hidden="false" customHeight="true" outlineLevel="0" collapsed="false">
      <c r="A86" s="37"/>
      <c r="B86" s="34" t="n">
        <v>2</v>
      </c>
      <c r="C86" s="28" t="n">
        <v>4.9</v>
      </c>
      <c r="D86" s="28" t="n">
        <v>3</v>
      </c>
      <c r="E86" s="28" t="n">
        <v>1.4</v>
      </c>
      <c r="F86" s="28" t="n">
        <v>0.2</v>
      </c>
      <c r="G86" s="35" t="n">
        <v>0</v>
      </c>
      <c r="H86" s="1" t="n">
        <f aca="false">IF(G86=P86, 1, 0)</f>
        <v>0</v>
      </c>
      <c r="I86" s="34" t="n">
        <f aca="false">I85-0.1*T85</f>
        <v>0.354644121347471</v>
      </c>
      <c r="J86" s="36" t="n">
        <f aca="false">J85-0.1*U85</f>
        <v>-0.150162324160848</v>
      </c>
      <c r="K86" s="36" t="n">
        <f aca="false">K85-0.1*V85</f>
        <v>-0.0184754412922703</v>
      </c>
      <c r="L86" s="36" t="n">
        <f aca="false">L85-0.1*W85</f>
        <v>0.488480529391663</v>
      </c>
      <c r="M86" s="36" t="n">
        <f aca="false">M85-0.1*X85</f>
        <v>0.546001768605788</v>
      </c>
      <c r="N86" s="31" t="n">
        <f aca="false">I86+J86*C86+K86*D86+L86*E86+F86*M86</f>
        <v>0.356495503951991</v>
      </c>
      <c r="O86" s="31" t="n">
        <f aca="false">1/(1+EXP(-N86))</f>
        <v>0.588191830457039</v>
      </c>
      <c r="P86" s="32" t="n">
        <f aca="false">IF(O86&gt;0.5,1,0)</f>
        <v>1</v>
      </c>
      <c r="Q86" s="32" t="n">
        <f aca="false">O86-G86</f>
        <v>0.588191830457039</v>
      </c>
      <c r="R86" s="33" t="n">
        <f aca="false">Q86^2</f>
        <v>0.345969629416402</v>
      </c>
      <c r="T86" s="26" t="n">
        <f aca="false">2*(O86-G86)*(1-O86)*O86</f>
        <v>0.28494623961485</v>
      </c>
      <c r="U86" s="26" t="n">
        <f aca="false">2*(O86-G86)*(1-O86)*O86*C86</f>
        <v>1.39623657411277</v>
      </c>
      <c r="V86" s="26" t="n">
        <f aca="false">2*(O86-G86)*(1-O86)*O86*D86</f>
        <v>0.854838718844551</v>
      </c>
      <c r="W86" s="26" t="n">
        <f aca="false">2*(O86-G86)*(1-O86)*O86*E86</f>
        <v>0.39892473546079</v>
      </c>
      <c r="X86" s="26" t="n">
        <f aca="false">2*(O86-G86)*(1-O86)*O86*F86</f>
        <v>0.0569892479229701</v>
      </c>
    </row>
    <row r="87" customFormat="false" ht="14.25" hidden="false" customHeight="true" outlineLevel="0" collapsed="false">
      <c r="A87" s="37"/>
      <c r="B87" s="34" t="n">
        <v>3</v>
      </c>
      <c r="C87" s="28" t="n">
        <v>4.7</v>
      </c>
      <c r="D87" s="28" t="n">
        <v>3.2</v>
      </c>
      <c r="E87" s="28" t="n">
        <v>1.3</v>
      </c>
      <c r="F87" s="28" t="n">
        <v>0.2</v>
      </c>
      <c r="G87" s="35" t="n">
        <v>0</v>
      </c>
      <c r="H87" s="1" t="n">
        <f aca="false">IF(G87=P87, 1, 0)</f>
        <v>1</v>
      </c>
      <c r="I87" s="34" t="n">
        <f aca="false">I86-0.1*T86</f>
        <v>0.326149497385986</v>
      </c>
      <c r="J87" s="36" t="n">
        <f aca="false">J86-0.1*U86</f>
        <v>-0.289785981572125</v>
      </c>
      <c r="K87" s="36" t="n">
        <f aca="false">K86-0.1*V86</f>
        <v>-0.103959313176725</v>
      </c>
      <c r="L87" s="36" t="n">
        <f aca="false">L86-0.1*W86</f>
        <v>0.448588055845584</v>
      </c>
      <c r="M87" s="36" t="n">
        <f aca="false">M86-0.1*X86</f>
        <v>0.540302843813491</v>
      </c>
      <c r="N87" s="31" t="n">
        <f aca="false">I87+J87*C87+K87*D87+L87*E87+F87*M87</f>
        <v>-0.677289376806563</v>
      </c>
      <c r="O87" s="31" t="n">
        <f aca="false">1/(1+EXP(-N87))</f>
        <v>0.336866553868031</v>
      </c>
      <c r="P87" s="32" t="n">
        <f aca="false">IF(O87&gt;0.5,1,0)</f>
        <v>0</v>
      </c>
      <c r="Q87" s="32" t="n">
        <f aca="false">O87-G87</f>
        <v>0.336866553868031</v>
      </c>
      <c r="R87" s="33" t="n">
        <f aca="false">Q87^2</f>
        <v>0.113479075114923</v>
      </c>
      <c r="T87" s="26" t="n">
        <f aca="false">2*(O87-G87)*(1-O87)*O87</f>
        <v>0.150503540289655</v>
      </c>
      <c r="U87" s="26" t="n">
        <f aca="false">2*(O87-G87)*(1-O87)*O87*C87</f>
        <v>0.707366639361377</v>
      </c>
      <c r="V87" s="26" t="n">
        <f aca="false">2*(O87-G87)*(1-O87)*O87*D87</f>
        <v>0.481611328926895</v>
      </c>
      <c r="W87" s="26" t="n">
        <f aca="false">2*(O87-G87)*(1-O87)*O87*E87</f>
        <v>0.195654602376551</v>
      </c>
      <c r="X87" s="26" t="n">
        <f aca="false">2*(O87-G87)*(1-O87)*O87*F87</f>
        <v>0.0301007080579309</v>
      </c>
    </row>
    <row r="88" customFormat="false" ht="14.25" hidden="false" customHeight="true" outlineLevel="0" collapsed="false">
      <c r="A88" s="37"/>
      <c r="B88" s="34" t="n">
        <v>4</v>
      </c>
      <c r="C88" s="28" t="n">
        <v>4.6</v>
      </c>
      <c r="D88" s="28" t="n">
        <v>3.1</v>
      </c>
      <c r="E88" s="28" t="n">
        <v>1.5</v>
      </c>
      <c r="F88" s="28" t="n">
        <v>0.2</v>
      </c>
      <c r="G88" s="35" t="n">
        <v>0</v>
      </c>
      <c r="H88" s="1" t="n">
        <f aca="false">IF(G88=P88, 1, 0)</f>
        <v>1</v>
      </c>
      <c r="I88" s="34" t="n">
        <f aca="false">I87-0.1*T87</f>
        <v>0.311099143357021</v>
      </c>
      <c r="J88" s="36" t="n">
        <f aca="false">J87-0.1*U87</f>
        <v>-0.360522645508262</v>
      </c>
      <c r="K88" s="36" t="n">
        <f aca="false">K87-0.1*V87</f>
        <v>-0.152120446069415</v>
      </c>
      <c r="L88" s="36" t="n">
        <f aca="false">L87-0.1*W87</f>
        <v>0.429022595607929</v>
      </c>
      <c r="M88" s="36" t="n">
        <f aca="false">M87-0.1*X87</f>
        <v>0.537292773007698</v>
      </c>
      <c r="N88" s="31" t="n">
        <f aca="false">I88+J88*C88+K88*D88+L88*E88+F88*M88</f>
        <v>-1.06788596078274</v>
      </c>
      <c r="O88" s="31" t="n">
        <f aca="false">1/(1+EXP(-N88))</f>
        <v>0.255805323819134</v>
      </c>
      <c r="P88" s="32" t="n">
        <f aca="false">IF(O88&gt;0.5,1,0)</f>
        <v>0</v>
      </c>
      <c r="Q88" s="32" t="n">
        <f aca="false">O88-G88</f>
        <v>0.255805323819134</v>
      </c>
      <c r="R88" s="33" t="n">
        <f aca="false">Q88^2</f>
        <v>0.0654363636942118</v>
      </c>
      <c r="T88" s="26" t="n">
        <f aca="false">2*(O88-G88)*(1-O88)*O88</f>
        <v>0.0973947869797347</v>
      </c>
      <c r="U88" s="26" t="n">
        <f aca="false">2*(O88-G88)*(1-O88)*O88*C88</f>
        <v>0.44801602010678</v>
      </c>
      <c r="V88" s="26" t="n">
        <f aca="false">2*(O88-G88)*(1-O88)*O88*D88</f>
        <v>0.301923839637178</v>
      </c>
      <c r="W88" s="26" t="n">
        <f aca="false">2*(O88-G88)*(1-O88)*O88*E88</f>
        <v>0.146092180469602</v>
      </c>
      <c r="X88" s="26" t="n">
        <f aca="false">2*(O88-G88)*(1-O88)*O88*F88</f>
        <v>0.0194789573959469</v>
      </c>
    </row>
    <row r="89" customFormat="false" ht="14.25" hidden="false" customHeight="true" outlineLevel="0" collapsed="false">
      <c r="A89" s="37"/>
      <c r="B89" s="34" t="n">
        <v>5</v>
      </c>
      <c r="C89" s="28" t="n">
        <v>5</v>
      </c>
      <c r="D89" s="28" t="n">
        <v>3.6</v>
      </c>
      <c r="E89" s="28" t="n">
        <v>1.4</v>
      </c>
      <c r="F89" s="28" t="n">
        <v>0.2</v>
      </c>
      <c r="G89" s="35" t="n">
        <v>0</v>
      </c>
      <c r="H89" s="1" t="n">
        <f aca="false">IF(G89=P89, 1, 0)</f>
        <v>1</v>
      </c>
      <c r="I89" s="34" t="n">
        <f aca="false">I88-0.1*T88</f>
        <v>0.301359664659047</v>
      </c>
      <c r="J89" s="36" t="n">
        <f aca="false">J88-0.1*U88</f>
        <v>-0.40532424751894</v>
      </c>
      <c r="K89" s="36" t="n">
        <f aca="false">K88-0.1*V88</f>
        <v>-0.182312830033133</v>
      </c>
      <c r="L89" s="36" t="n">
        <f aca="false">L88-0.1*W88</f>
        <v>0.414413377560969</v>
      </c>
      <c r="M89" s="36" t="n">
        <f aca="false">M88-0.1*X88</f>
        <v>0.535344877268103</v>
      </c>
      <c r="N89" s="31" t="n">
        <f aca="false">I89+J89*C89+K89*D89+L89*E89+F89*M89</f>
        <v>-1.69434005701596</v>
      </c>
      <c r="O89" s="31" t="n">
        <f aca="false">1/(1+EXP(-N89))</f>
        <v>0.155205932716281</v>
      </c>
      <c r="P89" s="32" t="n">
        <f aca="false">IF(O89&gt;0.5,1,0)</f>
        <v>0</v>
      </c>
      <c r="Q89" s="32" t="n">
        <f aca="false">O89-G89</f>
        <v>0.155205932716281</v>
      </c>
      <c r="R89" s="33" t="n">
        <f aca="false">Q89^2</f>
        <v>0.0240888815503307</v>
      </c>
      <c r="T89" s="26" t="n">
        <f aca="false">2*(O89-G89)*(1-O89)*O89</f>
        <v>0.0407002884424392</v>
      </c>
      <c r="U89" s="26" t="n">
        <f aca="false">2*(O89-G89)*(1-O89)*O89*C89</f>
        <v>0.203501442212196</v>
      </c>
      <c r="V89" s="26" t="n">
        <f aca="false">2*(O89-G89)*(1-O89)*O89*D89</f>
        <v>0.146521038392781</v>
      </c>
      <c r="W89" s="26" t="n">
        <f aca="false">2*(O89-G89)*(1-O89)*O89*E89</f>
        <v>0.0569804038194149</v>
      </c>
      <c r="X89" s="26" t="n">
        <f aca="false">2*(O89-G89)*(1-O89)*O89*F89</f>
        <v>0.00814005768848785</v>
      </c>
    </row>
    <row r="90" customFormat="false" ht="14.25" hidden="false" customHeight="true" outlineLevel="0" collapsed="false">
      <c r="A90" s="37"/>
      <c r="B90" s="34" t="n">
        <v>6</v>
      </c>
      <c r="C90" s="28" t="n">
        <v>5.4</v>
      </c>
      <c r="D90" s="28" t="n">
        <v>3.9</v>
      </c>
      <c r="E90" s="28" t="n">
        <v>1.7</v>
      </c>
      <c r="F90" s="28" t="n">
        <v>0.4</v>
      </c>
      <c r="G90" s="35" t="n">
        <v>0</v>
      </c>
      <c r="H90" s="1" t="n">
        <f aca="false">IF(G90=P90, 1, 0)</f>
        <v>1</v>
      </c>
      <c r="I90" s="34" t="n">
        <f aca="false">I89-0.1*T89</f>
        <v>0.297289635814803</v>
      </c>
      <c r="J90" s="36" t="n">
        <f aca="false">J89-0.1*U89</f>
        <v>-0.42567439174016</v>
      </c>
      <c r="K90" s="36" t="n">
        <f aca="false">K89-0.1*V89</f>
        <v>-0.196964933872411</v>
      </c>
      <c r="L90" s="36" t="n">
        <f aca="false">L89-0.1*W89</f>
        <v>0.408715337179027</v>
      </c>
      <c r="M90" s="36" t="n">
        <f aca="false">M89-0.1*X89</f>
        <v>0.534530871499254</v>
      </c>
      <c r="N90" s="31" t="n">
        <f aca="false">I90+J90*C90+K90*D90+L90*E90+F90*M90</f>
        <v>-1.86088689988041</v>
      </c>
      <c r="O90" s="31" t="n">
        <f aca="false">1/(1+EXP(-N90))</f>
        <v>0.1345997100395</v>
      </c>
      <c r="P90" s="32" t="n">
        <f aca="false">IF(O90&gt;0.5,1,0)</f>
        <v>0</v>
      </c>
      <c r="Q90" s="32" t="n">
        <f aca="false">O90-G90</f>
        <v>0.1345997100395</v>
      </c>
      <c r="R90" s="33" t="n">
        <f aca="false">Q90^2</f>
        <v>0.0181170819427175</v>
      </c>
      <c r="T90" s="26" t="n">
        <f aca="false">2*(O90-G90)*(1-O90)*O90</f>
        <v>0.0313570559329318</v>
      </c>
      <c r="U90" s="26" t="n">
        <f aca="false">2*(O90-G90)*(1-O90)*O90*C90</f>
        <v>0.169328102037832</v>
      </c>
      <c r="V90" s="26" t="n">
        <f aca="false">2*(O90-G90)*(1-O90)*O90*D90</f>
        <v>0.122292518138434</v>
      </c>
      <c r="W90" s="26" t="n">
        <f aca="false">2*(O90-G90)*(1-O90)*O90*E90</f>
        <v>0.053306995085984</v>
      </c>
      <c r="X90" s="26" t="n">
        <f aca="false">2*(O90-G90)*(1-O90)*O90*F90</f>
        <v>0.0125428223731727</v>
      </c>
    </row>
    <row r="91" customFormat="false" ht="14.25" hidden="false" customHeight="true" outlineLevel="0" collapsed="false">
      <c r="A91" s="37"/>
      <c r="B91" s="34" t="n">
        <v>7</v>
      </c>
      <c r="C91" s="28" t="n">
        <v>4.6</v>
      </c>
      <c r="D91" s="28" t="n">
        <v>3.4</v>
      </c>
      <c r="E91" s="28" t="n">
        <v>1.4</v>
      </c>
      <c r="F91" s="28" t="n">
        <v>0.3</v>
      </c>
      <c r="G91" s="35" t="n">
        <v>0</v>
      </c>
      <c r="H91" s="1" t="n">
        <f aca="false">IF(G91=P91, 1, 0)</f>
        <v>1</v>
      </c>
      <c r="I91" s="34" t="n">
        <f aca="false">I90-0.1*T90</f>
        <v>0.29415393022151</v>
      </c>
      <c r="J91" s="36" t="n">
        <f aca="false">J90-0.1*U90</f>
        <v>-0.442607201943943</v>
      </c>
      <c r="K91" s="36" t="n">
        <f aca="false">K90-0.1*V90</f>
        <v>-0.209194185686254</v>
      </c>
      <c r="L91" s="36" t="n">
        <f aca="false">L90-0.1*W90</f>
        <v>0.403384637670429</v>
      </c>
      <c r="M91" s="36" t="n">
        <f aca="false">M90-0.1*X90</f>
        <v>0.533276589261937</v>
      </c>
      <c r="N91" s="31" t="n">
        <f aca="false">I91+J91*C91+K91*D91+L91*E91+F91*M91</f>
        <v>-1.72837796053671</v>
      </c>
      <c r="O91" s="31" t="n">
        <f aca="false">1/(1+EXP(-N91))</f>
        <v>0.150795173982426</v>
      </c>
      <c r="P91" s="32" t="n">
        <f aca="false">IF(O91&gt;0.5,1,0)</f>
        <v>0</v>
      </c>
      <c r="Q91" s="32" t="n">
        <f aca="false">O91-G91</f>
        <v>0.150795173982426</v>
      </c>
      <c r="R91" s="33" t="n">
        <f aca="false">Q91^2</f>
        <v>0.0227391844963901</v>
      </c>
      <c r="T91" s="26" t="n">
        <f aca="false">2*(O91-G91)*(1-O91)*O91</f>
        <v>0.038620450428077</v>
      </c>
      <c r="U91" s="26" t="n">
        <f aca="false">2*(O91-G91)*(1-O91)*O91*C91</f>
        <v>0.177654071969154</v>
      </c>
      <c r="V91" s="26" t="n">
        <f aca="false">2*(O91-G91)*(1-O91)*O91*D91</f>
        <v>0.131309531455462</v>
      </c>
      <c r="W91" s="26" t="n">
        <f aca="false">2*(O91-G91)*(1-O91)*O91*E91</f>
        <v>0.0540686305993078</v>
      </c>
      <c r="X91" s="26" t="n">
        <f aca="false">2*(O91-G91)*(1-O91)*O91*F91</f>
        <v>0.0115861351284231</v>
      </c>
    </row>
    <row r="92" customFormat="false" ht="14.25" hidden="false" customHeight="true" outlineLevel="0" collapsed="false">
      <c r="A92" s="37"/>
      <c r="B92" s="34" t="n">
        <v>8</v>
      </c>
      <c r="C92" s="28" t="n">
        <v>5</v>
      </c>
      <c r="D92" s="28" t="n">
        <v>3.4</v>
      </c>
      <c r="E92" s="28" t="n">
        <v>1.5</v>
      </c>
      <c r="F92" s="28" t="n">
        <v>0.2</v>
      </c>
      <c r="G92" s="35" t="n">
        <v>0</v>
      </c>
      <c r="H92" s="1" t="n">
        <f aca="false">IF(G92=P92, 1, 0)</f>
        <v>1</v>
      </c>
      <c r="I92" s="34" t="n">
        <f aca="false">I91-0.1*T91</f>
        <v>0.290291885178702</v>
      </c>
      <c r="J92" s="36" t="n">
        <f aca="false">J91-0.1*U91</f>
        <v>-0.460372609140859</v>
      </c>
      <c r="K92" s="36" t="n">
        <f aca="false">K91-0.1*V91</f>
        <v>-0.2223251388318</v>
      </c>
      <c r="L92" s="36" t="n">
        <f aca="false">L91-0.1*W91</f>
        <v>0.397977774610498</v>
      </c>
      <c r="M92" s="36" t="n">
        <f aca="false">M91-0.1*X91</f>
        <v>0.532117975749095</v>
      </c>
      <c r="N92" s="31" t="n">
        <f aca="false">I92+J92*C92+K92*D92+L92*E92+F92*M92</f>
        <v>-2.06408637548815</v>
      </c>
      <c r="O92" s="31" t="n">
        <f aca="false">1/(1+EXP(-N92))</f>
        <v>0.112636751046636</v>
      </c>
      <c r="P92" s="32" t="n">
        <f aca="false">IF(O92&gt;0.5,1,0)</f>
        <v>0</v>
      </c>
      <c r="Q92" s="32" t="n">
        <f aca="false">O92-G92</f>
        <v>0.112636751046636</v>
      </c>
      <c r="R92" s="33" t="n">
        <f aca="false">Q92^2</f>
        <v>0.0126870376863418</v>
      </c>
      <c r="T92" s="26" t="n">
        <f aca="false">2*(O92-G92)*(1-O92)*O92</f>
        <v>0.0225160219618921</v>
      </c>
      <c r="U92" s="26" t="n">
        <f aca="false">2*(O92-G92)*(1-O92)*O92*C92</f>
        <v>0.11258010980946</v>
      </c>
      <c r="V92" s="26" t="n">
        <f aca="false">2*(O92-G92)*(1-O92)*O92*D92</f>
        <v>0.0765544746704331</v>
      </c>
      <c r="W92" s="26" t="n">
        <f aca="false">2*(O92-G92)*(1-O92)*O92*E92</f>
        <v>0.0337740329428381</v>
      </c>
      <c r="X92" s="26" t="n">
        <f aca="false">2*(O92-G92)*(1-O92)*O92*F92</f>
        <v>0.00450320439237842</v>
      </c>
    </row>
    <row r="93" customFormat="false" ht="14.25" hidden="false" customHeight="true" outlineLevel="0" collapsed="false">
      <c r="A93" s="37"/>
      <c r="B93" s="34" t="n">
        <v>9</v>
      </c>
      <c r="C93" s="28" t="n">
        <v>4.4</v>
      </c>
      <c r="D93" s="28" t="n">
        <v>2.9</v>
      </c>
      <c r="E93" s="28" t="n">
        <v>1.4</v>
      </c>
      <c r="F93" s="28" t="n">
        <v>0.2</v>
      </c>
      <c r="G93" s="35" t="n">
        <v>0</v>
      </c>
      <c r="H93" s="1" t="n">
        <f aca="false">IF(G93=P93, 1, 0)</f>
        <v>1</v>
      </c>
      <c r="I93" s="34" t="n">
        <f aca="false">I92-0.1*T92</f>
        <v>0.288040282982513</v>
      </c>
      <c r="J93" s="36" t="n">
        <f aca="false">J92-0.1*U92</f>
        <v>-0.471630620121805</v>
      </c>
      <c r="K93" s="36" t="n">
        <f aca="false">K92-0.1*V92</f>
        <v>-0.229980586298844</v>
      </c>
      <c r="L93" s="36" t="n">
        <f aca="false">L92-0.1*W92</f>
        <v>0.394600371316214</v>
      </c>
      <c r="M93" s="36" t="n">
        <f aca="false">M92-0.1*X92</f>
        <v>0.531667655309857</v>
      </c>
      <c r="N93" s="31" t="n">
        <f aca="false">I93+J93*C93+K93*D93+L93*E93+F93*M93</f>
        <v>-1.7953040949154</v>
      </c>
      <c r="O93" s="31" t="n">
        <f aca="false">1/(1+EXP(-N93))</f>
        <v>0.142423656279587</v>
      </c>
      <c r="P93" s="32" t="n">
        <f aca="false">IF(O93&gt;0.5,1,0)</f>
        <v>0</v>
      </c>
      <c r="Q93" s="32" t="n">
        <f aca="false">O93-G93</f>
        <v>0.142423656279587</v>
      </c>
      <c r="R93" s="33" t="n">
        <f aca="false">Q93^2</f>
        <v>0.0202844978680458</v>
      </c>
      <c r="T93" s="26" t="n">
        <f aca="false">2*(O93-G93)*(1-O93)*O93</f>
        <v>0.0347910110317666</v>
      </c>
      <c r="U93" s="26" t="n">
        <f aca="false">2*(O93-G93)*(1-O93)*O93*C93</f>
        <v>0.153080448539773</v>
      </c>
      <c r="V93" s="26" t="n">
        <f aca="false">2*(O93-G93)*(1-O93)*O93*D93</f>
        <v>0.100893931992123</v>
      </c>
      <c r="W93" s="26" t="n">
        <f aca="false">2*(O93-G93)*(1-O93)*O93*E93</f>
        <v>0.0487074154444732</v>
      </c>
      <c r="X93" s="26" t="n">
        <f aca="false">2*(O93-G93)*(1-O93)*O93*F93</f>
        <v>0.00695820220635331</v>
      </c>
    </row>
    <row r="94" customFormat="false" ht="14.25" hidden="false" customHeight="true" outlineLevel="0" collapsed="false">
      <c r="A94" s="37"/>
      <c r="B94" s="34" t="n">
        <v>10</v>
      </c>
      <c r="C94" s="28" t="n">
        <v>4.9</v>
      </c>
      <c r="D94" s="28" t="n">
        <v>3.1</v>
      </c>
      <c r="E94" s="28" t="n">
        <v>1.5</v>
      </c>
      <c r="F94" s="28" t="n">
        <v>0.1</v>
      </c>
      <c r="G94" s="35" t="n">
        <v>0</v>
      </c>
      <c r="H94" s="1" t="n">
        <f aca="false">IF(G94=P94, 1, 0)</f>
        <v>1</v>
      </c>
      <c r="I94" s="34" t="n">
        <f aca="false">I93-0.1*T93</f>
        <v>0.284561181879336</v>
      </c>
      <c r="J94" s="36" t="n">
        <f aca="false">J93-0.1*U93</f>
        <v>-0.486938664975782</v>
      </c>
      <c r="K94" s="36" t="n">
        <f aca="false">K93-0.1*V93</f>
        <v>-0.240069979498056</v>
      </c>
      <c r="L94" s="36" t="n">
        <f aca="false">L93-0.1*W93</f>
        <v>0.389729629771767</v>
      </c>
      <c r="M94" s="36" t="n">
        <f aca="false">M93-0.1*X93</f>
        <v>0.530971835089221</v>
      </c>
      <c r="N94" s="31" t="n">
        <f aca="false">I94+J94*C94+K94*D94+L94*E94+F94*M94</f>
        <v>-2.2079635847794</v>
      </c>
      <c r="O94" s="31" t="n">
        <f aca="false">1/(1+EXP(-N94))</f>
        <v>0.0990376325275315</v>
      </c>
      <c r="P94" s="32" t="n">
        <f aca="false">IF(O94&gt;0.5,1,0)</f>
        <v>0</v>
      </c>
      <c r="Q94" s="32" t="n">
        <f aca="false">O94-G94</f>
        <v>0.0990376325275315</v>
      </c>
      <c r="R94" s="33" t="n">
        <f aca="false">Q94^2</f>
        <v>0.00980845265665837</v>
      </c>
      <c r="T94" s="26" t="n">
        <f aca="false">2*(O94-G94)*(1-O94)*O94</f>
        <v>0.0176740934535691</v>
      </c>
      <c r="U94" s="26" t="n">
        <f aca="false">2*(O94-G94)*(1-O94)*O94*C94</f>
        <v>0.0866030579224886</v>
      </c>
      <c r="V94" s="26" t="n">
        <f aca="false">2*(O94-G94)*(1-O94)*O94*D94</f>
        <v>0.0547896897060642</v>
      </c>
      <c r="W94" s="26" t="n">
        <f aca="false">2*(O94-G94)*(1-O94)*O94*E94</f>
        <v>0.0265111401803536</v>
      </c>
      <c r="X94" s="26" t="n">
        <f aca="false">2*(O94-G94)*(1-O94)*O94*F94</f>
        <v>0.00176740934535691</v>
      </c>
    </row>
    <row r="95" customFormat="false" ht="14.25" hidden="false" customHeight="true" outlineLevel="0" collapsed="false">
      <c r="A95" s="37"/>
      <c r="B95" s="34" t="n">
        <v>11</v>
      </c>
      <c r="C95" s="28" t="n">
        <v>5.4</v>
      </c>
      <c r="D95" s="28" t="n">
        <v>3.7</v>
      </c>
      <c r="E95" s="28" t="n">
        <v>1.5</v>
      </c>
      <c r="F95" s="28" t="n">
        <v>0.2</v>
      </c>
      <c r="G95" s="35" t="n">
        <v>0</v>
      </c>
      <c r="H95" s="1" t="n">
        <f aca="false">IF(G95=P95, 1, 0)</f>
        <v>1</v>
      </c>
      <c r="I95" s="34" t="n">
        <f aca="false">I94-0.1*T94</f>
        <v>0.28279377253398</v>
      </c>
      <c r="J95" s="36" t="n">
        <f aca="false">J94-0.1*U94</f>
        <v>-0.495598970768031</v>
      </c>
      <c r="K95" s="36" t="n">
        <f aca="false">K94-0.1*V94</f>
        <v>-0.245548948468662</v>
      </c>
      <c r="L95" s="36" t="n">
        <f aca="false">L94-0.1*W94</f>
        <v>0.387078515753732</v>
      </c>
      <c r="M95" s="36" t="n">
        <f aca="false">M94-0.1*X94</f>
        <v>0.530795094154686</v>
      </c>
      <c r="N95" s="31" t="n">
        <f aca="false">I95+J95*C95+K95*D95+L95*E95+F95*M95</f>
        <v>-2.6151949864859</v>
      </c>
      <c r="O95" s="31" t="n">
        <f aca="false">1/(1+EXP(-N95))</f>
        <v>0.0681668761874627</v>
      </c>
      <c r="P95" s="32" t="n">
        <f aca="false">IF(O95&gt;0.5,1,0)</f>
        <v>0</v>
      </c>
      <c r="Q95" s="32" t="n">
        <f aca="false">O95-G95</f>
        <v>0.0681668761874627</v>
      </c>
      <c r="R95" s="33" t="n">
        <f aca="false">Q95^2</f>
        <v>0.00464672300915687</v>
      </c>
      <c r="T95" s="26" t="n">
        <f aca="false">2*(O95-G95)*(1-O95)*O95</f>
        <v>0.00865994083422847</v>
      </c>
      <c r="U95" s="26" t="n">
        <f aca="false">2*(O95-G95)*(1-O95)*O95*C95</f>
        <v>0.0467636805048337</v>
      </c>
      <c r="V95" s="26" t="n">
        <f aca="false">2*(O95-G95)*(1-O95)*O95*D95</f>
        <v>0.0320417810866453</v>
      </c>
      <c r="W95" s="26" t="n">
        <f aca="false">2*(O95-G95)*(1-O95)*O95*E95</f>
        <v>0.0129899112513427</v>
      </c>
      <c r="X95" s="26" t="n">
        <f aca="false">2*(O95-G95)*(1-O95)*O95*F95</f>
        <v>0.00173198816684569</v>
      </c>
    </row>
    <row r="96" customFormat="false" ht="14.25" hidden="false" customHeight="true" outlineLevel="0" collapsed="false">
      <c r="A96" s="37"/>
      <c r="B96" s="34" t="n">
        <v>12</v>
      </c>
      <c r="C96" s="28" t="n">
        <v>4.8</v>
      </c>
      <c r="D96" s="28" t="n">
        <v>3.4</v>
      </c>
      <c r="E96" s="28" t="n">
        <v>1.6</v>
      </c>
      <c r="F96" s="28" t="n">
        <v>0.2</v>
      </c>
      <c r="G96" s="35" t="n">
        <v>0</v>
      </c>
      <c r="H96" s="1" t="n">
        <f aca="false">IF(G96=P96, 1, 0)</f>
        <v>1</v>
      </c>
      <c r="I96" s="34" t="n">
        <f aca="false">I95-0.1*T95</f>
        <v>0.281927778450557</v>
      </c>
      <c r="J96" s="36" t="n">
        <f aca="false">J95-0.1*U95</f>
        <v>-0.500275338818514</v>
      </c>
      <c r="K96" s="36" t="n">
        <f aca="false">K95-0.1*V95</f>
        <v>-0.248753126577327</v>
      </c>
      <c r="L96" s="36" t="n">
        <f aca="false">L95-0.1*W95</f>
        <v>0.385779524628597</v>
      </c>
      <c r="M96" s="36" t="n">
        <f aca="false">M95-0.1*X95</f>
        <v>0.530621895338001</v>
      </c>
      <c r="N96" s="31" t="n">
        <f aca="false">I96+J96*C96+K96*D96+L96*E96+F96*M96</f>
        <v>-2.24178285976787</v>
      </c>
      <c r="O96" s="31" t="n">
        <f aca="false">1/(1+EXP(-N96))</f>
        <v>0.0960606191610619</v>
      </c>
      <c r="P96" s="32" t="n">
        <f aca="false">IF(O96&gt;0.5,1,0)</f>
        <v>0</v>
      </c>
      <c r="Q96" s="32" t="n">
        <f aca="false">O96-G96</f>
        <v>0.0960606191610619</v>
      </c>
      <c r="R96" s="33" t="n">
        <f aca="false">Q96^2</f>
        <v>0.00922764255360658</v>
      </c>
      <c r="T96" s="26" t="n">
        <f aca="false">2*(O96-G96)*(1-O96)*O96</f>
        <v>0.0166824589930203</v>
      </c>
      <c r="U96" s="26" t="n">
        <f aca="false">2*(O96-G96)*(1-O96)*O96*C96</f>
        <v>0.0800758031664976</v>
      </c>
      <c r="V96" s="26" t="n">
        <f aca="false">2*(O96-G96)*(1-O96)*O96*D96</f>
        <v>0.0567203605762691</v>
      </c>
      <c r="W96" s="26" t="n">
        <f aca="false">2*(O96-G96)*(1-O96)*O96*E96</f>
        <v>0.0266919343888325</v>
      </c>
      <c r="X96" s="26" t="n">
        <f aca="false">2*(O96-G96)*(1-O96)*O96*F96</f>
        <v>0.00333649179860407</v>
      </c>
    </row>
    <row r="97" customFormat="false" ht="14.25" hidden="false" customHeight="true" outlineLevel="0" collapsed="false">
      <c r="A97" s="37"/>
      <c r="B97" s="34" t="n">
        <v>13</v>
      </c>
      <c r="C97" s="28" t="n">
        <v>4.8</v>
      </c>
      <c r="D97" s="28" t="n">
        <v>3</v>
      </c>
      <c r="E97" s="28" t="n">
        <v>1.4</v>
      </c>
      <c r="F97" s="28" t="n">
        <v>0.1</v>
      </c>
      <c r="G97" s="35" t="n">
        <v>0</v>
      </c>
      <c r="H97" s="1" t="n">
        <f aca="false">IF(G97=P97, 1, 0)</f>
        <v>1</v>
      </c>
      <c r="I97" s="34" t="n">
        <f aca="false">I96-0.1*T96</f>
        <v>0.280259532551255</v>
      </c>
      <c r="J97" s="36" t="n">
        <f aca="false">J96-0.1*U96</f>
        <v>-0.508282919135164</v>
      </c>
      <c r="K97" s="36" t="n">
        <f aca="false">K96-0.1*V96</f>
        <v>-0.254425162634954</v>
      </c>
      <c r="L97" s="36" t="n">
        <f aca="false">L96-0.1*W96</f>
        <v>0.383110331189714</v>
      </c>
      <c r="M97" s="36" t="n">
        <f aca="false">M96-0.1*X96</f>
        <v>0.530288246158141</v>
      </c>
      <c r="N97" s="31" t="n">
        <f aca="false">I97+J97*C97+K97*D97+L97*E97+F97*M97</f>
        <v>-2.33339067892098</v>
      </c>
      <c r="O97" s="31" t="n">
        <f aca="false">1/(1+EXP(-N97))</f>
        <v>0.0883950561119592</v>
      </c>
      <c r="P97" s="32" t="n">
        <f aca="false">IF(O97&gt;0.5,1,0)</f>
        <v>0</v>
      </c>
      <c r="Q97" s="32" t="n">
        <f aca="false">O97-G97</f>
        <v>0.0883950561119592</v>
      </c>
      <c r="R97" s="33" t="n">
        <f aca="false">Q97^2</f>
        <v>0.00781368594503641</v>
      </c>
      <c r="T97" s="26" t="n">
        <f aca="false">2*(O97-G97)*(1-O97)*O97</f>
        <v>0.0142459894749674</v>
      </c>
      <c r="U97" s="26" t="n">
        <f aca="false">2*(O97-G97)*(1-O97)*O97*C97</f>
        <v>0.0683807494798434</v>
      </c>
      <c r="V97" s="26" t="n">
        <f aca="false">2*(O97-G97)*(1-O97)*O97*D97</f>
        <v>0.0427379684249021</v>
      </c>
      <c r="W97" s="26" t="n">
        <f aca="false">2*(O97-G97)*(1-O97)*O97*E97</f>
        <v>0.0199443852649543</v>
      </c>
      <c r="X97" s="26" t="n">
        <f aca="false">2*(O97-G97)*(1-O97)*O97*F97</f>
        <v>0.00142459894749674</v>
      </c>
    </row>
    <row r="98" customFormat="false" ht="14.25" hidden="false" customHeight="true" outlineLevel="0" collapsed="false">
      <c r="A98" s="37"/>
      <c r="B98" s="34" t="n">
        <v>14</v>
      </c>
      <c r="C98" s="28" t="n">
        <v>4.3</v>
      </c>
      <c r="D98" s="28" t="n">
        <v>3</v>
      </c>
      <c r="E98" s="28" t="n">
        <v>1.1</v>
      </c>
      <c r="F98" s="28" t="n">
        <v>0.1</v>
      </c>
      <c r="G98" s="35" t="n">
        <v>0</v>
      </c>
      <c r="H98" s="1" t="n">
        <f aca="false">IF(G98=P98, 1, 0)</f>
        <v>1</v>
      </c>
      <c r="I98" s="34" t="n">
        <f aca="false">I97-0.1*T97</f>
        <v>0.278834933603758</v>
      </c>
      <c r="J98" s="36" t="n">
        <f aca="false">J97-0.1*U97</f>
        <v>-0.515120994083148</v>
      </c>
      <c r="K98" s="36" t="n">
        <f aca="false">K97-0.1*V97</f>
        <v>-0.258698959477444</v>
      </c>
      <c r="L98" s="36" t="n">
        <f aca="false">L97-0.1*W97</f>
        <v>0.381115892663219</v>
      </c>
      <c r="M98" s="36" t="n">
        <f aca="false">M97-0.1*X97</f>
        <v>0.530145786263391</v>
      </c>
      <c r="N98" s="31" t="n">
        <f aca="false">I98+J98*C98+K98*D98+L98*E98+F98*M98</f>
        <v>-2.24004015883023</v>
      </c>
      <c r="O98" s="31" t="n">
        <f aca="false">1/(1+EXP(-N98))</f>
        <v>0.0962120496312925</v>
      </c>
      <c r="P98" s="32" t="n">
        <f aca="false">IF(O98&gt;0.5,1,0)</f>
        <v>0</v>
      </c>
      <c r="Q98" s="32" t="n">
        <f aca="false">O98-G98</f>
        <v>0.0962120496312925</v>
      </c>
      <c r="R98" s="33" t="n">
        <f aca="false">Q98^2</f>
        <v>0.00925675849425428</v>
      </c>
      <c r="T98" s="26" t="n">
        <f aca="false">2*(O98-G98)*(1-O98)*O98</f>
        <v>0.0167322935731604</v>
      </c>
      <c r="U98" s="26" t="n">
        <f aca="false">2*(O98-G98)*(1-O98)*O98*C98</f>
        <v>0.0719488623645897</v>
      </c>
      <c r="V98" s="26" t="n">
        <f aca="false">2*(O98-G98)*(1-O98)*O98*D98</f>
        <v>0.0501968807194812</v>
      </c>
      <c r="W98" s="26" t="n">
        <f aca="false">2*(O98-G98)*(1-O98)*O98*E98</f>
        <v>0.0184055229304764</v>
      </c>
      <c r="X98" s="26" t="n">
        <f aca="false">2*(O98-G98)*(1-O98)*O98*F98</f>
        <v>0.00167322935731604</v>
      </c>
    </row>
    <row r="99" customFormat="false" ht="14.25" hidden="false" customHeight="true" outlineLevel="0" collapsed="false">
      <c r="A99" s="37"/>
      <c r="B99" s="34" t="n">
        <v>15</v>
      </c>
      <c r="C99" s="28" t="n">
        <v>5.8</v>
      </c>
      <c r="D99" s="28" t="n">
        <v>4</v>
      </c>
      <c r="E99" s="28" t="n">
        <v>1.2</v>
      </c>
      <c r="F99" s="28" t="n">
        <v>0.2</v>
      </c>
      <c r="G99" s="35" t="n">
        <v>0</v>
      </c>
      <c r="H99" s="1" t="n">
        <f aca="false">IF(G99=P99, 1, 0)</f>
        <v>1</v>
      </c>
      <c r="I99" s="34" t="n">
        <f aca="false">I98-0.1*T98</f>
        <v>0.277161704246442</v>
      </c>
      <c r="J99" s="36" t="n">
        <f aca="false">J98-0.1*U98</f>
        <v>-0.522315880319607</v>
      </c>
      <c r="K99" s="36" t="n">
        <f aca="false">K98-0.1*V98</f>
        <v>-0.263718647549392</v>
      </c>
      <c r="L99" s="36" t="n">
        <f aca="false">L98-0.1*W98</f>
        <v>0.379275340370171</v>
      </c>
      <c r="M99" s="36" t="n">
        <f aca="false">M98-0.1*X98</f>
        <v>0.529978463327659</v>
      </c>
      <c r="N99" s="31" t="n">
        <f aca="false">I99+J99*C99+K99*D99+L99*E99+F99*M99</f>
        <v>-3.24601889069511</v>
      </c>
      <c r="O99" s="31" t="n">
        <f aca="false">1/(1+EXP(-N99))</f>
        <v>0.0374702066950291</v>
      </c>
      <c r="P99" s="32" t="n">
        <f aca="false">IF(O99&gt;0.5,1,0)</f>
        <v>0</v>
      </c>
      <c r="Q99" s="32" t="n">
        <f aca="false">O99-G99</f>
        <v>0.0374702066950291</v>
      </c>
      <c r="R99" s="33" t="n">
        <f aca="false">Q99^2</f>
        <v>0.0014040163897682</v>
      </c>
      <c r="T99" s="26" t="n">
        <f aca="false">2*(O99-G99)*(1-O99)*O99</f>
        <v>0.00270281521088076</v>
      </c>
      <c r="U99" s="26" t="n">
        <f aca="false">2*(O99-G99)*(1-O99)*O99*C99</f>
        <v>0.0156763282231084</v>
      </c>
      <c r="V99" s="26" t="n">
        <f aca="false">2*(O99-G99)*(1-O99)*O99*D99</f>
        <v>0.010811260843523</v>
      </c>
      <c r="W99" s="26" t="n">
        <f aca="false">2*(O99-G99)*(1-O99)*O99*E99</f>
        <v>0.00324337825305691</v>
      </c>
      <c r="X99" s="26" t="n">
        <f aca="false">2*(O99-G99)*(1-O99)*O99*F99</f>
        <v>0.000540563042176151</v>
      </c>
    </row>
    <row r="100" customFormat="false" ht="14.25" hidden="false" customHeight="true" outlineLevel="0" collapsed="false">
      <c r="A100" s="37"/>
      <c r="B100" s="34" t="n">
        <v>16</v>
      </c>
      <c r="C100" s="28" t="n">
        <v>5.7</v>
      </c>
      <c r="D100" s="28" t="n">
        <v>4.4</v>
      </c>
      <c r="E100" s="28" t="n">
        <v>1.5</v>
      </c>
      <c r="F100" s="28" t="n">
        <v>0.4</v>
      </c>
      <c r="G100" s="35" t="n">
        <v>0</v>
      </c>
      <c r="H100" s="1" t="n">
        <f aca="false">IF(G100=P100, 1, 0)</f>
        <v>1</v>
      </c>
      <c r="I100" s="34" t="n">
        <f aca="false">I99-0.1*T99</f>
        <v>0.276891422725354</v>
      </c>
      <c r="J100" s="36" t="n">
        <f aca="false">J99-0.1*U99</f>
        <v>-0.523883513141918</v>
      </c>
      <c r="K100" s="36" t="n">
        <f aca="false">K99-0.1*V99</f>
        <v>-0.264799773633744</v>
      </c>
      <c r="L100" s="36" t="n">
        <f aca="false">L99-0.1*W99</f>
        <v>0.378951002544865</v>
      </c>
      <c r="M100" s="36" t="n">
        <f aca="false">M99-0.1*X99</f>
        <v>0.529924407023442</v>
      </c>
      <c r="N100" s="31" t="n">
        <f aca="false">I100+J100*C100+K100*D100+L100*E100+F100*M100</f>
        <v>-3.09396733954538</v>
      </c>
      <c r="O100" s="31" t="n">
        <f aca="false">1/(1+EXP(-N100))</f>
        <v>0.0433567832828119</v>
      </c>
      <c r="P100" s="32" t="n">
        <f aca="false">IF(O100&gt;0.5,1,0)</f>
        <v>0</v>
      </c>
      <c r="Q100" s="32" t="n">
        <f aca="false">O100-G100</f>
        <v>0.0433567832828119</v>
      </c>
      <c r="R100" s="33" t="n">
        <f aca="false">Q100^2</f>
        <v>0.00187981065663272</v>
      </c>
      <c r="T100" s="26" t="n">
        <f aca="false">2*(O100-G100)*(1-O100)*O100</f>
        <v>0.00359661622676074</v>
      </c>
      <c r="U100" s="26" t="n">
        <f aca="false">2*(O100-G100)*(1-O100)*O100*C100</f>
        <v>0.0205007124925362</v>
      </c>
      <c r="V100" s="26" t="n">
        <f aca="false">2*(O100-G100)*(1-O100)*O100*D100</f>
        <v>0.0158251113977473</v>
      </c>
      <c r="W100" s="26" t="n">
        <f aca="false">2*(O100-G100)*(1-O100)*O100*E100</f>
        <v>0.00539492434014111</v>
      </c>
      <c r="X100" s="26" t="n">
        <f aca="false">2*(O100-G100)*(1-O100)*O100*F100</f>
        <v>0.0014386464907043</v>
      </c>
    </row>
    <row r="101" customFormat="false" ht="14.25" hidden="false" customHeight="true" outlineLevel="0" collapsed="false">
      <c r="A101" s="37"/>
      <c r="B101" s="34" t="n">
        <v>17</v>
      </c>
      <c r="C101" s="28" t="n">
        <v>5.4</v>
      </c>
      <c r="D101" s="28" t="n">
        <v>3.9</v>
      </c>
      <c r="E101" s="28" t="n">
        <v>1.3</v>
      </c>
      <c r="F101" s="28" t="n">
        <v>0.4</v>
      </c>
      <c r="G101" s="35" t="n">
        <v>0</v>
      </c>
      <c r="H101" s="1" t="n">
        <f aca="false">IF(G101=P101, 1, 0)</f>
        <v>1</v>
      </c>
      <c r="I101" s="34" t="n">
        <f aca="false">I100-0.1*T100</f>
        <v>0.276531761102678</v>
      </c>
      <c r="J101" s="36" t="n">
        <f aca="false">J100-0.1*U100</f>
        <v>-0.525933584391172</v>
      </c>
      <c r="K101" s="36" t="n">
        <f aca="false">K100-0.1*V100</f>
        <v>-0.266382284773519</v>
      </c>
      <c r="L101" s="36" t="n">
        <f aca="false">L100-0.1*W100</f>
        <v>0.378411510110851</v>
      </c>
      <c r="M101" s="36" t="n">
        <f aca="false">M100-0.1*X100</f>
        <v>0.529780542374371</v>
      </c>
      <c r="N101" s="31" t="n">
        <f aca="false">I101+J101*C101+K101*D101+L101*E101+F101*M101</f>
        <v>-2.89855332513252</v>
      </c>
      <c r="O101" s="31" t="n">
        <f aca="false">1/(1+EXP(-N101))</f>
        <v>0.0522251237310291</v>
      </c>
      <c r="P101" s="32" t="n">
        <f aca="false">IF(O101&gt;0.5,1,0)</f>
        <v>0</v>
      </c>
      <c r="Q101" s="32" t="n">
        <f aca="false">O101-G101</f>
        <v>0.0522251237310291</v>
      </c>
      <c r="R101" s="33" t="n">
        <f aca="false">Q101^2</f>
        <v>0.0027274635487213</v>
      </c>
      <c r="T101" s="26" t="n">
        <f aca="false">2*(O101-G101)*(1-O101)*O101</f>
        <v>0.00517004285483491</v>
      </c>
      <c r="U101" s="26" t="n">
        <f aca="false">2*(O101-G101)*(1-O101)*O101*C101</f>
        <v>0.0279182314161085</v>
      </c>
      <c r="V101" s="26" t="n">
        <f aca="false">2*(O101-G101)*(1-O101)*O101*D101</f>
        <v>0.0201631671338561</v>
      </c>
      <c r="W101" s="26" t="n">
        <f aca="false">2*(O101-G101)*(1-O101)*O101*E101</f>
        <v>0.00672105571128538</v>
      </c>
      <c r="X101" s="26" t="n">
        <f aca="false">2*(O101-G101)*(1-O101)*O101*F101</f>
        <v>0.00206801714193396</v>
      </c>
    </row>
    <row r="102" customFormat="false" ht="14.25" hidden="false" customHeight="true" outlineLevel="0" collapsed="false">
      <c r="A102" s="37"/>
      <c r="B102" s="34" t="n">
        <v>18</v>
      </c>
      <c r="C102" s="28" t="n">
        <v>5.1</v>
      </c>
      <c r="D102" s="28" t="n">
        <v>3.5</v>
      </c>
      <c r="E102" s="28" t="n">
        <v>1.4</v>
      </c>
      <c r="F102" s="28" t="n">
        <v>0.3</v>
      </c>
      <c r="G102" s="35" t="n">
        <v>0</v>
      </c>
      <c r="H102" s="1" t="n">
        <f aca="false">IF(G102=P102, 1, 0)</f>
        <v>1</v>
      </c>
      <c r="I102" s="34" t="n">
        <f aca="false">I101-0.1*T101</f>
        <v>0.276014756817194</v>
      </c>
      <c r="J102" s="36" t="n">
        <f aca="false">J101-0.1*U101</f>
        <v>-0.528725407532782</v>
      </c>
      <c r="K102" s="36" t="n">
        <f aca="false">K101-0.1*V101</f>
        <v>-0.268398601486905</v>
      </c>
      <c r="L102" s="36" t="n">
        <f aca="false">L101-0.1*W101</f>
        <v>0.377739404539723</v>
      </c>
      <c r="M102" s="36" t="n">
        <f aca="false">M101-0.1*X101</f>
        <v>0.529573740660178</v>
      </c>
      <c r="N102" s="31" t="n">
        <f aca="false">I102+J102*C102+K102*D102+L102*E102+F102*M102</f>
        <v>-2.6721726382505</v>
      </c>
      <c r="O102" s="31" t="n">
        <f aca="false">1/(1+EXP(-N102))</f>
        <v>0.0646354914869325</v>
      </c>
      <c r="P102" s="32" t="n">
        <f aca="false">IF(O102&gt;0.5,1,0)</f>
        <v>0</v>
      </c>
      <c r="Q102" s="32" t="n">
        <f aca="false">O102-G102</f>
        <v>0.0646354914869325</v>
      </c>
      <c r="R102" s="33" t="n">
        <f aca="false">Q102^2</f>
        <v>0.00417774675975732</v>
      </c>
      <c r="T102" s="26" t="n">
        <f aca="false">2*(O102-G102)*(1-O102)*O102</f>
        <v>0.00781543208926494</v>
      </c>
      <c r="U102" s="26" t="n">
        <f aca="false">2*(O102-G102)*(1-O102)*O102*C102</f>
        <v>0.0398587036552512</v>
      </c>
      <c r="V102" s="26" t="n">
        <f aca="false">2*(O102-G102)*(1-O102)*O102*D102</f>
        <v>0.0273540123124273</v>
      </c>
      <c r="W102" s="26" t="n">
        <f aca="false">2*(O102-G102)*(1-O102)*O102*E102</f>
        <v>0.0109416049249709</v>
      </c>
      <c r="X102" s="26" t="n">
        <f aca="false">2*(O102-G102)*(1-O102)*O102*F102</f>
        <v>0.00234462962677948</v>
      </c>
    </row>
    <row r="103" customFormat="false" ht="14.25" hidden="false" customHeight="true" outlineLevel="0" collapsed="false">
      <c r="A103" s="37"/>
      <c r="B103" s="34" t="n">
        <v>19</v>
      </c>
      <c r="C103" s="28" t="n">
        <v>5.7</v>
      </c>
      <c r="D103" s="28" t="n">
        <v>3.8</v>
      </c>
      <c r="E103" s="28" t="n">
        <v>1.7</v>
      </c>
      <c r="F103" s="28" t="n">
        <v>0.3</v>
      </c>
      <c r="G103" s="35" t="n">
        <v>0</v>
      </c>
      <c r="H103" s="1" t="n">
        <f aca="false">IF(G103=P103, 1, 0)</f>
        <v>1</v>
      </c>
      <c r="I103" s="34" t="n">
        <f aca="false">I102-0.1*T102</f>
        <v>0.275233213608268</v>
      </c>
      <c r="J103" s="36" t="n">
        <f aca="false">J102-0.1*U102</f>
        <v>-0.532711277898308</v>
      </c>
      <c r="K103" s="36" t="n">
        <f aca="false">K102-0.1*V102</f>
        <v>-0.271134002718147</v>
      </c>
      <c r="L103" s="36" t="n">
        <f aca="false">L102-0.1*W102</f>
        <v>0.376645244047226</v>
      </c>
      <c r="M103" s="36" t="n">
        <f aca="false">M102-0.1*X102</f>
        <v>0.5293392776975</v>
      </c>
      <c r="N103" s="31" t="n">
        <f aca="false">I103+J103*C103+K103*D103+L103*E103+F103*M103</f>
        <v>-2.99243158255151</v>
      </c>
      <c r="O103" s="31" t="n">
        <f aca="false">1/(1+EXP(-N103))</f>
        <v>0.0477689625332828</v>
      </c>
      <c r="P103" s="32" t="n">
        <f aca="false">IF(O103&gt;0.5,1,0)</f>
        <v>0</v>
      </c>
      <c r="Q103" s="32" t="n">
        <f aca="false">O103-G103</f>
        <v>0.0477689625332828</v>
      </c>
      <c r="R103" s="33" t="n">
        <f aca="false">Q103^2</f>
        <v>0.00228187378150617</v>
      </c>
      <c r="T103" s="26" t="n">
        <f aca="false">2*(O103-G103)*(1-O103)*O103</f>
        <v>0.00434574207666345</v>
      </c>
      <c r="U103" s="26" t="n">
        <f aca="false">2*(O103-G103)*(1-O103)*O103*C103</f>
        <v>0.0247707298369817</v>
      </c>
      <c r="V103" s="26" t="n">
        <f aca="false">2*(O103-G103)*(1-O103)*O103*D103</f>
        <v>0.0165138198913211</v>
      </c>
      <c r="W103" s="26" t="n">
        <f aca="false">2*(O103-G103)*(1-O103)*O103*E103</f>
        <v>0.00738776153032786</v>
      </c>
      <c r="X103" s="26" t="n">
        <f aca="false">2*(O103-G103)*(1-O103)*O103*F103</f>
        <v>0.00130372262299903</v>
      </c>
    </row>
    <row r="104" customFormat="false" ht="14.25" hidden="false" customHeight="true" outlineLevel="0" collapsed="false">
      <c r="A104" s="37"/>
      <c r="B104" s="34" t="n">
        <v>20</v>
      </c>
      <c r="C104" s="28" t="n">
        <v>5.1</v>
      </c>
      <c r="D104" s="28" t="n">
        <v>3.8</v>
      </c>
      <c r="E104" s="28" t="n">
        <v>1.5</v>
      </c>
      <c r="F104" s="28" t="n">
        <v>0.3</v>
      </c>
      <c r="G104" s="35" t="n">
        <v>0</v>
      </c>
      <c r="H104" s="1" t="n">
        <f aca="false">IF(G104=P104, 1, 0)</f>
        <v>1</v>
      </c>
      <c r="I104" s="34" t="n">
        <f aca="false">I103-0.1*T103</f>
        <v>0.274798639400601</v>
      </c>
      <c r="J104" s="36" t="n">
        <f aca="false">J103-0.1*U103</f>
        <v>-0.535188350882006</v>
      </c>
      <c r="K104" s="36" t="n">
        <f aca="false">K103-0.1*V103</f>
        <v>-0.27278538470728</v>
      </c>
      <c r="L104" s="36" t="n">
        <f aca="false">L103-0.1*W103</f>
        <v>0.375906467894193</v>
      </c>
      <c r="M104" s="36" t="n">
        <f aca="false">M103-0.1*X103</f>
        <v>0.5292089054352</v>
      </c>
      <c r="N104" s="31" t="n">
        <f aca="false">I104+J104*C104+K104*D104+L104*E104+F104*M104</f>
        <v>-2.76862403851344</v>
      </c>
      <c r="O104" s="31" t="n">
        <f aca="false">1/(1+EXP(-N104))</f>
        <v>0.0590434117865131</v>
      </c>
      <c r="P104" s="32" t="n">
        <f aca="false">IF(O104&gt;0.5,1,0)</f>
        <v>0</v>
      </c>
      <c r="Q104" s="32" t="n">
        <f aca="false">O104-G104</f>
        <v>0.0590434117865131</v>
      </c>
      <c r="R104" s="33" t="n">
        <f aca="false">Q104^2</f>
        <v>0.00348612447539176</v>
      </c>
      <c r="T104" s="26" t="n">
        <f aca="false">2*(O104-G104)*(1-O104)*O104</f>
        <v>0.00656058358490432</v>
      </c>
      <c r="U104" s="26" t="n">
        <f aca="false">2*(O104-G104)*(1-O104)*O104*C104</f>
        <v>0.033458976283012</v>
      </c>
      <c r="V104" s="26" t="n">
        <f aca="false">2*(O104-G104)*(1-O104)*O104*D104</f>
        <v>0.0249302176226364</v>
      </c>
      <c r="W104" s="26" t="n">
        <f aca="false">2*(O104-G104)*(1-O104)*O104*E104</f>
        <v>0.00984087537735648</v>
      </c>
      <c r="X104" s="26" t="n">
        <f aca="false">2*(O104-G104)*(1-O104)*O104*F104</f>
        <v>0.0019681750754713</v>
      </c>
    </row>
    <row r="105" customFormat="false" ht="14.25" hidden="false" customHeight="true" outlineLevel="0" collapsed="false">
      <c r="A105" s="37"/>
      <c r="B105" s="34" t="n">
        <v>21</v>
      </c>
      <c r="C105" s="28" t="n">
        <v>5.4</v>
      </c>
      <c r="D105" s="28" t="n">
        <v>3.4</v>
      </c>
      <c r="E105" s="28" t="n">
        <v>1.7</v>
      </c>
      <c r="F105" s="28" t="n">
        <v>0.2</v>
      </c>
      <c r="G105" s="35" t="n">
        <v>0</v>
      </c>
      <c r="H105" s="1" t="n">
        <f aca="false">IF(G105=P105, 1, 0)</f>
        <v>1</v>
      </c>
      <c r="I105" s="34" t="n">
        <f aca="false">I104-0.1*T104</f>
        <v>0.274142581042111</v>
      </c>
      <c r="J105" s="36" t="n">
        <f aca="false">J104-0.1*U104</f>
        <v>-0.538534248510307</v>
      </c>
      <c r="K105" s="36" t="n">
        <f aca="false">K104-0.1*V104</f>
        <v>-0.275278406469543</v>
      </c>
      <c r="L105" s="36" t="n">
        <f aca="false">L104-0.1*W104</f>
        <v>0.374922380356457</v>
      </c>
      <c r="M105" s="36" t="n">
        <f aca="false">M104-0.1*X104</f>
        <v>0.529012087927653</v>
      </c>
      <c r="N105" s="31" t="n">
        <f aca="false">I105+J105*C105+K105*D105+L105*E105+F105*M105</f>
        <v>-2.82671847871849</v>
      </c>
      <c r="O105" s="31" t="n">
        <f aca="false">1/(1+EXP(-N105))</f>
        <v>0.0558973208676618</v>
      </c>
      <c r="P105" s="32" t="n">
        <f aca="false">IF(O105&gt;0.5,1,0)</f>
        <v>0</v>
      </c>
      <c r="Q105" s="32" t="n">
        <f aca="false">O105-G105</f>
        <v>0.0558973208676618</v>
      </c>
      <c r="R105" s="33" t="n">
        <f aca="false">Q105^2</f>
        <v>0.00312451048018234</v>
      </c>
      <c r="T105" s="26" t="n">
        <f aca="false">2*(O105-G105)*(1-O105)*O105</f>
        <v>0.00589971743063444</v>
      </c>
      <c r="U105" s="26" t="n">
        <f aca="false">2*(O105-G105)*(1-O105)*O105*C105</f>
        <v>0.031858474125426</v>
      </c>
      <c r="V105" s="26" t="n">
        <f aca="false">2*(O105-G105)*(1-O105)*O105*D105</f>
        <v>0.0200590392641571</v>
      </c>
      <c r="W105" s="26" t="n">
        <f aca="false">2*(O105-G105)*(1-O105)*O105*E105</f>
        <v>0.0100295196320785</v>
      </c>
      <c r="X105" s="26" t="n">
        <f aca="false">2*(O105-G105)*(1-O105)*O105*F105</f>
        <v>0.00117994348612689</v>
      </c>
    </row>
    <row r="106" customFormat="false" ht="14.25" hidden="false" customHeight="true" outlineLevel="0" collapsed="false">
      <c r="A106" s="37"/>
      <c r="B106" s="34" t="n">
        <v>22</v>
      </c>
      <c r="C106" s="28" t="n">
        <v>5.1</v>
      </c>
      <c r="D106" s="28" t="n">
        <v>3.7</v>
      </c>
      <c r="E106" s="28" t="n">
        <v>1.5</v>
      </c>
      <c r="F106" s="28" t="n">
        <v>0.4</v>
      </c>
      <c r="G106" s="35" t="n">
        <v>0</v>
      </c>
      <c r="H106" s="1" t="n">
        <f aca="false">IF(G106=P106, 1, 0)</f>
        <v>1</v>
      </c>
      <c r="I106" s="34" t="n">
        <f aca="false">I105-0.1*T105</f>
        <v>0.273552609299047</v>
      </c>
      <c r="J106" s="36" t="n">
        <f aca="false">J105-0.1*U105</f>
        <v>-0.541720095922849</v>
      </c>
      <c r="K106" s="36" t="n">
        <f aca="false">K105-0.1*V105</f>
        <v>-0.277284310395959</v>
      </c>
      <c r="L106" s="36" t="n">
        <f aca="false">L105-0.1*W105</f>
        <v>0.373919428393249</v>
      </c>
      <c r="M106" s="36" t="n">
        <f aca="false">M105-0.1*X105</f>
        <v>0.52889409357904</v>
      </c>
      <c r="N106" s="31" t="n">
        <f aca="false">I106+J106*C106+K106*D106+L106*E106+F106*M106</f>
        <v>-2.74273504835104</v>
      </c>
      <c r="O106" s="31" t="n">
        <f aca="false">1/(1+EXP(-N106))</f>
        <v>0.0604982610377007</v>
      </c>
      <c r="P106" s="32" t="n">
        <f aca="false">IF(O106&gt;0.5,1,0)</f>
        <v>0</v>
      </c>
      <c r="Q106" s="32" t="n">
        <f aca="false">O106-G106</f>
        <v>0.0604982610377007</v>
      </c>
      <c r="R106" s="33" t="n">
        <f aca="false">Q106^2</f>
        <v>0.00366003958858578</v>
      </c>
      <c r="T106" s="26" t="n">
        <f aca="false">2*(O106-G106)*(1-O106)*O106</f>
        <v>0.00687722711629439</v>
      </c>
      <c r="U106" s="26" t="n">
        <f aca="false">2*(O106-G106)*(1-O106)*O106*C106</f>
        <v>0.0350738582931014</v>
      </c>
      <c r="V106" s="26" t="n">
        <f aca="false">2*(O106-G106)*(1-O106)*O106*D106</f>
        <v>0.0254457403302893</v>
      </c>
      <c r="W106" s="26" t="n">
        <f aca="false">2*(O106-G106)*(1-O106)*O106*E106</f>
        <v>0.0103158406744416</v>
      </c>
      <c r="X106" s="26" t="n">
        <f aca="false">2*(O106-G106)*(1-O106)*O106*F106</f>
        <v>0.00275089084651776</v>
      </c>
    </row>
    <row r="107" customFormat="false" ht="14.25" hidden="false" customHeight="true" outlineLevel="0" collapsed="false">
      <c r="A107" s="37"/>
      <c r="B107" s="34" t="n">
        <v>23</v>
      </c>
      <c r="C107" s="28" t="n">
        <v>4.6</v>
      </c>
      <c r="D107" s="28" t="n">
        <v>3.6</v>
      </c>
      <c r="E107" s="28" t="n">
        <v>1</v>
      </c>
      <c r="F107" s="28" t="n">
        <v>0.2</v>
      </c>
      <c r="G107" s="35" t="n">
        <v>0</v>
      </c>
      <c r="H107" s="1" t="n">
        <f aca="false">IF(G107=P107, 1, 0)</f>
        <v>1</v>
      </c>
      <c r="I107" s="34" t="n">
        <f aca="false">I106-0.1*T106</f>
        <v>0.272864886587418</v>
      </c>
      <c r="J107" s="36" t="n">
        <f aca="false">J106-0.1*U106</f>
        <v>-0.54522748175216</v>
      </c>
      <c r="K107" s="36" t="n">
        <f aca="false">K106-0.1*V106</f>
        <v>-0.279828884428988</v>
      </c>
      <c r="L107" s="36" t="n">
        <f aca="false">L106-0.1*W106</f>
        <v>0.372887844325805</v>
      </c>
      <c r="M107" s="36" t="n">
        <f aca="false">M106-0.1*X106</f>
        <v>0.528619004494388</v>
      </c>
      <c r="N107" s="31" t="n">
        <f aca="false">I107+J107*C107+K107*D107+L107*E107+F107*M107</f>
        <v>-2.76395386819219</v>
      </c>
      <c r="O107" s="31" t="n">
        <f aca="false">1/(1+EXP(-N107))</f>
        <v>0.0593034087310121</v>
      </c>
      <c r="P107" s="32" t="n">
        <f aca="false">IF(O107&gt;0.5,1,0)</f>
        <v>0</v>
      </c>
      <c r="Q107" s="32" t="n">
        <f aca="false">O107-G107</f>
        <v>0.0593034087310121</v>
      </c>
      <c r="R107" s="33" t="n">
        <f aca="false">Q107^2</f>
        <v>0.00351689428711748</v>
      </c>
      <c r="T107" s="26" t="n">
        <f aca="false">2*(O107-G107)*(1-O107)*O107</f>
        <v>0.00661666093548958</v>
      </c>
      <c r="U107" s="26" t="n">
        <f aca="false">2*(O107-G107)*(1-O107)*O107*C107</f>
        <v>0.0304366403032521</v>
      </c>
      <c r="V107" s="26" t="n">
        <f aca="false">2*(O107-G107)*(1-O107)*O107*D107</f>
        <v>0.0238199793677625</v>
      </c>
      <c r="W107" s="26" t="n">
        <f aca="false">2*(O107-G107)*(1-O107)*O107*E107</f>
        <v>0.00661666093548958</v>
      </c>
      <c r="X107" s="26" t="n">
        <f aca="false">2*(O107-G107)*(1-O107)*O107*F107</f>
        <v>0.00132333218709792</v>
      </c>
    </row>
    <row r="108" customFormat="false" ht="14.25" hidden="false" customHeight="true" outlineLevel="0" collapsed="false">
      <c r="A108" s="37"/>
      <c r="B108" s="34" t="n">
        <v>24</v>
      </c>
      <c r="C108" s="28" t="n">
        <v>5.1</v>
      </c>
      <c r="D108" s="28" t="n">
        <v>3.3</v>
      </c>
      <c r="E108" s="28" t="n">
        <v>1.7</v>
      </c>
      <c r="F108" s="28" t="n">
        <v>0.5</v>
      </c>
      <c r="G108" s="35" t="n">
        <v>0</v>
      </c>
      <c r="H108" s="1" t="n">
        <f aca="false">IF(G108=P108, 1, 0)</f>
        <v>1</v>
      </c>
      <c r="I108" s="34" t="n">
        <f aca="false">I107-0.1*T107</f>
        <v>0.272203220493869</v>
      </c>
      <c r="J108" s="36" t="n">
        <f aca="false">J107-0.1*U107</f>
        <v>-0.548271145782485</v>
      </c>
      <c r="K108" s="36" t="n">
        <f aca="false">K107-0.1*V107</f>
        <v>-0.282210882365764</v>
      </c>
      <c r="L108" s="36" t="n">
        <f aca="false">L107-0.1*W107</f>
        <v>0.372226178232256</v>
      </c>
      <c r="M108" s="36" t="n">
        <f aca="false">M107-0.1*X107</f>
        <v>0.528486671275679</v>
      </c>
      <c r="N108" s="31" t="n">
        <f aca="false">I108+J108*C108+K108*D108+L108*E108+F108*M108</f>
        <v>-2.55824769617115</v>
      </c>
      <c r="O108" s="31" t="n">
        <f aca="false">1/(1+EXP(-N108))</f>
        <v>0.0718743480359711</v>
      </c>
      <c r="P108" s="32" t="n">
        <f aca="false">IF(O108&gt;0.5,1,0)</f>
        <v>0</v>
      </c>
      <c r="Q108" s="32" t="n">
        <f aca="false">O108-G108</f>
        <v>0.0718743480359711</v>
      </c>
      <c r="R108" s="33" t="n">
        <f aca="false">Q108^2</f>
        <v>0.00516592190559591</v>
      </c>
      <c r="T108" s="26" t="n">
        <f aca="false">2*(O108-G108)*(1-O108)*O108</f>
        <v>0.00958924927325292</v>
      </c>
      <c r="U108" s="26" t="n">
        <f aca="false">2*(O108-G108)*(1-O108)*O108*C108</f>
        <v>0.0489051712935899</v>
      </c>
      <c r="V108" s="26" t="n">
        <f aca="false">2*(O108-G108)*(1-O108)*O108*D108</f>
        <v>0.0316445226017346</v>
      </c>
      <c r="W108" s="26" t="n">
        <f aca="false">2*(O108-G108)*(1-O108)*O108*E108</f>
        <v>0.01630172376453</v>
      </c>
      <c r="X108" s="26" t="n">
        <f aca="false">2*(O108-G108)*(1-O108)*O108*F108</f>
        <v>0.00479462463662646</v>
      </c>
    </row>
    <row r="109" customFormat="false" ht="14.25" hidden="false" customHeight="true" outlineLevel="0" collapsed="false">
      <c r="A109" s="37"/>
      <c r="B109" s="34" t="n">
        <v>25</v>
      </c>
      <c r="C109" s="28" t="n">
        <v>4.8</v>
      </c>
      <c r="D109" s="28" t="n">
        <v>3.4</v>
      </c>
      <c r="E109" s="28" t="n">
        <v>1.9</v>
      </c>
      <c r="F109" s="28" t="n">
        <v>0.2</v>
      </c>
      <c r="G109" s="35" t="n">
        <v>0</v>
      </c>
      <c r="H109" s="1" t="n">
        <f aca="false">IF(G109=P109, 1, 0)</f>
        <v>1</v>
      </c>
      <c r="I109" s="34" t="n">
        <f aca="false">I108-0.1*T108</f>
        <v>0.271244295566544</v>
      </c>
      <c r="J109" s="36" t="n">
        <f aca="false">J108-0.1*U108</f>
        <v>-0.553161662911844</v>
      </c>
      <c r="K109" s="36" t="n">
        <f aca="false">K108-0.1*V108</f>
        <v>-0.285375334625938</v>
      </c>
      <c r="L109" s="36" t="n">
        <f aca="false">L108-0.1*W108</f>
        <v>0.370596005855803</v>
      </c>
      <c r="M109" s="36" t="n">
        <f aca="false">M108-0.1*X108</f>
        <v>0.528007208812016</v>
      </c>
      <c r="N109" s="31" t="n">
        <f aca="false">I109+J109*C109+K109*D109+L109*E109+F109*M109</f>
        <v>-2.54447397125006</v>
      </c>
      <c r="O109" s="31" t="n">
        <f aca="false">1/(1+EXP(-N109))</f>
        <v>0.0727986071851428</v>
      </c>
      <c r="P109" s="32" t="n">
        <f aca="false">IF(O109&gt;0.5,1,0)</f>
        <v>0</v>
      </c>
      <c r="Q109" s="32" t="n">
        <f aca="false">O109-G109</f>
        <v>0.0727986071851428</v>
      </c>
      <c r="R109" s="33" t="n">
        <f aca="false">Q109^2</f>
        <v>0.00529963720809672</v>
      </c>
      <c r="T109" s="26" t="n">
        <f aca="false">2*(O109-G109)*(1-O109)*O109</f>
        <v>0.00982766200152145</v>
      </c>
      <c r="U109" s="26" t="n">
        <f aca="false">2*(O109-G109)*(1-O109)*O109*C109</f>
        <v>0.0471727776073029</v>
      </c>
      <c r="V109" s="26" t="n">
        <f aca="false">2*(O109-G109)*(1-O109)*O109*D109</f>
        <v>0.0334140508051729</v>
      </c>
      <c r="W109" s="26" t="n">
        <f aca="false">2*(O109-G109)*(1-O109)*O109*E109</f>
        <v>0.0186725578028908</v>
      </c>
      <c r="X109" s="26" t="n">
        <f aca="false">2*(O109-G109)*(1-O109)*O109*F109</f>
        <v>0.00196553240030429</v>
      </c>
    </row>
    <row r="110" customFormat="false" ht="14.25" hidden="false" customHeight="true" outlineLevel="0" collapsed="false">
      <c r="A110" s="37"/>
      <c r="B110" s="34" t="n">
        <v>26</v>
      </c>
      <c r="C110" s="28" t="n">
        <v>5</v>
      </c>
      <c r="D110" s="28" t="n">
        <v>3</v>
      </c>
      <c r="E110" s="28" t="n">
        <v>1.6</v>
      </c>
      <c r="F110" s="28" t="n">
        <v>0.2</v>
      </c>
      <c r="G110" s="35" t="n">
        <v>0</v>
      </c>
      <c r="H110" s="1" t="n">
        <f aca="false">IF(G110=P110, 1, 0)</f>
        <v>1</v>
      </c>
      <c r="I110" s="34" t="n">
        <f aca="false">I109-0.1*T109</f>
        <v>0.270261529366392</v>
      </c>
      <c r="J110" s="36" t="n">
        <f aca="false">J109-0.1*U109</f>
        <v>-0.557878940672574</v>
      </c>
      <c r="K110" s="36" t="n">
        <f aca="false">K109-0.1*V109</f>
        <v>-0.288716739706455</v>
      </c>
      <c r="L110" s="36" t="n">
        <f aca="false">L109-0.1*W109</f>
        <v>0.368728750075514</v>
      </c>
      <c r="M110" s="36" t="n">
        <f aca="false">M109-0.1*X109</f>
        <v>0.527810655571986</v>
      </c>
      <c r="N110" s="31" t="n">
        <f aca="false">I110+J110*C110+K110*D110+L110*E110+F110*M110</f>
        <v>-2.68975526188062</v>
      </c>
      <c r="O110" s="31" t="n">
        <f aca="false">1/(1+EXP(-N110))</f>
        <v>0.0635805880206706</v>
      </c>
      <c r="P110" s="32" t="n">
        <f aca="false">IF(O110&gt;0.5,1,0)</f>
        <v>0</v>
      </c>
      <c r="Q110" s="32" t="n">
        <f aca="false">O110-G110</f>
        <v>0.0635805880206706</v>
      </c>
      <c r="R110" s="33" t="n">
        <f aca="false">Q110^2</f>
        <v>0.00404249117305424</v>
      </c>
      <c r="T110" s="26" t="n">
        <f aca="false">2*(O110-G110)*(1-O110)*O110</f>
        <v>0.00757093441440616</v>
      </c>
      <c r="U110" s="26" t="n">
        <f aca="false">2*(O110-G110)*(1-O110)*O110*C110</f>
        <v>0.0378546720720308</v>
      </c>
      <c r="V110" s="26" t="n">
        <f aca="false">2*(O110-G110)*(1-O110)*O110*D110</f>
        <v>0.0227128032432185</v>
      </c>
      <c r="W110" s="26" t="n">
        <f aca="false">2*(O110-G110)*(1-O110)*O110*E110</f>
        <v>0.0121134950630499</v>
      </c>
      <c r="X110" s="26" t="n">
        <f aca="false">2*(O110-G110)*(1-O110)*O110*F110</f>
        <v>0.00151418688288123</v>
      </c>
    </row>
    <row r="111" customFormat="false" ht="14.25" hidden="false" customHeight="true" outlineLevel="0" collapsed="false">
      <c r="A111" s="37"/>
      <c r="B111" s="34" t="n">
        <v>27</v>
      </c>
      <c r="C111" s="28" t="n">
        <v>5</v>
      </c>
      <c r="D111" s="28" t="n">
        <v>3.4</v>
      </c>
      <c r="E111" s="28" t="n">
        <v>1.6</v>
      </c>
      <c r="F111" s="28" t="n">
        <v>0.4</v>
      </c>
      <c r="G111" s="35" t="n">
        <v>0</v>
      </c>
      <c r="H111" s="1" t="n">
        <f aca="false">IF(G111=P111, 1, 0)</f>
        <v>1</v>
      </c>
      <c r="I111" s="34" t="n">
        <f aca="false">I110-0.1*T110</f>
        <v>0.269504435924951</v>
      </c>
      <c r="J111" s="36" t="n">
        <f aca="false">J110-0.1*U110</f>
        <v>-0.561664407879777</v>
      </c>
      <c r="K111" s="36" t="n">
        <f aca="false">K110-0.1*V110</f>
        <v>-0.290988020030777</v>
      </c>
      <c r="L111" s="36" t="n">
        <f aca="false">L110-0.1*W110</f>
        <v>0.367517400569209</v>
      </c>
      <c r="M111" s="36" t="n">
        <f aca="false">M110-0.1*X110</f>
        <v>0.527659236883697</v>
      </c>
      <c r="N111" s="31" t="n">
        <f aca="false">I111+J111*C111+K111*D111+L111*E111+F111*M111</f>
        <v>-2.72908533591436</v>
      </c>
      <c r="O111" s="31" t="n">
        <f aca="false">1/(1+EXP(-N111))</f>
        <v>0.0612787565468154</v>
      </c>
      <c r="P111" s="32" t="n">
        <f aca="false">IF(O111&gt;0.5,1,0)</f>
        <v>0</v>
      </c>
      <c r="Q111" s="32" t="n">
        <f aca="false">O111-G111</f>
        <v>0.0612787565468154</v>
      </c>
      <c r="R111" s="33" t="n">
        <f aca="false">Q111^2</f>
        <v>0.00375508600392387</v>
      </c>
      <c r="T111" s="26" t="n">
        <f aca="false">2*(O111-G111)*(1-O111)*O111</f>
        <v>0.00704995800575413</v>
      </c>
      <c r="U111" s="26" t="n">
        <f aca="false">2*(O111-G111)*(1-O111)*O111*C111</f>
        <v>0.0352497900287707</v>
      </c>
      <c r="V111" s="26" t="n">
        <f aca="false">2*(O111-G111)*(1-O111)*O111*D111</f>
        <v>0.0239698572195641</v>
      </c>
      <c r="W111" s="26" t="n">
        <f aca="false">2*(O111-G111)*(1-O111)*O111*E111</f>
        <v>0.0112799328092066</v>
      </c>
      <c r="X111" s="26" t="n">
        <f aca="false">2*(O111-G111)*(1-O111)*O111*F111</f>
        <v>0.00281998320230165</v>
      </c>
    </row>
    <row r="112" customFormat="false" ht="14.25" hidden="false" customHeight="true" outlineLevel="0" collapsed="false">
      <c r="A112" s="37"/>
      <c r="B112" s="34" t="n">
        <v>28</v>
      </c>
      <c r="C112" s="28" t="n">
        <v>5.2</v>
      </c>
      <c r="D112" s="28" t="n">
        <v>3.5</v>
      </c>
      <c r="E112" s="28" t="n">
        <v>1.5</v>
      </c>
      <c r="F112" s="28" t="n">
        <v>0.2</v>
      </c>
      <c r="G112" s="35" t="n">
        <v>0</v>
      </c>
      <c r="H112" s="1" t="n">
        <f aca="false">IF(G112=P112, 1, 0)</f>
        <v>1</v>
      </c>
      <c r="I112" s="34" t="n">
        <f aca="false">I111-0.1*T111</f>
        <v>0.268799440124376</v>
      </c>
      <c r="J112" s="36" t="n">
        <f aca="false">J111-0.1*U111</f>
        <v>-0.565189386882654</v>
      </c>
      <c r="K112" s="36" t="n">
        <f aca="false">K111-0.1*V111</f>
        <v>-0.293385005752733</v>
      </c>
      <c r="L112" s="36" t="n">
        <f aca="false">L111-0.1*W111</f>
        <v>0.366389407288289</v>
      </c>
      <c r="M112" s="36" t="n">
        <f aca="false">M111-0.1*X111</f>
        <v>0.527377238563467</v>
      </c>
      <c r="N112" s="31" t="n">
        <f aca="false">I112+J112*C112+K112*D112+L112*E112+F112*M112</f>
        <v>-3.04197333315487</v>
      </c>
      <c r="O112" s="31" t="n">
        <f aca="false">1/(1+EXP(-N112))</f>
        <v>0.0455652753400244</v>
      </c>
      <c r="P112" s="32" t="n">
        <f aca="false">IF(O112&gt;0.5,1,0)</f>
        <v>0</v>
      </c>
      <c r="Q112" s="32" t="n">
        <f aca="false">O112-G112</f>
        <v>0.0455652753400244</v>
      </c>
      <c r="R112" s="33" t="n">
        <f aca="false">Q112^2</f>
        <v>0.00207619431681223</v>
      </c>
      <c r="T112" s="26" t="n">
        <f aca="false">2*(O112-G112)*(1-O112)*O112</f>
        <v>0.00396318390221458</v>
      </c>
      <c r="U112" s="26" t="n">
        <f aca="false">2*(O112-G112)*(1-O112)*O112*C112</f>
        <v>0.0206085562915158</v>
      </c>
      <c r="V112" s="26" t="n">
        <f aca="false">2*(O112-G112)*(1-O112)*O112*D112</f>
        <v>0.013871143657751</v>
      </c>
      <c r="W112" s="26" t="n">
        <f aca="false">2*(O112-G112)*(1-O112)*O112*E112</f>
        <v>0.00594477585332187</v>
      </c>
      <c r="X112" s="26" t="n">
        <f aca="false">2*(O112-G112)*(1-O112)*O112*F112</f>
        <v>0.000792636780442916</v>
      </c>
    </row>
    <row r="113" customFormat="false" ht="14.25" hidden="false" customHeight="true" outlineLevel="0" collapsed="false">
      <c r="A113" s="37"/>
      <c r="B113" s="34" t="n">
        <v>29</v>
      </c>
      <c r="C113" s="28" t="n">
        <v>5.2</v>
      </c>
      <c r="D113" s="28" t="n">
        <v>3.4</v>
      </c>
      <c r="E113" s="28" t="n">
        <v>1.4</v>
      </c>
      <c r="F113" s="28" t="n">
        <v>0.2</v>
      </c>
      <c r="G113" s="35" t="n">
        <v>0</v>
      </c>
      <c r="H113" s="1" t="n">
        <f aca="false">IF(G113=P113, 1, 0)</f>
        <v>1</v>
      </c>
      <c r="I113" s="34" t="n">
        <f aca="false">I112-0.1*T112</f>
        <v>0.268403121734154</v>
      </c>
      <c r="J113" s="36" t="n">
        <f aca="false">J112-0.1*U112</f>
        <v>-0.567250242511806</v>
      </c>
      <c r="K113" s="36" t="n">
        <f aca="false">K112-0.1*V112</f>
        <v>-0.294772120118508</v>
      </c>
      <c r="L113" s="36" t="n">
        <f aca="false">L112-0.1*W112</f>
        <v>0.365794929702956</v>
      </c>
      <c r="M113" s="36" t="n">
        <f aca="false">M112-0.1*X112</f>
        <v>0.527297974885423</v>
      </c>
      <c r="N113" s="31" t="n">
        <f aca="false">I113+J113*C113+K113*D113+L113*E113+F113*M113</f>
        <v>-3.06595085116894</v>
      </c>
      <c r="O113" s="31" t="n">
        <f aca="false">1/(1+EXP(-N113))</f>
        <v>0.0445338036727331</v>
      </c>
      <c r="P113" s="32" t="n">
        <f aca="false">IF(O113&gt;0.5,1,0)</f>
        <v>0</v>
      </c>
      <c r="Q113" s="32" t="n">
        <f aca="false">O113-G113</f>
        <v>0.0445338036727331</v>
      </c>
      <c r="R113" s="33" t="n">
        <f aca="false">Q113^2</f>
        <v>0.00198325966956154</v>
      </c>
      <c r="T113" s="26" t="n">
        <f aca="false">2*(O113-G113)*(1-O113)*O113</f>
        <v>0.00378987514561047</v>
      </c>
      <c r="U113" s="26" t="n">
        <f aca="false">2*(O113-G113)*(1-O113)*O113*C113</f>
        <v>0.0197073507571744</v>
      </c>
      <c r="V113" s="26" t="n">
        <f aca="false">2*(O113-G113)*(1-O113)*O113*D113</f>
        <v>0.0128855754950756</v>
      </c>
      <c r="W113" s="26" t="n">
        <f aca="false">2*(O113-G113)*(1-O113)*O113*E113</f>
        <v>0.00530582520385465</v>
      </c>
      <c r="X113" s="26" t="n">
        <f aca="false">2*(O113-G113)*(1-O113)*O113*F113</f>
        <v>0.000757975029122093</v>
      </c>
    </row>
    <row r="114" customFormat="false" ht="14.25" hidden="false" customHeight="true" outlineLevel="0" collapsed="false">
      <c r="A114" s="37"/>
      <c r="B114" s="34" t="n">
        <v>30</v>
      </c>
      <c r="C114" s="28" t="n">
        <v>4.7</v>
      </c>
      <c r="D114" s="28" t="n">
        <v>3.2</v>
      </c>
      <c r="E114" s="28" t="n">
        <v>1.6</v>
      </c>
      <c r="F114" s="28" t="n">
        <v>0.2</v>
      </c>
      <c r="G114" s="35" t="n">
        <v>0</v>
      </c>
      <c r="H114" s="1" t="n">
        <f aca="false">IF(G114=P114, 1, 0)</f>
        <v>1</v>
      </c>
      <c r="I114" s="34" t="n">
        <f aca="false">I113-0.1*T113</f>
        <v>0.268024134219593</v>
      </c>
      <c r="J114" s="36" t="n">
        <f aca="false">J113-0.1*U113</f>
        <v>-0.569220977587523</v>
      </c>
      <c r="K114" s="36" t="n">
        <f aca="false">K113-0.1*V113</f>
        <v>-0.296060677668016</v>
      </c>
      <c r="L114" s="36" t="n">
        <f aca="false">L113-0.1*W113</f>
        <v>0.365264347182571</v>
      </c>
      <c r="M114" s="36" t="n">
        <f aca="false">M113-0.1*X113</f>
        <v>0.527222177382511</v>
      </c>
      <c r="N114" s="31" t="n">
        <f aca="false">I114+J114*C114+K114*D114+L114*E114+F114*M114</f>
        <v>-2.6648412380108</v>
      </c>
      <c r="O114" s="31" t="n">
        <f aca="false">1/(1+EXP(-N114))</f>
        <v>0.0650801486902976</v>
      </c>
      <c r="P114" s="32" t="n">
        <f aca="false">IF(O114&gt;0.5,1,0)</f>
        <v>0</v>
      </c>
      <c r="Q114" s="32" t="n">
        <f aca="false">O114-G114</f>
        <v>0.0650801486902976</v>
      </c>
      <c r="R114" s="33" t="n">
        <f aca="false">Q114^2</f>
        <v>0.00423542575355124</v>
      </c>
      <c r="T114" s="26" t="n">
        <f aca="false">2*(O114-G114)*(1-O114)*O114</f>
        <v>0.00791956723148682</v>
      </c>
      <c r="U114" s="26" t="n">
        <f aca="false">2*(O114-G114)*(1-O114)*O114*C114</f>
        <v>0.0372219659879881</v>
      </c>
      <c r="V114" s="26" t="n">
        <f aca="false">2*(O114-G114)*(1-O114)*O114*D114</f>
        <v>0.0253426151407578</v>
      </c>
      <c r="W114" s="26" t="n">
        <f aca="false">2*(O114-G114)*(1-O114)*O114*E114</f>
        <v>0.0126713075703789</v>
      </c>
      <c r="X114" s="26" t="n">
        <f aca="false">2*(O114-G114)*(1-O114)*O114*F114</f>
        <v>0.00158391344629736</v>
      </c>
    </row>
    <row r="115" customFormat="false" ht="14.25" hidden="false" customHeight="true" outlineLevel="0" collapsed="false">
      <c r="A115" s="37"/>
      <c r="B115" s="34" t="n">
        <v>31</v>
      </c>
      <c r="C115" s="28" t="n">
        <v>4.8</v>
      </c>
      <c r="D115" s="28" t="n">
        <v>3.1</v>
      </c>
      <c r="E115" s="28" t="n">
        <v>1.6</v>
      </c>
      <c r="F115" s="28" t="n">
        <v>0.2</v>
      </c>
      <c r="G115" s="35" t="n">
        <v>0</v>
      </c>
      <c r="H115" s="1" t="n">
        <f aca="false">IF(G115=P115, 1, 0)</f>
        <v>1</v>
      </c>
      <c r="I115" s="34" t="n">
        <f aca="false">I114-0.1*T114</f>
        <v>0.267232177496444</v>
      </c>
      <c r="J115" s="36" t="n">
        <f aca="false">J114-0.1*U114</f>
        <v>-0.572943174186322</v>
      </c>
      <c r="K115" s="36" t="n">
        <f aca="false">K114-0.1*V114</f>
        <v>-0.298594939182091</v>
      </c>
      <c r="L115" s="36" t="n">
        <f aca="false">L114-0.1*W114</f>
        <v>0.363997216425533</v>
      </c>
      <c r="M115" s="36" t="n">
        <f aca="false">M114-0.1*X114</f>
        <v>0.527063786037881</v>
      </c>
      <c r="N115" s="31" t="n">
        <f aca="false">I115+J115*C115+K115*D115+L115*E115+F115*M115</f>
        <v>-2.72073106657396</v>
      </c>
      <c r="O115" s="31" t="n">
        <f aca="false">1/(1+EXP(-N115))</f>
        <v>0.0617610898243856</v>
      </c>
      <c r="P115" s="32" t="n">
        <f aca="false">IF(O115&gt;0.5,1,0)</f>
        <v>0</v>
      </c>
      <c r="Q115" s="32" t="n">
        <f aca="false">O115-G115</f>
        <v>0.0617610898243856</v>
      </c>
      <c r="R115" s="33" t="n">
        <f aca="false">Q115^2</f>
        <v>0.00381443221629582</v>
      </c>
      <c r="T115" s="26" t="n">
        <f aca="false">2*(O115-G115)*(1-O115)*O115</f>
        <v>0.00715769745111229</v>
      </c>
      <c r="U115" s="26" t="n">
        <f aca="false">2*(O115-G115)*(1-O115)*O115*C115</f>
        <v>0.034356947765339</v>
      </c>
      <c r="V115" s="26" t="n">
        <f aca="false">2*(O115-G115)*(1-O115)*O115*D115</f>
        <v>0.0221888620984481</v>
      </c>
      <c r="W115" s="26" t="n">
        <f aca="false">2*(O115-G115)*(1-O115)*O115*E115</f>
        <v>0.0114523159217797</v>
      </c>
      <c r="X115" s="26" t="n">
        <f aca="false">2*(O115-G115)*(1-O115)*O115*F115</f>
        <v>0.00143153949022246</v>
      </c>
    </row>
    <row r="116" customFormat="false" ht="14.25" hidden="false" customHeight="true" outlineLevel="0" collapsed="false">
      <c r="A116" s="37"/>
      <c r="B116" s="34" t="n">
        <v>32</v>
      </c>
      <c r="C116" s="28" t="n">
        <v>5.4</v>
      </c>
      <c r="D116" s="28" t="n">
        <v>3.4</v>
      </c>
      <c r="E116" s="28" t="n">
        <v>1.5</v>
      </c>
      <c r="F116" s="28" t="n">
        <v>0.4</v>
      </c>
      <c r="G116" s="35" t="n">
        <v>0</v>
      </c>
      <c r="H116" s="1" t="n">
        <f aca="false">IF(G116=P116, 1, 0)</f>
        <v>1</v>
      </c>
      <c r="I116" s="34" t="n">
        <f aca="false">I115-0.1*T115</f>
        <v>0.266516407751333</v>
      </c>
      <c r="J116" s="36" t="n">
        <f aca="false">J115-0.1*U115</f>
        <v>-0.576378868962856</v>
      </c>
      <c r="K116" s="36" t="n">
        <f aca="false">K115-0.1*V115</f>
        <v>-0.300813825391936</v>
      </c>
      <c r="L116" s="36" t="n">
        <f aca="false">L115-0.1*W115</f>
        <v>0.362851984833355</v>
      </c>
      <c r="M116" s="36" t="n">
        <f aca="false">M115-0.1*X115</f>
        <v>0.526920632088859</v>
      </c>
      <c r="N116" s="31" t="n">
        <f aca="false">I116+J116*C116+K116*D116+L116*E116+F116*M116</f>
        <v>-3.1136502608951</v>
      </c>
      <c r="O116" s="31" t="n">
        <f aca="false">1/(1+EXP(-N116))</f>
        <v>0.0425476935709087</v>
      </c>
      <c r="P116" s="32" t="n">
        <f aca="false">IF(O116&gt;0.5,1,0)</f>
        <v>0</v>
      </c>
      <c r="Q116" s="32" t="n">
        <f aca="false">O116-G116</f>
        <v>0.0425476935709087</v>
      </c>
      <c r="R116" s="33" t="n">
        <f aca="false">Q116^2</f>
        <v>0.00181030622820395</v>
      </c>
      <c r="T116" s="26" t="n">
        <f aca="false">2*(O116-G116)*(1-O116)*O116</f>
        <v>0.00346656374707364</v>
      </c>
      <c r="U116" s="26" t="n">
        <f aca="false">2*(O116-G116)*(1-O116)*O116*C116</f>
        <v>0.0187194442341976</v>
      </c>
      <c r="V116" s="26" t="n">
        <f aca="false">2*(O116-G116)*(1-O116)*O116*D116</f>
        <v>0.0117863167400504</v>
      </c>
      <c r="W116" s="26" t="n">
        <f aca="false">2*(O116-G116)*(1-O116)*O116*E116</f>
        <v>0.00519984562061045</v>
      </c>
      <c r="X116" s="26" t="n">
        <f aca="false">2*(O116-G116)*(1-O116)*O116*F116</f>
        <v>0.00138662549882945</v>
      </c>
    </row>
    <row r="117" customFormat="false" ht="14.25" hidden="false" customHeight="true" outlineLevel="0" collapsed="false">
      <c r="A117" s="37"/>
      <c r="B117" s="34" t="n">
        <v>33</v>
      </c>
      <c r="C117" s="28" t="n">
        <v>5.2</v>
      </c>
      <c r="D117" s="28" t="n">
        <v>4.1</v>
      </c>
      <c r="E117" s="28" t="n">
        <v>1.5</v>
      </c>
      <c r="F117" s="28" t="n">
        <v>0.1</v>
      </c>
      <c r="G117" s="35" t="n">
        <v>0</v>
      </c>
      <c r="H117" s="1" t="n">
        <f aca="false">IF(G117=P117, 1, 0)</f>
        <v>1</v>
      </c>
      <c r="I117" s="34" t="n">
        <f aca="false">I116-0.1*T116</f>
        <v>0.266169751376626</v>
      </c>
      <c r="J117" s="36" t="n">
        <f aca="false">J116-0.1*U116</f>
        <v>-0.578250813386276</v>
      </c>
      <c r="K117" s="36" t="n">
        <f aca="false">K116-0.1*V116</f>
        <v>-0.301992457065941</v>
      </c>
      <c r="L117" s="36" t="n">
        <f aca="false">L116-0.1*W116</f>
        <v>0.362332000271294</v>
      </c>
      <c r="M117" s="36" t="n">
        <f aca="false">M116-0.1*X116</f>
        <v>0.526781969538976</v>
      </c>
      <c r="N117" s="31" t="n">
        <f aca="false">I117+J117*C117+K117*D117+L117*E117+F117*M117</f>
        <v>-3.38272735484153</v>
      </c>
      <c r="O117" s="31" t="n">
        <f aca="false">1/(1+EXP(-N117))</f>
        <v>0.0328396602335303</v>
      </c>
      <c r="P117" s="32" t="n">
        <f aca="false">IF(O117&gt;0.5,1,0)</f>
        <v>0</v>
      </c>
      <c r="Q117" s="32" t="n">
        <f aca="false">O117-G117</f>
        <v>0.0328396602335303</v>
      </c>
      <c r="R117" s="33" t="n">
        <f aca="false">Q117^2</f>
        <v>0.00107844328425371</v>
      </c>
      <c r="T117" s="26" t="n">
        <f aca="false">2*(O117-G117)*(1-O117)*O117</f>
        <v>0.00208605514643537</v>
      </c>
      <c r="U117" s="26" t="n">
        <f aca="false">2*(O117-G117)*(1-O117)*O117*C117</f>
        <v>0.0108474867614639</v>
      </c>
      <c r="V117" s="26" t="n">
        <f aca="false">2*(O117-G117)*(1-O117)*O117*D117</f>
        <v>0.00855282610038504</v>
      </c>
      <c r="W117" s="26" t="n">
        <f aca="false">2*(O117-G117)*(1-O117)*O117*E117</f>
        <v>0.00312908271965306</v>
      </c>
      <c r="X117" s="26" t="n">
        <f aca="false">2*(O117-G117)*(1-O117)*O117*F117</f>
        <v>0.000208605514643537</v>
      </c>
    </row>
    <row r="118" customFormat="false" ht="14.25" hidden="false" customHeight="true" outlineLevel="0" collapsed="false">
      <c r="A118" s="37"/>
      <c r="B118" s="34" t="n">
        <v>34</v>
      </c>
      <c r="C118" s="28" t="n">
        <v>5.5</v>
      </c>
      <c r="D118" s="28" t="n">
        <v>4.2</v>
      </c>
      <c r="E118" s="28" t="n">
        <v>1.4</v>
      </c>
      <c r="F118" s="28" t="n">
        <v>0.2</v>
      </c>
      <c r="G118" s="35" t="n">
        <v>0</v>
      </c>
      <c r="H118" s="1" t="n">
        <f aca="false">IF(G118=P118, 1, 0)</f>
        <v>1</v>
      </c>
      <c r="I118" s="34" t="n">
        <f aca="false">I117-0.1*T117</f>
        <v>0.265961145861982</v>
      </c>
      <c r="J118" s="36" t="n">
        <f aca="false">J117-0.1*U117</f>
        <v>-0.579335562062422</v>
      </c>
      <c r="K118" s="36" t="n">
        <f aca="false">K117-0.1*V117</f>
        <v>-0.30284773967598</v>
      </c>
      <c r="L118" s="36" t="n">
        <f aca="false">L117-0.1*W117</f>
        <v>0.362019091999329</v>
      </c>
      <c r="M118" s="36" t="n">
        <f aca="false">M117-0.1*X117</f>
        <v>0.526761108987512</v>
      </c>
      <c r="N118" s="31" t="n">
        <f aca="false">I118+J118*C118+K118*D118+L118*E118+F118*M118</f>
        <v>-3.58016600152389</v>
      </c>
      <c r="O118" s="31" t="n">
        <f aca="false">1/(1+EXP(-N118))</f>
        <v>0.0271153377218192</v>
      </c>
      <c r="P118" s="32" t="n">
        <f aca="false">IF(O118&gt;0.5,1,0)</f>
        <v>0</v>
      </c>
      <c r="Q118" s="32" t="n">
        <f aca="false">O118-G118</f>
        <v>0.0271153377218192</v>
      </c>
      <c r="R118" s="33" t="n">
        <f aca="false">Q118^2</f>
        <v>0.000735241539768309</v>
      </c>
      <c r="T118" s="26" t="n">
        <f aca="false">2*(O118-G118)*(1-O118)*O118</f>
        <v>0.00143061043422076</v>
      </c>
      <c r="U118" s="26" t="n">
        <f aca="false">2*(O118-G118)*(1-O118)*O118*C118</f>
        <v>0.00786835738821419</v>
      </c>
      <c r="V118" s="26" t="n">
        <f aca="false">2*(O118-G118)*(1-O118)*O118*D118</f>
        <v>0.0060085638237272</v>
      </c>
      <c r="W118" s="26" t="n">
        <f aca="false">2*(O118-G118)*(1-O118)*O118*E118</f>
        <v>0.00200285460790907</v>
      </c>
      <c r="X118" s="26" t="n">
        <f aca="false">2*(O118-G118)*(1-O118)*O118*F118</f>
        <v>0.000286122086844152</v>
      </c>
    </row>
    <row r="119" customFormat="false" ht="14.25" hidden="false" customHeight="true" outlineLevel="0" collapsed="false">
      <c r="A119" s="37"/>
      <c r="B119" s="34" t="n">
        <v>35</v>
      </c>
      <c r="C119" s="28" t="n">
        <v>4.9</v>
      </c>
      <c r="D119" s="28" t="n">
        <v>3.1</v>
      </c>
      <c r="E119" s="28" t="n">
        <v>1.5</v>
      </c>
      <c r="F119" s="28" t="n">
        <v>0.1</v>
      </c>
      <c r="G119" s="35" t="n">
        <v>0</v>
      </c>
      <c r="H119" s="1" t="n">
        <f aca="false">IF(G119=P119, 1, 0)</f>
        <v>1</v>
      </c>
      <c r="I119" s="34" t="n">
        <f aca="false">I118-0.1*T118</f>
        <v>0.26581808481856</v>
      </c>
      <c r="J119" s="36" t="n">
        <f aca="false">J118-0.1*U118</f>
        <v>-0.580122397801243</v>
      </c>
      <c r="K119" s="36" t="n">
        <f aca="false">K118-0.1*V118</f>
        <v>-0.303448596058353</v>
      </c>
      <c r="L119" s="36" t="n">
        <f aca="false">L118-0.1*W118</f>
        <v>0.361818806538538</v>
      </c>
      <c r="M119" s="36" t="n">
        <f aca="false">M118-0.1*X118</f>
        <v>0.526732496778827</v>
      </c>
      <c r="N119" s="31" t="n">
        <f aca="false">I119+J119*C119+K119*D119+L119*E119+F119*M119</f>
        <v>-2.92207085270274</v>
      </c>
      <c r="O119" s="31" t="n">
        <f aca="false">1/(1+EXP(-N119))</f>
        <v>0.0510732441666632</v>
      </c>
      <c r="P119" s="32" t="n">
        <f aca="false">IF(O119&gt;0.5,1,0)</f>
        <v>0</v>
      </c>
      <c r="Q119" s="32" t="n">
        <f aca="false">O119-G119</f>
        <v>0.0510732441666632</v>
      </c>
      <c r="R119" s="33" t="n">
        <f aca="false">Q119^2</f>
        <v>0.00260847626970759</v>
      </c>
      <c r="T119" s="26" t="n">
        <f aca="false">2*(O119-G119)*(1-O119)*O119</f>
        <v>0.00495050584856374</v>
      </c>
      <c r="U119" s="26" t="n">
        <f aca="false">2*(O119-G119)*(1-O119)*O119*C119</f>
        <v>0.0242574786579623</v>
      </c>
      <c r="V119" s="26" t="n">
        <f aca="false">2*(O119-G119)*(1-O119)*O119*D119</f>
        <v>0.0153465681305476</v>
      </c>
      <c r="W119" s="26" t="n">
        <f aca="false">2*(O119-G119)*(1-O119)*O119*E119</f>
        <v>0.00742575877284562</v>
      </c>
      <c r="X119" s="26" t="n">
        <f aca="false">2*(O119-G119)*(1-O119)*O119*F119</f>
        <v>0.000495050584856374</v>
      </c>
    </row>
    <row r="120" customFormat="false" ht="14.25" hidden="false" customHeight="true" outlineLevel="0" collapsed="false">
      <c r="A120" s="37"/>
      <c r="B120" s="34" t="n">
        <v>36</v>
      </c>
      <c r="C120" s="28" t="n">
        <v>5</v>
      </c>
      <c r="D120" s="28" t="n">
        <v>3.2</v>
      </c>
      <c r="E120" s="28" t="n">
        <v>1.2</v>
      </c>
      <c r="F120" s="28" t="n">
        <v>0.2</v>
      </c>
      <c r="G120" s="35" t="n">
        <v>0</v>
      </c>
      <c r="H120" s="1" t="n">
        <f aca="false">IF(G120=P120, 1, 0)</f>
        <v>1</v>
      </c>
      <c r="I120" s="34" t="n">
        <f aca="false">I119-0.1*T119</f>
        <v>0.265323034233704</v>
      </c>
      <c r="J120" s="36" t="n">
        <f aca="false">J119-0.1*U119</f>
        <v>-0.58254814566704</v>
      </c>
      <c r="K120" s="36" t="n">
        <f aca="false">K119-0.1*V119</f>
        <v>-0.304983252871407</v>
      </c>
      <c r="L120" s="36" t="n">
        <f aca="false">L119-0.1*W119</f>
        <v>0.361076230661253</v>
      </c>
      <c r="M120" s="36" t="n">
        <f aca="false">M119-0.1*X119</f>
        <v>0.526682991720342</v>
      </c>
      <c r="N120" s="31" t="n">
        <f aca="false">I120+J120*C120+K120*D120+L120*E120+F120*M120</f>
        <v>-3.08473602815243</v>
      </c>
      <c r="O120" s="31" t="n">
        <f aca="false">1/(1+EXP(-N120))</f>
        <v>0.0437412882505203</v>
      </c>
      <c r="P120" s="32" t="n">
        <f aca="false">IF(O120&gt;0.5,1,0)</f>
        <v>0</v>
      </c>
      <c r="Q120" s="32" t="n">
        <f aca="false">O120-G120</f>
        <v>0.0437412882505203</v>
      </c>
      <c r="R120" s="33" t="n">
        <f aca="false">Q120^2</f>
        <v>0.0019133002978151</v>
      </c>
      <c r="T120" s="26" t="n">
        <f aca="false">2*(O120-G120)*(1-O120)*O120</f>
        <v>0.00365922015595713</v>
      </c>
      <c r="U120" s="26" t="n">
        <f aca="false">2*(O120-G120)*(1-O120)*O120*C120</f>
        <v>0.0182961007797857</v>
      </c>
      <c r="V120" s="26" t="n">
        <f aca="false">2*(O120-G120)*(1-O120)*O120*D120</f>
        <v>0.0117095044990628</v>
      </c>
      <c r="W120" s="26" t="n">
        <f aca="false">2*(O120-G120)*(1-O120)*O120*E120</f>
        <v>0.00439106418714856</v>
      </c>
      <c r="X120" s="26" t="n">
        <f aca="false">2*(O120-G120)*(1-O120)*O120*F120</f>
        <v>0.000731844031191427</v>
      </c>
    </row>
    <row r="121" customFormat="false" ht="14.25" hidden="false" customHeight="true" outlineLevel="0" collapsed="false">
      <c r="A121" s="37"/>
      <c r="B121" s="34" t="n">
        <v>37</v>
      </c>
      <c r="C121" s="28" t="n">
        <v>5.5</v>
      </c>
      <c r="D121" s="28" t="n">
        <v>3.5</v>
      </c>
      <c r="E121" s="28" t="n">
        <v>1.3</v>
      </c>
      <c r="F121" s="28" t="n">
        <v>0.2</v>
      </c>
      <c r="G121" s="35" t="n">
        <v>0</v>
      </c>
      <c r="H121" s="1" t="n">
        <f aca="false">IF(G121=P121, 1, 0)</f>
        <v>1</v>
      </c>
      <c r="I121" s="34" t="n">
        <f aca="false">I120-0.1*T120</f>
        <v>0.264957112218108</v>
      </c>
      <c r="J121" s="36" t="n">
        <f aca="false">J120-0.1*U120</f>
        <v>-0.584377755745018</v>
      </c>
      <c r="K121" s="36" t="n">
        <f aca="false">K120-0.1*V120</f>
        <v>-0.306154203321314</v>
      </c>
      <c r="L121" s="36" t="n">
        <f aca="false">L120-0.1*W120</f>
        <v>0.360637124242538</v>
      </c>
      <c r="M121" s="36" t="n">
        <f aca="false">M120-0.1*X120</f>
        <v>0.526609807317222</v>
      </c>
      <c r="N121" s="31" t="n">
        <f aca="false">I121+J121*C121+K121*D121+L121*E121+F121*M121</f>
        <v>-3.44651003302535</v>
      </c>
      <c r="O121" s="31" t="n">
        <f aca="false">1/(1+EXP(-N121))</f>
        <v>0.0308731082414586</v>
      </c>
      <c r="P121" s="32" t="n">
        <f aca="false">IF(O121&gt;0.5,1,0)</f>
        <v>0</v>
      </c>
      <c r="Q121" s="32" t="n">
        <f aca="false">O121-G121</f>
        <v>0.0308731082414586</v>
      </c>
      <c r="R121" s="33" t="n">
        <f aca="false">Q121^2</f>
        <v>0.00095314881248882</v>
      </c>
      <c r="T121" s="26" t="n">
        <f aca="false">2*(O121-G121)*(1-O121)*O121</f>
        <v>0.00184744429206127</v>
      </c>
      <c r="U121" s="26" t="n">
        <f aca="false">2*(O121-G121)*(1-O121)*O121*C121</f>
        <v>0.010160943606337</v>
      </c>
      <c r="V121" s="26" t="n">
        <f aca="false">2*(O121-G121)*(1-O121)*O121*D121</f>
        <v>0.00646605502221445</v>
      </c>
      <c r="W121" s="26" t="n">
        <f aca="false">2*(O121-G121)*(1-O121)*O121*E121</f>
        <v>0.00240167757967965</v>
      </c>
      <c r="X121" s="26" t="n">
        <f aca="false">2*(O121-G121)*(1-O121)*O121*F121</f>
        <v>0.000369488858412254</v>
      </c>
    </row>
    <row r="122" customFormat="false" ht="14.25" hidden="false" customHeight="true" outlineLevel="0" collapsed="false">
      <c r="A122" s="37"/>
      <c r="B122" s="34" t="n">
        <v>38</v>
      </c>
      <c r="C122" s="28" t="n">
        <v>4.9</v>
      </c>
      <c r="D122" s="28" t="n">
        <v>3.1</v>
      </c>
      <c r="E122" s="28" t="n">
        <v>1.5</v>
      </c>
      <c r="F122" s="28" t="n">
        <v>0.1</v>
      </c>
      <c r="G122" s="35" t="n">
        <v>0</v>
      </c>
      <c r="H122" s="1" t="n">
        <f aca="false">IF(G122=P122, 1, 0)</f>
        <v>1</v>
      </c>
      <c r="I122" s="34" t="n">
        <f aca="false">I121-0.1*T121</f>
        <v>0.264772367788902</v>
      </c>
      <c r="J122" s="36" t="n">
        <f aca="false">J121-0.1*U121</f>
        <v>-0.585393850105652</v>
      </c>
      <c r="K122" s="36" t="n">
        <f aca="false">K121-0.1*V121</f>
        <v>-0.306800808823535</v>
      </c>
      <c r="L122" s="36" t="n">
        <f aca="false">L121-0.1*W121</f>
        <v>0.36039695648457</v>
      </c>
      <c r="M122" s="36" t="n">
        <f aca="false">M121-0.1*X121</f>
        <v>0.526572858431381</v>
      </c>
      <c r="N122" s="31" t="n">
        <f aca="false">I122+J122*C122+K122*D122+L122*E122+F122*M122</f>
        <v>-2.96148728451176</v>
      </c>
      <c r="O122" s="31" t="n">
        <f aca="false">1/(1+EXP(-N122))</f>
        <v>0.0491963900443085</v>
      </c>
      <c r="P122" s="32" t="n">
        <f aca="false">IF(O122&gt;0.5,1,0)</f>
        <v>0</v>
      </c>
      <c r="Q122" s="32" t="n">
        <f aca="false">O122-G122</f>
        <v>0.0491963900443085</v>
      </c>
      <c r="R122" s="33" t="n">
        <f aca="false">Q122^2</f>
        <v>0.00242028479339173</v>
      </c>
      <c r="T122" s="26" t="n">
        <f aca="false">2*(O122-G122)*(1-O122)*O122</f>
        <v>0.00460243103735545</v>
      </c>
      <c r="U122" s="26" t="n">
        <f aca="false">2*(O122-G122)*(1-O122)*O122*C122</f>
        <v>0.0225519120830417</v>
      </c>
      <c r="V122" s="26" t="n">
        <f aca="false">2*(O122-G122)*(1-O122)*O122*D122</f>
        <v>0.0142675362158019</v>
      </c>
      <c r="W122" s="26" t="n">
        <f aca="false">2*(O122-G122)*(1-O122)*O122*E122</f>
        <v>0.00690364655603318</v>
      </c>
      <c r="X122" s="26" t="n">
        <f aca="false">2*(O122-G122)*(1-O122)*O122*F122</f>
        <v>0.000460243103735545</v>
      </c>
    </row>
    <row r="123" customFormat="false" ht="14.25" hidden="false" customHeight="true" outlineLevel="0" collapsed="false">
      <c r="A123" s="37"/>
      <c r="B123" s="34" t="n">
        <v>39</v>
      </c>
      <c r="C123" s="28" t="n">
        <v>4.4</v>
      </c>
      <c r="D123" s="28" t="n">
        <v>3</v>
      </c>
      <c r="E123" s="28" t="n">
        <v>1.3</v>
      </c>
      <c r="F123" s="28" t="n">
        <v>0.2</v>
      </c>
      <c r="G123" s="35" t="n">
        <v>0</v>
      </c>
      <c r="H123" s="1" t="n">
        <f aca="false">IF(G123=P123, 1, 0)</f>
        <v>1</v>
      </c>
      <c r="I123" s="34" t="n">
        <f aca="false">I122-0.1*T122</f>
        <v>0.264312124685166</v>
      </c>
      <c r="J123" s="36" t="n">
        <f aca="false">J122-0.1*U122</f>
        <v>-0.587649041313956</v>
      </c>
      <c r="K123" s="36" t="n">
        <f aca="false">K122-0.1*V122</f>
        <v>-0.308227562445115</v>
      </c>
      <c r="L123" s="36" t="n">
        <f aca="false">L122-0.1*W122</f>
        <v>0.359706591828967</v>
      </c>
      <c r="M123" s="36" t="n">
        <f aca="false">M122-0.1*X122</f>
        <v>0.526526834121008</v>
      </c>
      <c r="N123" s="31" t="n">
        <f aca="false">I123+J123*C123+K123*D123+L123*E123+F123*M123</f>
        <v>-2.67310240822973</v>
      </c>
      <c r="O123" s="31" t="n">
        <f aca="false">1/(1+EXP(-N123))</f>
        <v>0.0645793024396209</v>
      </c>
      <c r="P123" s="32" t="n">
        <f aca="false">IF(O123&gt;0.5,1,0)</f>
        <v>0</v>
      </c>
      <c r="Q123" s="32" t="n">
        <f aca="false">O123-G123</f>
        <v>0.0645793024396209</v>
      </c>
      <c r="R123" s="33" t="n">
        <f aca="false">Q123^2</f>
        <v>0.00417048630358803</v>
      </c>
      <c r="T123" s="26" t="n">
        <f aca="false">2*(O123-G123)*(1-O123)*O123</f>
        <v>0.00780231841453664</v>
      </c>
      <c r="U123" s="26" t="n">
        <f aca="false">2*(O123-G123)*(1-O123)*O123*C123</f>
        <v>0.0343302010239612</v>
      </c>
      <c r="V123" s="26" t="n">
        <f aca="false">2*(O123-G123)*(1-O123)*O123*D123</f>
        <v>0.0234069552436099</v>
      </c>
      <c r="W123" s="26" t="n">
        <f aca="false">2*(O123-G123)*(1-O123)*O123*E123</f>
        <v>0.0101430139388976</v>
      </c>
      <c r="X123" s="26" t="n">
        <f aca="false">2*(O123-G123)*(1-O123)*O123*F123</f>
        <v>0.00156046368290733</v>
      </c>
    </row>
    <row r="124" customFormat="false" ht="14.25" hidden="false" customHeight="true" outlineLevel="0" collapsed="false">
      <c r="A124" s="37"/>
      <c r="B124" s="34" t="n">
        <v>40</v>
      </c>
      <c r="C124" s="28" t="n">
        <v>5.1</v>
      </c>
      <c r="D124" s="28" t="n">
        <v>3.4</v>
      </c>
      <c r="E124" s="28" t="n">
        <v>1.5</v>
      </c>
      <c r="F124" s="28" t="n">
        <v>0.2</v>
      </c>
      <c r="G124" s="35" t="n">
        <v>0</v>
      </c>
      <c r="H124" s="1" t="n">
        <f aca="false">IF(G124=P124, 1, 0)</f>
        <v>1</v>
      </c>
      <c r="I124" s="34" t="n">
        <f aca="false">I123-0.1*T123</f>
        <v>0.263531892843713</v>
      </c>
      <c r="J124" s="36" t="n">
        <f aca="false">J123-0.1*U123</f>
        <v>-0.591082061416352</v>
      </c>
      <c r="K124" s="36" t="n">
        <f aca="false">K123-0.1*V123</f>
        <v>-0.310568257969476</v>
      </c>
      <c r="L124" s="36" t="n">
        <f aca="false">L123-0.1*W123</f>
        <v>0.358692290435077</v>
      </c>
      <c r="M124" s="36" t="n">
        <f aca="false">M123-0.1*X123</f>
        <v>0.526370787752717</v>
      </c>
      <c r="N124" s="31" t="n">
        <f aca="false">I124+J124*C124+K124*D124+L124*E124+F124*M124</f>
        <v>-3.16360610427274</v>
      </c>
      <c r="O124" s="31" t="n">
        <f aca="false">1/(1+EXP(-N124))</f>
        <v>0.0405584946965151</v>
      </c>
      <c r="P124" s="32" t="n">
        <f aca="false">IF(O124&gt;0.5,1,0)</f>
        <v>0</v>
      </c>
      <c r="Q124" s="32" t="n">
        <f aca="false">O124-G124</f>
        <v>0.0405584946965151</v>
      </c>
      <c r="R124" s="33" t="n">
        <f aca="false">Q124^2</f>
        <v>0.00164499149204724</v>
      </c>
      <c r="T124" s="26" t="n">
        <f aca="false">2*(O124-G124)*(1-O124)*O124</f>
        <v>0.00315654622668246</v>
      </c>
      <c r="U124" s="26" t="n">
        <f aca="false">2*(O124-G124)*(1-O124)*O124*C124</f>
        <v>0.0160983857560806</v>
      </c>
      <c r="V124" s="26" t="n">
        <f aca="false">2*(O124-G124)*(1-O124)*O124*D124</f>
        <v>0.0107322571707204</v>
      </c>
      <c r="W124" s="26" t="n">
        <f aca="false">2*(O124-G124)*(1-O124)*O124*E124</f>
        <v>0.00473481934002369</v>
      </c>
      <c r="X124" s="26" t="n">
        <f aca="false">2*(O124-G124)*(1-O124)*O124*F124</f>
        <v>0.000631309245336492</v>
      </c>
    </row>
    <row r="125" customFormat="false" ht="14.25" hidden="false" customHeight="true" outlineLevel="0" collapsed="false">
      <c r="A125" s="37"/>
      <c r="B125" s="34" t="n">
        <v>41</v>
      </c>
      <c r="C125" s="28" t="n">
        <v>7</v>
      </c>
      <c r="D125" s="28" t="n">
        <v>3.2</v>
      </c>
      <c r="E125" s="28" t="n">
        <v>4.7</v>
      </c>
      <c r="F125" s="28" t="n">
        <v>1.4</v>
      </c>
      <c r="G125" s="35" t="n">
        <v>1</v>
      </c>
      <c r="H125" s="1" t="n">
        <f aca="false">IF(G125=P125, 1, 0)</f>
        <v>0</v>
      </c>
      <c r="I125" s="34" t="n">
        <f aca="false">I124-0.1*T124</f>
        <v>0.263216238221044</v>
      </c>
      <c r="J125" s="36" t="n">
        <f aca="false">J124-0.1*U124</f>
        <v>-0.59269189999196</v>
      </c>
      <c r="K125" s="36" t="n">
        <f aca="false">K124-0.1*V124</f>
        <v>-0.311641483686548</v>
      </c>
      <c r="L125" s="36" t="n">
        <f aca="false">L124-0.1*W124</f>
        <v>0.358218808501075</v>
      </c>
      <c r="M125" s="36" t="n">
        <f aca="false">M124-0.1*X124</f>
        <v>0.526307656828183</v>
      </c>
      <c r="N125" s="31" t="n">
        <f aca="false">I125+J125*C125+K125*D125+L125*E125+F125*M125</f>
        <v>-2.46242069000512</v>
      </c>
      <c r="O125" s="31" t="n">
        <f aca="false">1/(1+EXP(-N125))</f>
        <v>0.0785349797036382</v>
      </c>
      <c r="P125" s="32" t="n">
        <f aca="false">IF(O125&gt;0.5,1,0)</f>
        <v>0</v>
      </c>
      <c r="Q125" s="32" t="n">
        <f aca="false">O125-G125</f>
        <v>-0.921465020296362</v>
      </c>
      <c r="R125" s="33" t="n">
        <f aca="false">Q125^2</f>
        <v>0.849097783629774</v>
      </c>
      <c r="T125" s="26" t="n">
        <f aca="false">2*(O125-G125)*(1-O125)*O125</f>
        <v>-0.133367754407537</v>
      </c>
      <c r="U125" s="26" t="n">
        <f aca="false">2*(O125-G125)*(1-O125)*O125*C125</f>
        <v>-0.933574280852759</v>
      </c>
      <c r="V125" s="26" t="n">
        <f aca="false">2*(O125-G125)*(1-O125)*O125*D125</f>
        <v>-0.426776814104118</v>
      </c>
      <c r="W125" s="26" t="n">
        <f aca="false">2*(O125-G125)*(1-O125)*O125*E125</f>
        <v>-0.626828445715424</v>
      </c>
      <c r="X125" s="26" t="n">
        <f aca="false">2*(O125-G125)*(1-O125)*O125*F125</f>
        <v>-0.186714856170552</v>
      </c>
    </row>
    <row r="126" customFormat="false" ht="14.25" hidden="false" customHeight="true" outlineLevel="0" collapsed="false">
      <c r="A126" s="37"/>
      <c r="B126" s="34" t="n">
        <v>42</v>
      </c>
      <c r="C126" s="28" t="n">
        <v>6.4</v>
      </c>
      <c r="D126" s="28" t="n">
        <v>3.2</v>
      </c>
      <c r="E126" s="28" t="n">
        <v>4.5</v>
      </c>
      <c r="F126" s="28" t="n">
        <v>1.5</v>
      </c>
      <c r="G126" s="35" t="n">
        <v>1</v>
      </c>
      <c r="H126" s="1" t="n">
        <f aca="false">IF(G126=P126, 1, 0)</f>
        <v>0</v>
      </c>
      <c r="I126" s="34" t="n">
        <f aca="false">I125-0.1*T125</f>
        <v>0.276553013661798</v>
      </c>
      <c r="J126" s="36" t="n">
        <f aca="false">J125-0.1*U125</f>
        <v>-0.499334471906684</v>
      </c>
      <c r="K126" s="36" t="n">
        <f aca="false">K125-0.1*V125</f>
        <v>-0.268963802276136</v>
      </c>
      <c r="L126" s="36" t="n">
        <f aca="false">L125-0.1*W125</f>
        <v>0.420901653072617</v>
      </c>
      <c r="M126" s="36" t="n">
        <f aca="false">M125-0.1*X125</f>
        <v>0.544979142445238</v>
      </c>
      <c r="N126" s="31" t="n">
        <f aca="false">I126+J126*C126+K126*D126+L126*E126+F126*M126</f>
        <v>-1.06834562132998</v>
      </c>
      <c r="O126" s="31" t="n">
        <f aca="false">1/(1+EXP(-N126))</f>
        <v>0.255717828541338</v>
      </c>
      <c r="P126" s="32" t="n">
        <f aca="false">IF(O126&gt;0.5,1,0)</f>
        <v>0</v>
      </c>
      <c r="Q126" s="32" t="n">
        <f aca="false">O126-G126</f>
        <v>-0.744282171458662</v>
      </c>
      <c r="R126" s="33" t="n">
        <f aca="false">Q126^2</f>
        <v>0.553955950751222</v>
      </c>
      <c r="T126" s="26" t="n">
        <f aca="false">2*(O126-G126)*(1-O126)*O126</f>
        <v>-0.283312825667309</v>
      </c>
      <c r="U126" s="26" t="n">
        <f aca="false">2*(O126-G126)*(1-O126)*O126*C126</f>
        <v>-1.81320208427078</v>
      </c>
      <c r="V126" s="26" t="n">
        <f aca="false">2*(O126-G126)*(1-O126)*O126*D126</f>
        <v>-0.906601042135389</v>
      </c>
      <c r="W126" s="26" t="n">
        <f aca="false">2*(O126-G126)*(1-O126)*O126*E126</f>
        <v>-1.27490771550289</v>
      </c>
      <c r="X126" s="26" t="n">
        <f aca="false">2*(O126-G126)*(1-O126)*O126*F126</f>
        <v>-0.424969238500964</v>
      </c>
    </row>
    <row r="127" customFormat="false" ht="14.25" hidden="false" customHeight="true" outlineLevel="0" collapsed="false">
      <c r="A127" s="37"/>
      <c r="B127" s="34" t="n">
        <v>43</v>
      </c>
      <c r="C127" s="28" t="n">
        <v>6.9</v>
      </c>
      <c r="D127" s="28" t="n">
        <v>3.1</v>
      </c>
      <c r="E127" s="28" t="n">
        <v>4.9</v>
      </c>
      <c r="F127" s="28" t="n">
        <v>1.5</v>
      </c>
      <c r="G127" s="35" t="n">
        <v>1</v>
      </c>
      <c r="H127" s="1" t="n">
        <f aca="false">IF(G127=P127, 1, 0)</f>
        <v>1</v>
      </c>
      <c r="I127" s="34" t="n">
        <f aca="false">I126-0.1*T126</f>
        <v>0.304884296228529</v>
      </c>
      <c r="J127" s="36" t="n">
        <f aca="false">J126-0.1*U126</f>
        <v>-0.318014263479606</v>
      </c>
      <c r="K127" s="36" t="n">
        <f aca="false">K126-0.1*V126</f>
        <v>-0.178303698062597</v>
      </c>
      <c r="L127" s="36" t="n">
        <f aca="false">L126-0.1*W126</f>
        <v>0.548392424622907</v>
      </c>
      <c r="M127" s="36" t="n">
        <f aca="false">M126-0.1*X126</f>
        <v>0.587476066295335</v>
      </c>
      <c r="N127" s="31" t="n">
        <f aca="false">I127+J127*C127+K127*D127+L127*E127+F127*M127</f>
        <v>1.12618139432044</v>
      </c>
      <c r="O127" s="31" t="n">
        <f aca="false">1/(1+EXP(-N127))</f>
        <v>0.755133500662906</v>
      </c>
      <c r="P127" s="32" t="n">
        <f aca="false">IF(O127&gt;0.5,1,0)</f>
        <v>1</v>
      </c>
      <c r="Q127" s="32" t="n">
        <f aca="false">O127-G127</f>
        <v>-0.244866499337094</v>
      </c>
      <c r="R127" s="33" t="n">
        <f aca="false">Q127^2</f>
        <v>0.0599596024976029</v>
      </c>
      <c r="T127" s="26" t="n">
        <f aca="false">2*(O127-G127)*(1-O127)*O127</f>
        <v>-0.0905550090647424</v>
      </c>
      <c r="U127" s="26" t="n">
        <f aca="false">2*(O127-G127)*(1-O127)*O127*C127</f>
        <v>-0.624829562546723</v>
      </c>
      <c r="V127" s="26" t="n">
        <f aca="false">2*(O127-G127)*(1-O127)*O127*D127</f>
        <v>-0.280720528100701</v>
      </c>
      <c r="W127" s="26" t="n">
        <f aca="false">2*(O127-G127)*(1-O127)*O127*E127</f>
        <v>-0.443719544417238</v>
      </c>
      <c r="X127" s="26" t="n">
        <f aca="false">2*(O127-G127)*(1-O127)*O127*F127</f>
        <v>-0.135832513597114</v>
      </c>
    </row>
    <row r="128" customFormat="false" ht="14.25" hidden="false" customHeight="true" outlineLevel="0" collapsed="false">
      <c r="A128" s="37"/>
      <c r="B128" s="34" t="n">
        <v>44</v>
      </c>
      <c r="C128" s="28" t="n">
        <v>5.5</v>
      </c>
      <c r="D128" s="28" t="n">
        <v>2.3</v>
      </c>
      <c r="E128" s="28" t="n">
        <v>4</v>
      </c>
      <c r="F128" s="28" t="n">
        <v>1.3</v>
      </c>
      <c r="G128" s="35" t="n">
        <v>1</v>
      </c>
      <c r="H128" s="1" t="n">
        <f aca="false">IF(G128=P128, 1, 0)</f>
        <v>1</v>
      </c>
      <c r="I128" s="34" t="n">
        <f aca="false">I127-0.1*T127</f>
        <v>0.313939797135003</v>
      </c>
      <c r="J128" s="36" t="n">
        <f aca="false">J127-0.1*U127</f>
        <v>-0.255531307224934</v>
      </c>
      <c r="K128" s="36" t="n">
        <f aca="false">K127-0.1*V127</f>
        <v>-0.150231645252527</v>
      </c>
      <c r="L128" s="36" t="n">
        <f aca="false">L127-0.1*W127</f>
        <v>0.59276437906463</v>
      </c>
      <c r="M128" s="36" t="n">
        <f aca="false">M127-0.1*X127</f>
        <v>0.601059317655046</v>
      </c>
      <c r="N128" s="31" t="n">
        <f aca="false">I128+J128*C128+K128*D128+L128*E128+F128*M128</f>
        <v>1.71541945252713</v>
      </c>
      <c r="O128" s="31" t="n">
        <f aca="false">1/(1+EXP(-N128))</f>
        <v>0.847537891610994</v>
      </c>
      <c r="P128" s="32" t="n">
        <f aca="false">IF(O128&gt;0.5,1,0)</f>
        <v>1</v>
      </c>
      <c r="Q128" s="32" t="n">
        <f aca="false">O128-G128</f>
        <v>-0.152462108389006</v>
      </c>
      <c r="R128" s="33" t="n">
        <f aca="false">Q128^2</f>
        <v>0.0232446944944209</v>
      </c>
      <c r="T128" s="26" t="n">
        <f aca="false">2*(O128-G128)*(1-O128)*O128</f>
        <v>-0.0394015187258864</v>
      </c>
      <c r="U128" s="26" t="n">
        <f aca="false">2*(O128-G128)*(1-O128)*O128*C128</f>
        <v>-0.216708352992375</v>
      </c>
      <c r="V128" s="26" t="n">
        <f aca="false">2*(O128-G128)*(1-O128)*O128*D128</f>
        <v>-0.0906234930695388</v>
      </c>
      <c r="W128" s="26" t="n">
        <f aca="false">2*(O128-G128)*(1-O128)*O128*E128</f>
        <v>-0.157606074903546</v>
      </c>
      <c r="X128" s="26" t="n">
        <f aca="false">2*(O128-G128)*(1-O128)*O128*F128</f>
        <v>-0.0512219743436523</v>
      </c>
    </row>
    <row r="129" customFormat="false" ht="14.25" hidden="false" customHeight="true" outlineLevel="0" collapsed="false">
      <c r="A129" s="37"/>
      <c r="B129" s="34" t="n">
        <v>45</v>
      </c>
      <c r="C129" s="28" t="n">
        <v>6.5</v>
      </c>
      <c r="D129" s="28" t="n">
        <v>2.8</v>
      </c>
      <c r="E129" s="28" t="n">
        <v>4.6</v>
      </c>
      <c r="F129" s="28" t="n">
        <v>1.5</v>
      </c>
      <c r="G129" s="35" t="n">
        <v>1</v>
      </c>
      <c r="H129" s="1" t="n">
        <f aca="false">IF(G129=P129, 1, 0)</f>
        <v>1</v>
      </c>
      <c r="I129" s="34" t="n">
        <f aca="false">I128-0.1*T128</f>
        <v>0.317879949007592</v>
      </c>
      <c r="J129" s="36" t="n">
        <f aca="false">J128-0.1*U128</f>
        <v>-0.233860471925697</v>
      </c>
      <c r="K129" s="36" t="n">
        <f aca="false">K128-0.1*V128</f>
        <v>-0.141169295945573</v>
      </c>
      <c r="L129" s="36" t="n">
        <f aca="false">L128-0.1*W128</f>
        <v>0.608524986554985</v>
      </c>
      <c r="M129" s="36" t="n">
        <f aca="false">M128-0.1*X128</f>
        <v>0.606181515089411</v>
      </c>
      <c r="N129" s="31" t="n">
        <f aca="false">I129+J129*C129+K129*D129+L129*E129+F129*M129</f>
        <v>2.11100006363001</v>
      </c>
      <c r="O129" s="31" t="n">
        <f aca="false">1/(1+EXP(-N129))</f>
        <v>0.891967738443586</v>
      </c>
      <c r="P129" s="32" t="n">
        <f aca="false">IF(O129&gt;0.5,1,0)</f>
        <v>1</v>
      </c>
      <c r="Q129" s="32" t="n">
        <f aca="false">O129-G129</f>
        <v>-0.108032261556415</v>
      </c>
      <c r="R129" s="33" t="n">
        <f aca="false">Q129^2</f>
        <v>0.0116709695369936</v>
      </c>
      <c r="T129" s="26" t="n">
        <f aca="false">2*(O129-G129)*(1-O129)*O129</f>
        <v>-0.0208202566067123</v>
      </c>
      <c r="U129" s="26" t="n">
        <f aca="false">2*(O129-G129)*(1-O129)*O129*C129</f>
        <v>-0.13533166794363</v>
      </c>
      <c r="V129" s="26" t="n">
        <f aca="false">2*(O129-G129)*(1-O129)*O129*D129</f>
        <v>-0.0582967184987943</v>
      </c>
      <c r="W129" s="26" t="n">
        <f aca="false">2*(O129-G129)*(1-O129)*O129*E129</f>
        <v>-0.0957731803908764</v>
      </c>
      <c r="X129" s="26" t="n">
        <f aca="false">2*(O129-G129)*(1-O129)*O129*F129</f>
        <v>-0.0312303849100684</v>
      </c>
    </row>
    <row r="130" customFormat="false" ht="14.25" hidden="false" customHeight="true" outlineLevel="0" collapsed="false">
      <c r="A130" s="37"/>
      <c r="B130" s="34" t="n">
        <v>46</v>
      </c>
      <c r="C130" s="28" t="n">
        <v>5.7</v>
      </c>
      <c r="D130" s="28" t="n">
        <v>2.8</v>
      </c>
      <c r="E130" s="28" t="n">
        <v>4.5</v>
      </c>
      <c r="F130" s="28" t="n">
        <v>1.3</v>
      </c>
      <c r="G130" s="35" t="n">
        <v>1</v>
      </c>
      <c r="H130" s="1" t="n">
        <f aca="false">IF(G130=P130, 1, 0)</f>
        <v>1</v>
      </c>
      <c r="I130" s="34" t="n">
        <f aca="false">I129-0.1*T129</f>
        <v>0.319961974668263</v>
      </c>
      <c r="J130" s="36" t="n">
        <f aca="false">J129-0.1*U129</f>
        <v>-0.220327305131334</v>
      </c>
      <c r="K130" s="36" t="n">
        <f aca="false">K129-0.1*V129</f>
        <v>-0.135339624095694</v>
      </c>
      <c r="L130" s="36" t="n">
        <f aca="false">L129-0.1*W129</f>
        <v>0.618102304594073</v>
      </c>
      <c r="M130" s="36" t="n">
        <f aca="false">M129-0.1*X129</f>
        <v>0.609304553580418</v>
      </c>
      <c r="N130" s="31" t="n">
        <f aca="false">I130+J130*C130+K130*D130+L130*E130+F130*M130</f>
        <v>2.25870167827959</v>
      </c>
      <c r="O130" s="31" t="n">
        <f aca="false">1/(1+EXP(-N130))</f>
        <v>0.905398485625385</v>
      </c>
      <c r="P130" s="32" t="n">
        <f aca="false">IF(O130&gt;0.5,1,0)</f>
        <v>1</v>
      </c>
      <c r="Q130" s="32" t="n">
        <f aca="false">O130-G130</f>
        <v>-0.0946015143746154</v>
      </c>
      <c r="R130" s="33" t="n">
        <f aca="false">Q130^2</f>
        <v>0.00894944652197056</v>
      </c>
      <c r="T130" s="26" t="n">
        <f aca="false">2*(O130-G130)*(1-O130)*O130</f>
        <v>-0.016205630656355</v>
      </c>
      <c r="U130" s="26" t="n">
        <f aca="false">2*(O130-G130)*(1-O130)*O130*C130</f>
        <v>-0.0923720947412236</v>
      </c>
      <c r="V130" s="26" t="n">
        <f aca="false">2*(O130-G130)*(1-O130)*O130*D130</f>
        <v>-0.0453757658377941</v>
      </c>
      <c r="W130" s="26" t="n">
        <f aca="false">2*(O130-G130)*(1-O130)*O130*E130</f>
        <v>-0.0729253379535976</v>
      </c>
      <c r="X130" s="26" t="n">
        <f aca="false">2*(O130-G130)*(1-O130)*O130*F130</f>
        <v>-0.0210673198532615</v>
      </c>
    </row>
    <row r="131" customFormat="false" ht="14.25" hidden="false" customHeight="true" outlineLevel="0" collapsed="false">
      <c r="A131" s="37"/>
      <c r="B131" s="34" t="n">
        <v>47</v>
      </c>
      <c r="C131" s="28" t="n">
        <v>6.3</v>
      </c>
      <c r="D131" s="28" t="n">
        <v>3.3</v>
      </c>
      <c r="E131" s="28" t="n">
        <v>4.7</v>
      </c>
      <c r="F131" s="28" t="n">
        <v>1.6</v>
      </c>
      <c r="G131" s="35" t="n">
        <v>1</v>
      </c>
      <c r="H131" s="1" t="n">
        <f aca="false">IF(G131=P131, 1, 0)</f>
        <v>1</v>
      </c>
      <c r="I131" s="34" t="n">
        <f aca="false">I130-0.1*T130</f>
        <v>0.321582537733899</v>
      </c>
      <c r="J131" s="36" t="n">
        <f aca="false">J130-0.1*U130</f>
        <v>-0.211090095657211</v>
      </c>
      <c r="K131" s="36" t="n">
        <f aca="false">K130-0.1*V130</f>
        <v>-0.130802047511915</v>
      </c>
      <c r="L131" s="36" t="n">
        <f aca="false">L130-0.1*W130</f>
        <v>0.625394838389432</v>
      </c>
      <c r="M131" s="36" t="n">
        <f aca="false">M130-0.1*X130</f>
        <v>0.611411285565744</v>
      </c>
      <c r="N131" s="31" t="n">
        <f aca="false">I131+J131*C131+K131*D131+L131*E131+F131*M131</f>
        <v>2.47768197563967</v>
      </c>
      <c r="O131" s="31" t="n">
        <f aca="false">1/(1+EXP(-N131))</f>
        <v>0.922562357884705</v>
      </c>
      <c r="P131" s="32" t="n">
        <f aca="false">IF(O131&gt;0.5,1,0)</f>
        <v>1</v>
      </c>
      <c r="Q131" s="32" t="n">
        <f aca="false">O131-G131</f>
        <v>-0.0774376421152955</v>
      </c>
      <c r="R131" s="33" t="n">
        <f aca="false">Q131^2</f>
        <v>0.00599658841637658</v>
      </c>
      <c r="T131" s="26" t="n">
        <f aca="false">2*(O131-G131)*(1-O131)*O131</f>
        <v>-0.011064453497353</v>
      </c>
      <c r="U131" s="26" t="n">
        <f aca="false">2*(O131-G131)*(1-O131)*O131*C131</f>
        <v>-0.0697060570333237</v>
      </c>
      <c r="V131" s="26" t="n">
        <f aca="false">2*(O131-G131)*(1-O131)*O131*D131</f>
        <v>-0.0365126965412648</v>
      </c>
      <c r="W131" s="26" t="n">
        <f aca="false">2*(O131-G131)*(1-O131)*O131*E131</f>
        <v>-0.052002931437559</v>
      </c>
      <c r="X131" s="26" t="n">
        <f aca="false">2*(O131-G131)*(1-O131)*O131*F131</f>
        <v>-0.0177031255957648</v>
      </c>
    </row>
    <row r="132" customFormat="false" ht="14.25" hidden="false" customHeight="true" outlineLevel="0" collapsed="false">
      <c r="A132" s="37"/>
      <c r="B132" s="34" t="n">
        <v>48</v>
      </c>
      <c r="C132" s="28" t="n">
        <v>4.9</v>
      </c>
      <c r="D132" s="28" t="n">
        <v>2.4</v>
      </c>
      <c r="E132" s="28" t="n">
        <v>3.3</v>
      </c>
      <c r="F132" s="28" t="n">
        <v>1</v>
      </c>
      <c r="G132" s="35" t="n">
        <v>1</v>
      </c>
      <c r="H132" s="1" t="n">
        <f aca="false">IF(G132=P132, 1, 0)</f>
        <v>1</v>
      </c>
      <c r="I132" s="34" t="n">
        <f aca="false">I131-0.1*T131</f>
        <v>0.322688983083634</v>
      </c>
      <c r="J132" s="36" t="n">
        <f aca="false">J131-0.1*U131</f>
        <v>-0.204119489953879</v>
      </c>
      <c r="K132" s="36" t="n">
        <f aca="false">K131-0.1*V131</f>
        <v>-0.127150777857788</v>
      </c>
      <c r="L132" s="36" t="n">
        <f aca="false">L131-0.1*W131</f>
        <v>0.630595131533188</v>
      </c>
      <c r="M132" s="36" t="n">
        <f aca="false">M131-0.1*X131</f>
        <v>0.613181598125321</v>
      </c>
      <c r="N132" s="31" t="n">
        <f aca="false">I132+J132*C132+K132*D132+L132*E132+F132*M132</f>
        <v>1.71148714763578</v>
      </c>
      <c r="O132" s="31" t="n">
        <f aca="false">1/(1+EXP(-N132))</f>
        <v>0.847029074635968</v>
      </c>
      <c r="P132" s="32" t="n">
        <f aca="false">IF(O132&gt;0.5,1,0)</f>
        <v>1</v>
      </c>
      <c r="Q132" s="32" t="n">
        <f aca="false">O132-G132</f>
        <v>-0.152970925364032</v>
      </c>
      <c r="R132" s="33" t="n">
        <f aca="false">Q132^2</f>
        <v>0.0234001040067281</v>
      </c>
      <c r="T132" s="26" t="n">
        <f aca="false">2*(O132-G132)*(1-O132)*O132</f>
        <v>-0.0396411368864087</v>
      </c>
      <c r="U132" s="26" t="n">
        <f aca="false">2*(O132-G132)*(1-O132)*O132*C132</f>
        <v>-0.194241570743402</v>
      </c>
      <c r="V132" s="26" t="n">
        <f aca="false">2*(O132-G132)*(1-O132)*O132*D132</f>
        <v>-0.0951387285273808</v>
      </c>
      <c r="W132" s="26" t="n">
        <f aca="false">2*(O132-G132)*(1-O132)*O132*E132</f>
        <v>-0.130815751725149</v>
      </c>
      <c r="X132" s="26" t="n">
        <f aca="false">2*(O132-G132)*(1-O132)*O132*F132</f>
        <v>-0.0396411368864087</v>
      </c>
    </row>
    <row r="133" customFormat="false" ht="14.25" hidden="false" customHeight="true" outlineLevel="0" collapsed="false">
      <c r="A133" s="37"/>
      <c r="B133" s="34" t="n">
        <v>49</v>
      </c>
      <c r="C133" s="28" t="n">
        <v>6.6</v>
      </c>
      <c r="D133" s="28" t="n">
        <v>2.9</v>
      </c>
      <c r="E133" s="28" t="n">
        <v>4.6</v>
      </c>
      <c r="F133" s="28" t="n">
        <v>1.3</v>
      </c>
      <c r="G133" s="35" t="n">
        <v>1</v>
      </c>
      <c r="H133" s="1" t="n">
        <f aca="false">IF(G133=P133, 1, 0)</f>
        <v>1</v>
      </c>
      <c r="I133" s="34" t="n">
        <f aca="false">I132-0.1*T132</f>
        <v>0.326653096772275</v>
      </c>
      <c r="J133" s="36" t="n">
        <f aca="false">J132-0.1*U132</f>
        <v>-0.184695332879539</v>
      </c>
      <c r="K133" s="36" t="n">
        <f aca="false">K132-0.1*V132</f>
        <v>-0.11763690500505</v>
      </c>
      <c r="L133" s="36" t="n">
        <f aca="false">L132-0.1*W132</f>
        <v>0.643676706705703</v>
      </c>
      <c r="M133" s="36" t="n">
        <f aca="false">M132-0.1*X132</f>
        <v>0.617145711813962</v>
      </c>
      <c r="N133" s="31" t="n">
        <f aca="false">I133+J133*C133+K133*D133+L133*E133+F133*M133</f>
        <v>2.52971915145706</v>
      </c>
      <c r="O133" s="31" t="n">
        <f aca="false">1/(1+EXP(-N133))</f>
        <v>0.926199158496058</v>
      </c>
      <c r="P133" s="32" t="n">
        <f aca="false">IF(O133&gt;0.5,1,0)</f>
        <v>1</v>
      </c>
      <c r="Q133" s="32" t="n">
        <f aca="false">O133-G133</f>
        <v>-0.0738008415039417</v>
      </c>
      <c r="R133" s="33" t="n">
        <f aca="false">Q133^2</f>
        <v>0.00544656420668993</v>
      </c>
      <c r="T133" s="26" t="n">
        <f aca="false">2*(O133-G133)*(1-O133)*O133</f>
        <v>-0.0100892063698619</v>
      </c>
      <c r="U133" s="26" t="n">
        <f aca="false">2*(O133-G133)*(1-O133)*O133*C133</f>
        <v>-0.0665887620410887</v>
      </c>
      <c r="V133" s="26" t="n">
        <f aca="false">2*(O133-G133)*(1-O133)*O133*D133</f>
        <v>-0.0292586984725996</v>
      </c>
      <c r="W133" s="26" t="n">
        <f aca="false">2*(O133-G133)*(1-O133)*O133*E133</f>
        <v>-0.0464103493013649</v>
      </c>
      <c r="X133" s="26" t="n">
        <f aca="false">2*(O133-G133)*(1-O133)*O133*F133</f>
        <v>-0.0131159682808205</v>
      </c>
    </row>
    <row r="134" customFormat="false" ht="14.25" hidden="false" customHeight="true" outlineLevel="0" collapsed="false">
      <c r="A134" s="37"/>
      <c r="B134" s="34" t="n">
        <v>50</v>
      </c>
      <c r="C134" s="28" t="n">
        <v>5.2</v>
      </c>
      <c r="D134" s="28" t="n">
        <v>2.7</v>
      </c>
      <c r="E134" s="28" t="n">
        <v>3.9</v>
      </c>
      <c r="F134" s="28" t="n">
        <v>1.4</v>
      </c>
      <c r="G134" s="35" t="n">
        <v>1</v>
      </c>
      <c r="H134" s="1" t="n">
        <f aca="false">IF(G134=P134, 1, 0)</f>
        <v>1</v>
      </c>
      <c r="I134" s="34" t="n">
        <f aca="false">I133-0.1*T133</f>
        <v>0.327662017409261</v>
      </c>
      <c r="J134" s="36" t="n">
        <f aca="false">J133-0.1*U133</f>
        <v>-0.17803645667543</v>
      </c>
      <c r="K134" s="36" t="n">
        <f aca="false">K133-0.1*V133</f>
        <v>-0.11471103515779</v>
      </c>
      <c r="L134" s="36" t="n">
        <f aca="false">L133-0.1*W133</f>
        <v>0.64831774163584</v>
      </c>
      <c r="M134" s="36" t="n">
        <f aca="false">M133-0.1*X133</f>
        <v>0.618457308642044</v>
      </c>
      <c r="N134" s="31" t="n">
        <f aca="false">I134+J134*C134+K134*D134+L134*E134+F134*M134</f>
        <v>2.48643207224963</v>
      </c>
      <c r="O134" s="31" t="n">
        <f aca="false">1/(1+EXP(-N134))</f>
        <v>0.923185167219243</v>
      </c>
      <c r="P134" s="32" t="n">
        <f aca="false">IF(O134&gt;0.5,1,0)</f>
        <v>1</v>
      </c>
      <c r="Q134" s="32" t="n">
        <f aca="false">O134-G134</f>
        <v>-0.0768148327807573</v>
      </c>
      <c r="R134" s="33" t="n">
        <f aca="false">Q134^2</f>
        <v>0.00590051853513571</v>
      </c>
      <c r="T134" s="26" t="n">
        <f aca="false">2*(O134-G134)*(1-O134)*O134</f>
        <v>-0.010894542381079</v>
      </c>
      <c r="U134" s="26" t="n">
        <f aca="false">2*(O134-G134)*(1-O134)*O134*C134</f>
        <v>-0.0566516203816108</v>
      </c>
      <c r="V134" s="26" t="n">
        <f aca="false">2*(O134-G134)*(1-O134)*O134*D134</f>
        <v>-0.0294152644289133</v>
      </c>
      <c r="W134" s="26" t="n">
        <f aca="false">2*(O134-G134)*(1-O134)*O134*E134</f>
        <v>-0.0424887152862081</v>
      </c>
      <c r="X134" s="26" t="n">
        <f aca="false">2*(O134-G134)*(1-O134)*O134*F134</f>
        <v>-0.0152523593335106</v>
      </c>
    </row>
    <row r="135" customFormat="false" ht="14.25" hidden="false" customHeight="true" outlineLevel="0" collapsed="false">
      <c r="A135" s="37"/>
      <c r="B135" s="34" t="n">
        <v>51</v>
      </c>
      <c r="C135" s="28" t="n">
        <v>5</v>
      </c>
      <c r="D135" s="28" t="n">
        <v>2</v>
      </c>
      <c r="E135" s="28" t="n">
        <v>3.5</v>
      </c>
      <c r="F135" s="28" t="n">
        <v>1</v>
      </c>
      <c r="G135" s="35" t="n">
        <v>1</v>
      </c>
      <c r="H135" s="1" t="n">
        <f aca="false">IF(G135=P135, 1, 0)</f>
        <v>1</v>
      </c>
      <c r="I135" s="34" t="n">
        <f aca="false">I134-0.1*T134</f>
        <v>0.328751471647369</v>
      </c>
      <c r="J135" s="36" t="n">
        <f aca="false">J134-0.1*U134</f>
        <v>-0.172371294637269</v>
      </c>
      <c r="K135" s="36" t="n">
        <f aca="false">K134-0.1*V134</f>
        <v>-0.111769508714899</v>
      </c>
      <c r="L135" s="36" t="n">
        <f aca="false">L134-0.1*W134</f>
        <v>0.65256661316446</v>
      </c>
      <c r="M135" s="36" t="n">
        <f aca="false">M134-0.1*X134</f>
        <v>0.619982544575395</v>
      </c>
      <c r="N135" s="31" t="n">
        <f aca="false">I135+J135*C135+K135*D135+L135*E135+F135*M135</f>
        <v>2.14732167168223</v>
      </c>
      <c r="O135" s="31" t="n">
        <f aca="false">1/(1+EXP(-N135))</f>
        <v>0.89541823186594</v>
      </c>
      <c r="P135" s="32" t="n">
        <f aca="false">IF(O135&gt;0.5,1,0)</f>
        <v>1</v>
      </c>
      <c r="Q135" s="32" t="n">
        <f aca="false">O135-G135</f>
        <v>-0.10458176813406</v>
      </c>
      <c r="R135" s="33" t="n">
        <f aca="false">Q135^2</f>
        <v>0.0109373462260463</v>
      </c>
      <c r="T135" s="26" t="n">
        <f aca="false">2*(O135-G135)*(1-O135)*O135</f>
        <v>-0.0195869984380641</v>
      </c>
      <c r="U135" s="26" t="n">
        <f aca="false">2*(O135-G135)*(1-O135)*O135*C135</f>
        <v>-0.0979349921903203</v>
      </c>
      <c r="V135" s="26" t="n">
        <f aca="false">2*(O135-G135)*(1-O135)*O135*D135</f>
        <v>-0.0391739968761281</v>
      </c>
      <c r="W135" s="26" t="n">
        <f aca="false">2*(O135-G135)*(1-O135)*O135*E135</f>
        <v>-0.0685544945332242</v>
      </c>
      <c r="X135" s="26" t="n">
        <f aca="false">2*(O135-G135)*(1-O135)*O135*F135</f>
        <v>-0.0195869984380641</v>
      </c>
    </row>
    <row r="136" customFormat="false" ht="14.25" hidden="false" customHeight="true" outlineLevel="0" collapsed="false">
      <c r="A136" s="37"/>
      <c r="B136" s="34" t="n">
        <v>52</v>
      </c>
      <c r="C136" s="28" t="n">
        <v>5.9</v>
      </c>
      <c r="D136" s="28" t="n">
        <v>3</v>
      </c>
      <c r="E136" s="28" t="n">
        <v>4.2</v>
      </c>
      <c r="F136" s="28" t="n">
        <v>1.5</v>
      </c>
      <c r="G136" s="35" t="n">
        <v>1</v>
      </c>
      <c r="H136" s="1" t="n">
        <f aca="false">IF(G136=P136, 1, 0)</f>
        <v>1</v>
      </c>
      <c r="I136" s="34" t="n">
        <f aca="false">I135-0.1*T135</f>
        <v>0.330710171491175</v>
      </c>
      <c r="J136" s="36" t="n">
        <f aca="false">J135-0.1*U135</f>
        <v>-0.162577795418237</v>
      </c>
      <c r="K136" s="36" t="n">
        <f aca="false">K135-0.1*V135</f>
        <v>-0.107852109027286</v>
      </c>
      <c r="L136" s="36" t="n">
        <f aca="false">L135-0.1*W135</f>
        <v>0.659422062617783</v>
      </c>
      <c r="M136" s="36" t="n">
        <f aca="false">M135-0.1*X135</f>
        <v>0.621941244419201</v>
      </c>
      <c r="N136" s="31" t="n">
        <f aca="false">I136+J136*C136+K136*D136+L136*E136+F136*M136</f>
        <v>2.75042938106521</v>
      </c>
      <c r="O136" s="31" t="n">
        <f aca="false">1/(1+EXP(-N136))</f>
        <v>0.939937595076008</v>
      </c>
      <c r="P136" s="32" t="n">
        <f aca="false">IF(O136&gt;0.5,1,0)</f>
        <v>1</v>
      </c>
      <c r="Q136" s="32" t="n">
        <f aca="false">O136-G136</f>
        <v>-0.060062404923992</v>
      </c>
      <c r="R136" s="33" t="n">
        <f aca="false">Q136^2</f>
        <v>0.00360749248525357</v>
      </c>
      <c r="T136" s="26" t="n">
        <f aca="false">2*(O136-G136)*(1-O136)*O136</f>
        <v>-0.00678163562168803</v>
      </c>
      <c r="U136" s="26" t="n">
        <f aca="false">2*(O136-G136)*(1-O136)*O136*C136</f>
        <v>-0.0400116501679594</v>
      </c>
      <c r="V136" s="26" t="n">
        <f aca="false">2*(O136-G136)*(1-O136)*O136*D136</f>
        <v>-0.0203449068650641</v>
      </c>
      <c r="W136" s="26" t="n">
        <f aca="false">2*(O136-G136)*(1-O136)*O136*E136</f>
        <v>-0.0284828696110897</v>
      </c>
      <c r="X136" s="26" t="n">
        <f aca="false">2*(O136-G136)*(1-O136)*O136*F136</f>
        <v>-0.010172453432532</v>
      </c>
    </row>
    <row r="137" customFormat="false" ht="14.25" hidden="false" customHeight="true" outlineLevel="0" collapsed="false">
      <c r="A137" s="37"/>
      <c r="B137" s="34" t="n">
        <v>53</v>
      </c>
      <c r="C137" s="28" t="n">
        <v>6</v>
      </c>
      <c r="D137" s="28" t="n">
        <v>2.2</v>
      </c>
      <c r="E137" s="28" t="n">
        <v>4</v>
      </c>
      <c r="F137" s="28" t="n">
        <v>1</v>
      </c>
      <c r="G137" s="35" t="n">
        <v>1</v>
      </c>
      <c r="H137" s="1" t="n">
        <f aca="false">IF(G137=P137, 1, 0)</f>
        <v>1</v>
      </c>
      <c r="I137" s="34" t="n">
        <f aca="false">I136-0.1*T136</f>
        <v>0.331388335053344</v>
      </c>
      <c r="J137" s="36" t="n">
        <f aca="false">J136-0.1*U136</f>
        <v>-0.158576630401441</v>
      </c>
      <c r="K137" s="36" t="n">
        <f aca="false">K136-0.1*V136</f>
        <v>-0.10581761834078</v>
      </c>
      <c r="L137" s="36" t="n">
        <f aca="false">L136-0.1*W136</f>
        <v>0.662270349578892</v>
      </c>
      <c r="M137" s="36" t="n">
        <f aca="false">M136-0.1*X136</f>
        <v>0.622958489762455</v>
      </c>
      <c r="N137" s="31" t="n">
        <f aca="false">I137+J137*C137+K137*D137+L137*E137+F137*M137</f>
        <v>2.41916968037301</v>
      </c>
      <c r="O137" s="31" t="n">
        <f aca="false">1/(1+EXP(-N137))</f>
        <v>0.918277455693921</v>
      </c>
      <c r="P137" s="32" t="n">
        <f aca="false">IF(O137&gt;0.5,1,0)</f>
        <v>1</v>
      </c>
      <c r="Q137" s="32" t="n">
        <f aca="false">O137-G137</f>
        <v>-0.0817225443060792</v>
      </c>
      <c r="R137" s="33" t="n">
        <f aca="false">Q137^2</f>
        <v>0.00667857424785907</v>
      </c>
      <c r="T137" s="26" t="n">
        <f aca="false">2*(O137-G137)*(1-O137)*O137</f>
        <v>-0.0122655683359739</v>
      </c>
      <c r="U137" s="26" t="n">
        <f aca="false">2*(O137-G137)*(1-O137)*O137*C137</f>
        <v>-0.0735934100158436</v>
      </c>
      <c r="V137" s="26" t="n">
        <f aca="false">2*(O137-G137)*(1-O137)*O137*D137</f>
        <v>-0.0269842503391427</v>
      </c>
      <c r="W137" s="26" t="n">
        <f aca="false">2*(O137-G137)*(1-O137)*O137*E137</f>
        <v>-0.0490622733438958</v>
      </c>
      <c r="X137" s="26" t="n">
        <f aca="false">2*(O137-G137)*(1-O137)*O137*F137</f>
        <v>-0.0122655683359739</v>
      </c>
    </row>
    <row r="138" customFormat="false" ht="14.25" hidden="false" customHeight="true" outlineLevel="0" collapsed="false">
      <c r="A138" s="37"/>
      <c r="B138" s="34" t="n">
        <v>54</v>
      </c>
      <c r="C138" s="28" t="n">
        <v>6.1</v>
      </c>
      <c r="D138" s="28" t="n">
        <v>2.9</v>
      </c>
      <c r="E138" s="28" t="n">
        <v>4.7</v>
      </c>
      <c r="F138" s="28" t="n">
        <v>1.4</v>
      </c>
      <c r="G138" s="35" t="n">
        <v>1</v>
      </c>
      <c r="H138" s="1" t="n">
        <f aca="false">IF(G138=P138, 1, 0)</f>
        <v>1</v>
      </c>
      <c r="I138" s="34" t="n">
        <f aca="false">I137-0.1*T137</f>
        <v>0.332614891886942</v>
      </c>
      <c r="J138" s="36" t="n">
        <f aca="false">J137-0.1*U137</f>
        <v>-0.151217289399856</v>
      </c>
      <c r="K138" s="36" t="n">
        <f aca="false">K137-0.1*V137</f>
        <v>-0.103119193306865</v>
      </c>
      <c r="L138" s="36" t="n">
        <f aca="false">L137-0.1*W137</f>
        <v>0.667176576913281</v>
      </c>
      <c r="M138" s="36" t="n">
        <f aca="false">M137-0.1*X137</f>
        <v>0.624185046596052</v>
      </c>
      <c r="N138" s="31" t="n">
        <f aca="false">I138+J138*C138+K138*D138+L138*E138+F138*M138</f>
        <v>3.1207327426848</v>
      </c>
      <c r="O138" s="31" t="n">
        <f aca="false">1/(1+EXP(-N138))</f>
        <v>0.957739895272537</v>
      </c>
      <c r="P138" s="32" t="n">
        <f aca="false">IF(O138&gt;0.5,1,0)</f>
        <v>1</v>
      </c>
      <c r="Q138" s="32" t="n">
        <f aca="false">O138-G138</f>
        <v>-0.0422601047274634</v>
      </c>
      <c r="R138" s="33" t="n">
        <f aca="false">Q138^2</f>
        <v>0.00178591645157618</v>
      </c>
      <c r="T138" s="26" t="n">
        <f aca="false">2*(O138-G138)*(1-O138)*O138</f>
        <v>-0.00342088687059614</v>
      </c>
      <c r="U138" s="26" t="n">
        <f aca="false">2*(O138-G138)*(1-O138)*O138*C138</f>
        <v>-0.0208674099106364</v>
      </c>
      <c r="V138" s="26" t="n">
        <f aca="false">2*(O138-G138)*(1-O138)*O138*D138</f>
        <v>-0.0099205719247288</v>
      </c>
      <c r="W138" s="26" t="n">
        <f aca="false">2*(O138-G138)*(1-O138)*O138*E138</f>
        <v>-0.0160781682918018</v>
      </c>
      <c r="X138" s="26" t="n">
        <f aca="false">2*(O138-G138)*(1-O138)*O138*F138</f>
        <v>-0.00478924161883459</v>
      </c>
    </row>
    <row r="139" customFormat="false" ht="14.25" hidden="false" customHeight="true" outlineLevel="0" collapsed="false">
      <c r="A139" s="37"/>
      <c r="B139" s="34" t="n">
        <v>55</v>
      </c>
      <c r="C139" s="28" t="n">
        <v>5.6</v>
      </c>
      <c r="D139" s="28" t="n">
        <v>2.9</v>
      </c>
      <c r="E139" s="28" t="n">
        <v>3.6</v>
      </c>
      <c r="F139" s="28" t="n">
        <v>1.3</v>
      </c>
      <c r="G139" s="35" t="n">
        <v>1</v>
      </c>
      <c r="H139" s="1" t="n">
        <f aca="false">IF(G139=P139, 1, 0)</f>
        <v>1</v>
      </c>
      <c r="I139" s="34" t="n">
        <f aca="false">I138-0.1*T138</f>
        <v>0.332956980574001</v>
      </c>
      <c r="J139" s="36" t="n">
        <f aca="false">J138-0.1*U138</f>
        <v>-0.149130548408793</v>
      </c>
      <c r="K139" s="36" t="n">
        <f aca="false">K138-0.1*V138</f>
        <v>-0.102127136114392</v>
      </c>
      <c r="L139" s="36" t="n">
        <f aca="false">L138-0.1*W138</f>
        <v>0.668784393742462</v>
      </c>
      <c r="M139" s="36" t="n">
        <f aca="false">M138-0.1*X138</f>
        <v>0.624663970757935</v>
      </c>
      <c r="N139" s="31" t="n">
        <f aca="false">I139+J139*C139+K139*D139+L139*E139+F139*M139</f>
        <v>2.4213441942112</v>
      </c>
      <c r="O139" s="31" t="n">
        <f aca="false">1/(1+EXP(-N139))</f>
        <v>0.918440491491814</v>
      </c>
      <c r="P139" s="32" t="n">
        <f aca="false">IF(O139&gt;0.5,1,0)</f>
        <v>1</v>
      </c>
      <c r="Q139" s="32" t="n">
        <f aca="false">O139-G139</f>
        <v>-0.0815595085081864</v>
      </c>
      <c r="R139" s="33" t="n">
        <f aca="false">Q139^2</f>
        <v>0.00665195342809693</v>
      </c>
      <c r="T139" s="26" t="n">
        <f aca="false">2*(O139-G139)*(1-O139)*O139</f>
        <v>-0.012218846751764</v>
      </c>
      <c r="U139" s="26" t="n">
        <f aca="false">2*(O139-G139)*(1-O139)*O139*C139</f>
        <v>-0.0684255418098784</v>
      </c>
      <c r="V139" s="26" t="n">
        <f aca="false">2*(O139-G139)*(1-O139)*O139*D139</f>
        <v>-0.0354346555801156</v>
      </c>
      <c r="W139" s="26" t="n">
        <f aca="false">2*(O139-G139)*(1-O139)*O139*E139</f>
        <v>-0.0439878483063504</v>
      </c>
      <c r="X139" s="26" t="n">
        <f aca="false">2*(O139-G139)*(1-O139)*O139*F139</f>
        <v>-0.0158845007772932</v>
      </c>
    </row>
    <row r="140" customFormat="false" ht="14.25" hidden="false" customHeight="true" outlineLevel="0" collapsed="false">
      <c r="A140" s="37"/>
      <c r="B140" s="34" t="n">
        <v>56</v>
      </c>
      <c r="C140" s="28" t="n">
        <v>6.7</v>
      </c>
      <c r="D140" s="28" t="n">
        <v>3.1</v>
      </c>
      <c r="E140" s="28" t="n">
        <v>4.4</v>
      </c>
      <c r="F140" s="28" t="n">
        <v>1.4</v>
      </c>
      <c r="G140" s="35" t="n">
        <v>1</v>
      </c>
      <c r="H140" s="1" t="n">
        <f aca="false">IF(G140=P140, 1, 0)</f>
        <v>1</v>
      </c>
      <c r="I140" s="34" t="n">
        <f aca="false">I139-0.1*T139</f>
        <v>0.334178865249178</v>
      </c>
      <c r="J140" s="36" t="n">
        <f aca="false">J139-0.1*U139</f>
        <v>-0.142287994227805</v>
      </c>
      <c r="K140" s="36" t="n">
        <f aca="false">K139-0.1*V139</f>
        <v>-0.0985836705563808</v>
      </c>
      <c r="L140" s="36" t="n">
        <f aca="false">L139-0.1*W139</f>
        <v>0.673183178573097</v>
      </c>
      <c r="M140" s="36" t="n">
        <f aca="false">M139-0.1*X139</f>
        <v>0.626252420835665</v>
      </c>
      <c r="N140" s="31" t="n">
        <f aca="false">I140+J140*C140+K140*D140+L140*E140+F140*M140</f>
        <v>2.91399930008966</v>
      </c>
      <c r="O140" s="31" t="n">
        <f aca="false">1/(1+EXP(-N140))</f>
        <v>0.948534149417444</v>
      </c>
      <c r="P140" s="32" t="n">
        <f aca="false">IF(O140&gt;0.5,1,0)</f>
        <v>1</v>
      </c>
      <c r="Q140" s="32" t="n">
        <f aca="false">O140-G140</f>
        <v>-0.0514658505825558</v>
      </c>
      <c r="R140" s="33" t="n">
        <f aca="false">Q140^2</f>
        <v>0.00264873377618596</v>
      </c>
      <c r="T140" s="26" t="n">
        <f aca="false">2*(O140-G140)*(1-O140)*O140</f>
        <v>-0.00502482887885561</v>
      </c>
      <c r="U140" s="26" t="n">
        <f aca="false">2*(O140-G140)*(1-O140)*O140*C140</f>
        <v>-0.0336663534883326</v>
      </c>
      <c r="V140" s="26" t="n">
        <f aca="false">2*(O140-G140)*(1-O140)*O140*D140</f>
        <v>-0.0155769695244524</v>
      </c>
      <c r="W140" s="26" t="n">
        <f aca="false">2*(O140-G140)*(1-O140)*O140*E140</f>
        <v>-0.0221092470669647</v>
      </c>
      <c r="X140" s="26" t="n">
        <f aca="false">2*(O140-G140)*(1-O140)*O140*F140</f>
        <v>-0.00703476043039786</v>
      </c>
    </row>
    <row r="141" customFormat="false" ht="14.25" hidden="false" customHeight="true" outlineLevel="0" collapsed="false">
      <c r="A141" s="37"/>
      <c r="B141" s="34" t="n">
        <v>57</v>
      </c>
      <c r="C141" s="28" t="n">
        <v>5.6</v>
      </c>
      <c r="D141" s="28" t="n">
        <v>3</v>
      </c>
      <c r="E141" s="28" t="n">
        <v>4.5</v>
      </c>
      <c r="F141" s="28" t="n">
        <v>1.5</v>
      </c>
      <c r="G141" s="35" t="n">
        <v>1</v>
      </c>
      <c r="H141" s="1" t="n">
        <f aca="false">IF(G141=P141, 1, 0)</f>
        <v>1</v>
      </c>
      <c r="I141" s="34" t="n">
        <f aca="false">I140-0.1*T140</f>
        <v>0.334681348137063</v>
      </c>
      <c r="J141" s="36" t="n">
        <f aca="false">J140-0.1*U140</f>
        <v>-0.138921358878972</v>
      </c>
      <c r="K141" s="36" t="n">
        <f aca="false">K140-0.1*V140</f>
        <v>-0.0970259736039356</v>
      </c>
      <c r="L141" s="36" t="n">
        <f aca="false">L140-0.1*W140</f>
        <v>0.675394103279793</v>
      </c>
      <c r="M141" s="36" t="n">
        <f aca="false">M140-0.1*X140</f>
        <v>0.626955896878705</v>
      </c>
      <c r="N141" s="31" t="n">
        <f aca="false">I141+J141*C141+K141*D141+L141*E141+F141*M141</f>
        <v>3.24535112768014</v>
      </c>
      <c r="O141" s="31" t="n">
        <f aca="false">1/(1+EXP(-N141))</f>
        <v>0.962505702197103</v>
      </c>
      <c r="P141" s="32" t="n">
        <f aca="false">IF(O141&gt;0.5,1,0)</f>
        <v>1</v>
      </c>
      <c r="Q141" s="32" t="n">
        <f aca="false">O141-G141</f>
        <v>-0.0374942978028973</v>
      </c>
      <c r="R141" s="33" t="n">
        <f aca="false">Q141^2</f>
        <v>0.00140582236773235</v>
      </c>
      <c r="T141" s="26" t="n">
        <f aca="false">2*(O141-G141)*(1-O141)*O141</f>
        <v>-0.00270622409043723</v>
      </c>
      <c r="U141" s="26" t="n">
        <f aca="false">2*(O141-G141)*(1-O141)*O141*C141</f>
        <v>-0.0151548549064485</v>
      </c>
      <c r="V141" s="26" t="n">
        <f aca="false">2*(O141-G141)*(1-O141)*O141*D141</f>
        <v>-0.00811867227131169</v>
      </c>
      <c r="W141" s="26" t="n">
        <f aca="false">2*(O141-G141)*(1-O141)*O141*E141</f>
        <v>-0.0121780084069675</v>
      </c>
      <c r="X141" s="26" t="n">
        <f aca="false">2*(O141-G141)*(1-O141)*O141*F141</f>
        <v>-0.00405933613565585</v>
      </c>
    </row>
    <row r="142" customFormat="false" ht="14.25" hidden="false" customHeight="true" outlineLevel="0" collapsed="false">
      <c r="A142" s="37"/>
      <c r="B142" s="34" t="n">
        <v>58</v>
      </c>
      <c r="C142" s="28" t="n">
        <v>5.8</v>
      </c>
      <c r="D142" s="28" t="n">
        <v>2.7</v>
      </c>
      <c r="E142" s="28" t="n">
        <v>4.1</v>
      </c>
      <c r="F142" s="28" t="n">
        <v>1</v>
      </c>
      <c r="G142" s="35" t="n">
        <v>1</v>
      </c>
      <c r="H142" s="1" t="n">
        <f aca="false">IF(G142=P142, 1, 0)</f>
        <v>1</v>
      </c>
      <c r="I142" s="34" t="n">
        <f aca="false">I141-0.1*T141</f>
        <v>0.334951970546107</v>
      </c>
      <c r="J142" s="36" t="n">
        <f aca="false">J141-0.1*U141</f>
        <v>-0.137405873388327</v>
      </c>
      <c r="K142" s="36" t="n">
        <f aca="false">K141-0.1*V141</f>
        <v>-0.0962141063768044</v>
      </c>
      <c r="L142" s="36" t="n">
        <f aca="false">L141-0.1*W141</f>
        <v>0.67661190412049</v>
      </c>
      <c r="M142" s="36" t="n">
        <f aca="false">M141-0.1*X141</f>
        <v>0.62736183049227</v>
      </c>
      <c r="N142" s="31" t="n">
        <f aca="false">I142+J142*C142+K142*D142+L142*E142+F142*M142</f>
        <v>2.67969045506272</v>
      </c>
      <c r="O142" s="31" t="n">
        <f aca="false">1/(1+EXP(-N142))</f>
        <v>0.935817533881369</v>
      </c>
      <c r="P142" s="32" t="n">
        <f aca="false">IF(O142&gt;0.5,1,0)</f>
        <v>1</v>
      </c>
      <c r="Q142" s="32" t="n">
        <f aca="false">O142-G142</f>
        <v>-0.0641824661186311</v>
      </c>
      <c r="R142" s="33" t="n">
        <f aca="false">Q142^2</f>
        <v>0.00411938895706923</v>
      </c>
      <c r="T142" s="26" t="n">
        <f aca="false">2*(O142-G142)*(1-O142)*O142</f>
        <v>-0.00770999282980534</v>
      </c>
      <c r="U142" s="26" t="n">
        <f aca="false">2*(O142-G142)*(1-O142)*O142*C142</f>
        <v>-0.044717958412871</v>
      </c>
      <c r="V142" s="26" t="n">
        <f aca="false">2*(O142-G142)*(1-O142)*O142*D142</f>
        <v>-0.0208169806404744</v>
      </c>
      <c r="W142" s="26" t="n">
        <f aca="false">2*(O142-G142)*(1-O142)*O142*E142</f>
        <v>-0.0316109706022019</v>
      </c>
      <c r="X142" s="26" t="n">
        <f aca="false">2*(O142-G142)*(1-O142)*O142*F142</f>
        <v>-0.00770999282980534</v>
      </c>
    </row>
    <row r="143" customFormat="false" ht="14.25" hidden="false" customHeight="true" outlineLevel="0" collapsed="false">
      <c r="A143" s="37"/>
      <c r="B143" s="34" t="n">
        <v>59</v>
      </c>
      <c r="C143" s="28" t="n">
        <v>6.2</v>
      </c>
      <c r="D143" s="28" t="n">
        <v>2.2</v>
      </c>
      <c r="E143" s="28" t="n">
        <v>4.5</v>
      </c>
      <c r="F143" s="28" t="n">
        <v>1.5</v>
      </c>
      <c r="G143" s="35" t="n">
        <v>1</v>
      </c>
      <c r="H143" s="1" t="n">
        <f aca="false">IF(G143=P143, 1, 0)</f>
        <v>1</v>
      </c>
      <c r="I143" s="34" t="n">
        <f aca="false">I142-0.1*T142</f>
        <v>0.335722969829087</v>
      </c>
      <c r="J143" s="36" t="n">
        <f aca="false">J142-0.1*U142</f>
        <v>-0.13293407754704</v>
      </c>
      <c r="K143" s="36" t="n">
        <f aca="false">K142-0.1*V142</f>
        <v>-0.094132408312757</v>
      </c>
      <c r="L143" s="36" t="n">
        <f aca="false">L142-0.1*W142</f>
        <v>0.67977300118071</v>
      </c>
      <c r="M143" s="36" t="n">
        <f aca="false">M142-0.1*X142</f>
        <v>0.628132829775251</v>
      </c>
      <c r="N143" s="31" t="n">
        <f aca="false">I143+J143*C143+K143*D143+L143*E143+F143*M143</f>
        <v>3.30561814072545</v>
      </c>
      <c r="O143" s="31" t="n">
        <f aca="false">1/(1+EXP(-N143))</f>
        <v>0.964621043902095</v>
      </c>
      <c r="P143" s="32" t="n">
        <f aca="false">IF(O143&gt;0.5,1,0)</f>
        <v>1</v>
      </c>
      <c r="Q143" s="32" t="n">
        <f aca="false">O143-G143</f>
        <v>-0.0353789560979052</v>
      </c>
      <c r="R143" s="33" t="n">
        <f aca="false">Q143^2</f>
        <v>0.0012516705345775</v>
      </c>
      <c r="T143" s="26" t="n">
        <f aca="false">2*(O143-G143)*(1-O143)*O143</f>
        <v>-0.00241477547537129</v>
      </c>
      <c r="U143" s="26" t="n">
        <f aca="false">2*(O143-G143)*(1-O143)*O143*C143</f>
        <v>-0.014971607947302</v>
      </c>
      <c r="V143" s="26" t="n">
        <f aca="false">2*(O143-G143)*(1-O143)*O143*D143</f>
        <v>-0.00531250604581684</v>
      </c>
      <c r="W143" s="26" t="n">
        <f aca="false">2*(O143-G143)*(1-O143)*O143*E143</f>
        <v>-0.0108664896391708</v>
      </c>
      <c r="X143" s="26" t="n">
        <f aca="false">2*(O143-G143)*(1-O143)*O143*F143</f>
        <v>-0.00362216321305693</v>
      </c>
    </row>
    <row r="144" customFormat="false" ht="14.25" hidden="false" customHeight="true" outlineLevel="0" collapsed="false">
      <c r="A144" s="37"/>
      <c r="B144" s="34" t="n">
        <v>60</v>
      </c>
      <c r="C144" s="28" t="n">
        <v>5.6</v>
      </c>
      <c r="D144" s="28" t="n">
        <v>2.5</v>
      </c>
      <c r="E144" s="28" t="n">
        <v>3.9</v>
      </c>
      <c r="F144" s="28" t="n">
        <v>1.1</v>
      </c>
      <c r="G144" s="35" t="n">
        <v>1</v>
      </c>
      <c r="H144" s="1" t="n">
        <f aca="false">IF(G144=P144, 1, 0)</f>
        <v>1</v>
      </c>
      <c r="I144" s="34" t="n">
        <f aca="false">I143-0.1*T143</f>
        <v>0.335964447376625</v>
      </c>
      <c r="J144" s="36" t="n">
        <f aca="false">J143-0.1*U143</f>
        <v>-0.13143691675231</v>
      </c>
      <c r="K144" s="36" t="n">
        <f aca="false">K143-0.1*V143</f>
        <v>-0.0936011577081753</v>
      </c>
      <c r="L144" s="36" t="n">
        <f aca="false">L143-0.1*W143</f>
        <v>0.680859650144627</v>
      </c>
      <c r="M144" s="36" t="n">
        <f aca="false">M143-0.1*X143</f>
        <v>0.628495046096556</v>
      </c>
      <c r="N144" s="31" t="n">
        <f aca="false">I144+J144*C144+K144*D144+L144*E144+F144*M144</f>
        <v>2.71261200556351</v>
      </c>
      <c r="O144" s="31" t="n">
        <f aca="false">1/(1+EXP(-N144))</f>
        <v>0.937766760370014</v>
      </c>
      <c r="P144" s="32" t="n">
        <f aca="false">IF(O144&gt;0.5,1,0)</f>
        <v>1</v>
      </c>
      <c r="Q144" s="32" t="n">
        <f aca="false">O144-G144</f>
        <v>-0.0622332396299864</v>
      </c>
      <c r="R144" s="33" t="n">
        <f aca="false">Q144^2</f>
        <v>0.00387297611484331</v>
      </c>
      <c r="T144" s="26" t="n">
        <f aca="false">2*(O144-G144)*(1-O144)*O144</f>
        <v>-0.0072638965284141</v>
      </c>
      <c r="U144" s="26" t="n">
        <f aca="false">2*(O144-G144)*(1-O144)*O144*C144</f>
        <v>-0.040677820559119</v>
      </c>
      <c r="V144" s="26" t="n">
        <f aca="false">2*(O144-G144)*(1-O144)*O144*D144</f>
        <v>-0.0181597413210353</v>
      </c>
      <c r="W144" s="26" t="n">
        <f aca="false">2*(O144-G144)*(1-O144)*O144*E144</f>
        <v>-0.028329196460815</v>
      </c>
      <c r="X144" s="26" t="n">
        <f aca="false">2*(O144-G144)*(1-O144)*O144*F144</f>
        <v>-0.00799028618125551</v>
      </c>
    </row>
    <row r="145" customFormat="false" ht="14.25" hidden="false" customHeight="true" outlineLevel="0" collapsed="false">
      <c r="A145" s="37"/>
      <c r="B145" s="34" t="n">
        <v>61</v>
      </c>
      <c r="C145" s="28" t="n">
        <v>5.9</v>
      </c>
      <c r="D145" s="28" t="n">
        <v>3.2</v>
      </c>
      <c r="E145" s="28" t="n">
        <v>4.8</v>
      </c>
      <c r="F145" s="28" t="n">
        <v>1.8</v>
      </c>
      <c r="G145" s="35" t="n">
        <v>1</v>
      </c>
      <c r="H145" s="1" t="n">
        <f aca="false">IF(G145=P145, 1, 0)</f>
        <v>1</v>
      </c>
      <c r="I145" s="34" t="n">
        <f aca="false">I144-0.1*T144</f>
        <v>0.336690837029466</v>
      </c>
      <c r="J145" s="36" t="n">
        <f aca="false">J144-0.1*U144</f>
        <v>-0.127369134696398</v>
      </c>
      <c r="K145" s="36" t="n">
        <f aca="false">K144-0.1*V144</f>
        <v>-0.0917851835760718</v>
      </c>
      <c r="L145" s="36" t="n">
        <f aca="false">L144-0.1*W144</f>
        <v>0.683692569790709</v>
      </c>
      <c r="M145" s="36" t="n">
        <f aca="false">M144-0.1*X144</f>
        <v>0.629294074714682</v>
      </c>
      <c r="N145" s="31" t="n">
        <f aca="false">I145+J145*C145+K145*D145+L145*E145+F145*M145</f>
        <v>3.70595402435912</v>
      </c>
      <c r="O145" s="31" t="n">
        <f aca="false">1/(1+EXP(-N145))</f>
        <v>0.976012769050024</v>
      </c>
      <c r="P145" s="32" t="n">
        <f aca="false">IF(O145&gt;0.5,1,0)</f>
        <v>1</v>
      </c>
      <c r="Q145" s="32" t="n">
        <f aca="false">O145-G145</f>
        <v>-0.023987230949976</v>
      </c>
      <c r="R145" s="33" t="n">
        <f aca="false">Q145^2</f>
        <v>0.000575387248647487</v>
      </c>
      <c r="T145" s="26" t="n">
        <f aca="false">2*(O145-G145)*(1-O145)*O145</f>
        <v>-0.00112317060365702</v>
      </c>
      <c r="U145" s="26" t="n">
        <f aca="false">2*(O145-G145)*(1-O145)*O145*C145</f>
        <v>-0.0066267065615764</v>
      </c>
      <c r="V145" s="26" t="n">
        <f aca="false">2*(O145-G145)*(1-O145)*O145*D145</f>
        <v>-0.00359414593170246</v>
      </c>
      <c r="W145" s="26" t="n">
        <f aca="false">2*(O145-G145)*(1-O145)*O145*E145</f>
        <v>-0.00539121889755368</v>
      </c>
      <c r="X145" s="26" t="n">
        <f aca="false">2*(O145-G145)*(1-O145)*O145*F145</f>
        <v>-0.00202170708658263</v>
      </c>
    </row>
    <row r="146" customFormat="false" ht="14.25" hidden="false" customHeight="true" outlineLevel="0" collapsed="false">
      <c r="A146" s="37"/>
      <c r="B146" s="34" t="n">
        <v>62</v>
      </c>
      <c r="C146" s="28" t="n">
        <v>6.1</v>
      </c>
      <c r="D146" s="28" t="n">
        <v>2.8</v>
      </c>
      <c r="E146" s="28" t="n">
        <v>4</v>
      </c>
      <c r="F146" s="28" t="n">
        <v>1.3</v>
      </c>
      <c r="G146" s="35" t="n">
        <v>1</v>
      </c>
      <c r="H146" s="1" t="n">
        <f aca="false">IF(G146=P146, 1, 0)</f>
        <v>1</v>
      </c>
      <c r="I146" s="34" t="n">
        <f aca="false">I145-0.1*T145</f>
        <v>0.336803154089832</v>
      </c>
      <c r="J146" s="36" t="n">
        <f aca="false">J145-0.1*U145</f>
        <v>-0.12670646404024</v>
      </c>
      <c r="K146" s="36" t="n">
        <f aca="false">K145-0.1*V145</f>
        <v>-0.0914257689829015</v>
      </c>
      <c r="L146" s="36" t="n">
        <f aca="false">L145-0.1*W145</f>
        <v>0.684231691680464</v>
      </c>
      <c r="M146" s="36" t="n">
        <f aca="false">M145-0.1*X145</f>
        <v>0.62949624542334</v>
      </c>
      <c r="N146" s="31" t="n">
        <f aca="false">I146+J146*C146+K146*D146+L146*E146+F146*M146</f>
        <v>2.86317345606444</v>
      </c>
      <c r="O146" s="31" t="n">
        <f aca="false">1/(1+EXP(-N146))</f>
        <v>0.945995654301968</v>
      </c>
      <c r="P146" s="32" t="n">
        <f aca="false">IF(O146&gt;0.5,1,0)</f>
        <v>1</v>
      </c>
      <c r="Q146" s="32" t="n">
        <f aca="false">O146-G146</f>
        <v>-0.0540043456980325</v>
      </c>
      <c r="R146" s="33" t="n">
        <f aca="false">Q146^2</f>
        <v>0.0029164693542726</v>
      </c>
      <c r="T146" s="26" t="n">
        <f aca="false">2*(O146-G146)*(1-O146)*O146</f>
        <v>-0.00551793467009349</v>
      </c>
      <c r="U146" s="26" t="n">
        <f aca="false">2*(O146-G146)*(1-O146)*O146*C146</f>
        <v>-0.0336594014875703</v>
      </c>
      <c r="V146" s="26" t="n">
        <f aca="false">2*(O146-G146)*(1-O146)*O146*D146</f>
        <v>-0.0154502170762618</v>
      </c>
      <c r="W146" s="26" t="n">
        <f aca="false">2*(O146-G146)*(1-O146)*O146*E146</f>
        <v>-0.022071738680374</v>
      </c>
      <c r="X146" s="26" t="n">
        <f aca="false">2*(O146-G146)*(1-O146)*O146*F146</f>
        <v>-0.00717331507112153</v>
      </c>
    </row>
    <row r="147" customFormat="false" ht="14.25" hidden="false" customHeight="true" outlineLevel="0" collapsed="false">
      <c r="A147" s="37"/>
      <c r="B147" s="34" t="n">
        <v>63</v>
      </c>
      <c r="C147" s="28" t="n">
        <v>6.3</v>
      </c>
      <c r="D147" s="28" t="n">
        <v>2.5</v>
      </c>
      <c r="E147" s="28" t="n">
        <v>4.9</v>
      </c>
      <c r="F147" s="28" t="n">
        <v>1.5</v>
      </c>
      <c r="G147" s="35" t="n">
        <v>1</v>
      </c>
      <c r="H147" s="1" t="n">
        <f aca="false">IF(G147=P147, 1, 0)</f>
        <v>1</v>
      </c>
      <c r="I147" s="34" t="n">
        <f aca="false">I146-0.1*T146</f>
        <v>0.337354947556841</v>
      </c>
      <c r="J147" s="36" t="n">
        <f aca="false">J146-0.1*U146</f>
        <v>-0.123340523891483</v>
      </c>
      <c r="K147" s="36" t="n">
        <f aca="false">K146-0.1*V146</f>
        <v>-0.0898807472752753</v>
      </c>
      <c r="L147" s="36" t="n">
        <f aca="false">L146-0.1*W146</f>
        <v>0.686438865548501</v>
      </c>
      <c r="M147" s="36" t="n">
        <f aca="false">M146-0.1*X146</f>
        <v>0.630213576930452</v>
      </c>
      <c r="N147" s="31" t="n">
        <f aca="false">I147+J147*C147+K147*D147+L147*E147+F147*M147</f>
        <v>3.64447858543565</v>
      </c>
      <c r="O147" s="31" t="n">
        <f aca="false">1/(1+EXP(-N147))</f>
        <v>0.974530609874932</v>
      </c>
      <c r="P147" s="32" t="n">
        <f aca="false">IF(O147&gt;0.5,1,0)</f>
        <v>1</v>
      </c>
      <c r="Q147" s="32" t="n">
        <f aca="false">O147-G147</f>
        <v>-0.0254693901250683</v>
      </c>
      <c r="R147" s="33" t="n">
        <f aca="false">Q147^2</f>
        <v>0.000648689833342928</v>
      </c>
      <c r="T147" s="26" t="n">
        <f aca="false">2*(O147-G147)*(1-O147)*O147</f>
        <v>-0.0012643361978147</v>
      </c>
      <c r="U147" s="26" t="n">
        <f aca="false">2*(O147-G147)*(1-O147)*O147*C147</f>
        <v>-0.00796531804623263</v>
      </c>
      <c r="V147" s="26" t="n">
        <f aca="false">2*(O147-G147)*(1-O147)*O147*D147</f>
        <v>-0.00316084049453676</v>
      </c>
      <c r="W147" s="26" t="n">
        <f aca="false">2*(O147-G147)*(1-O147)*O147*E147</f>
        <v>-0.00619524736929204</v>
      </c>
      <c r="X147" s="26" t="n">
        <f aca="false">2*(O147-G147)*(1-O147)*O147*F147</f>
        <v>-0.00189650429672205</v>
      </c>
    </row>
    <row r="148" customFormat="false" ht="14.25" hidden="false" customHeight="true" outlineLevel="0" collapsed="false">
      <c r="A148" s="37"/>
      <c r="B148" s="34" t="n">
        <v>64</v>
      </c>
      <c r="C148" s="28" t="n">
        <v>6.1</v>
      </c>
      <c r="D148" s="28" t="n">
        <v>2.8</v>
      </c>
      <c r="E148" s="28" t="n">
        <v>4.7</v>
      </c>
      <c r="F148" s="28" t="n">
        <v>1.2</v>
      </c>
      <c r="G148" s="35" t="n">
        <v>1</v>
      </c>
      <c r="H148" s="1" t="n">
        <f aca="false">IF(G148=P148, 1, 0)</f>
        <v>1</v>
      </c>
      <c r="I148" s="34" t="n">
        <f aca="false">I147-0.1*T147</f>
        <v>0.337481381176622</v>
      </c>
      <c r="J148" s="36" t="n">
        <f aca="false">J147-0.1*U147</f>
        <v>-0.12254399208686</v>
      </c>
      <c r="K148" s="36" t="n">
        <f aca="false">K147-0.1*V147</f>
        <v>-0.0895646632258217</v>
      </c>
      <c r="L148" s="36" t="n">
        <f aca="false">L147-0.1*W147</f>
        <v>0.687058390285431</v>
      </c>
      <c r="M148" s="36" t="n">
        <f aca="false">M147-0.1*X147</f>
        <v>0.630403227360124</v>
      </c>
      <c r="N148" s="31" t="n">
        <f aca="false">I148+J148*C148+K148*D148+L148*E148+F148*M148</f>
        <v>3.32484027958815</v>
      </c>
      <c r="O148" s="31" t="n">
        <f aca="false">1/(1+EXP(-N148))</f>
        <v>0.965271216605866</v>
      </c>
      <c r="P148" s="32" t="n">
        <f aca="false">IF(O148&gt;0.5,1,0)</f>
        <v>1</v>
      </c>
      <c r="Q148" s="32" t="n">
        <f aca="false">O148-G148</f>
        <v>-0.0347287833941344</v>
      </c>
      <c r="R148" s="33" t="n">
        <f aca="false">Q148^2</f>
        <v>0.00120608839603671</v>
      </c>
      <c r="T148" s="26" t="n">
        <f aca="false">2*(O148-G148)*(1-O148)*O148</f>
        <v>-0.00232840482675314</v>
      </c>
      <c r="U148" s="26" t="n">
        <f aca="false">2*(O148-G148)*(1-O148)*O148*C148</f>
        <v>-0.0142032694431941</v>
      </c>
      <c r="V148" s="26" t="n">
        <f aca="false">2*(O148-G148)*(1-O148)*O148*D148</f>
        <v>-0.00651953351490879</v>
      </c>
      <c r="W148" s="26" t="n">
        <f aca="false">2*(O148-G148)*(1-O148)*O148*E148</f>
        <v>-0.0109435026857398</v>
      </c>
      <c r="X148" s="26" t="n">
        <f aca="false">2*(O148-G148)*(1-O148)*O148*F148</f>
        <v>-0.00279408579210377</v>
      </c>
    </row>
    <row r="149" customFormat="false" ht="14.25" hidden="false" customHeight="true" outlineLevel="0" collapsed="false">
      <c r="A149" s="37"/>
      <c r="B149" s="34" t="n">
        <v>65</v>
      </c>
      <c r="C149" s="28" t="n">
        <v>6.4</v>
      </c>
      <c r="D149" s="28" t="n">
        <v>2.9</v>
      </c>
      <c r="E149" s="28" t="n">
        <v>4.3</v>
      </c>
      <c r="F149" s="28" t="n">
        <v>1.3</v>
      </c>
      <c r="G149" s="35" t="n">
        <v>1</v>
      </c>
      <c r="H149" s="1" t="n">
        <f aca="false">IF(G149=P149, 1, 0)</f>
        <v>1</v>
      </c>
      <c r="I149" s="34" t="n">
        <f aca="false">I148-0.1*T148</f>
        <v>0.337714221659298</v>
      </c>
      <c r="J149" s="36" t="n">
        <f aca="false">J148-0.1*U148</f>
        <v>-0.12112366514254</v>
      </c>
      <c r="K149" s="36" t="n">
        <f aca="false">K148-0.1*V148</f>
        <v>-0.0889127098743308</v>
      </c>
      <c r="L149" s="36" t="n">
        <f aca="false">L148-0.1*W148</f>
        <v>0.688152740554004</v>
      </c>
      <c r="M149" s="36" t="n">
        <f aca="false">M148-0.1*X148</f>
        <v>0.630682635939335</v>
      </c>
      <c r="N149" s="31" t="n">
        <f aca="false">I149+J149*C149+K149*D149+L149*E149+F149*M149</f>
        <v>3.08362011721484</v>
      </c>
      <c r="O149" s="31" t="n">
        <f aca="false">1/(1+EXP(-N149))</f>
        <v>0.956212011668002</v>
      </c>
      <c r="P149" s="32" t="n">
        <f aca="false">IF(O149&gt;0.5,1,0)</f>
        <v>1</v>
      </c>
      <c r="Q149" s="32" t="n">
        <f aca="false">O149-G149</f>
        <v>-0.0437879883319984</v>
      </c>
      <c r="R149" s="33" t="n">
        <f aca="false">Q149^2</f>
        <v>0.00191738792216323</v>
      </c>
      <c r="T149" s="26" t="n">
        <f aca="false">2*(O149-G149)*(1-O149)*O149</f>
        <v>-0.00366685872439926</v>
      </c>
      <c r="U149" s="26" t="n">
        <f aca="false">2*(O149-G149)*(1-O149)*O149*C149</f>
        <v>-0.0234678958361552</v>
      </c>
      <c r="V149" s="26" t="n">
        <f aca="false">2*(O149-G149)*(1-O149)*O149*D149</f>
        <v>-0.0106338903007578</v>
      </c>
      <c r="W149" s="26" t="n">
        <f aca="false">2*(O149-G149)*(1-O149)*O149*E149</f>
        <v>-0.0157674925149168</v>
      </c>
      <c r="X149" s="26" t="n">
        <f aca="false">2*(O149-G149)*(1-O149)*O149*F149</f>
        <v>-0.00476691634171903</v>
      </c>
    </row>
    <row r="150" customFormat="false" ht="14.25" hidden="false" customHeight="true" outlineLevel="0" collapsed="false">
      <c r="A150" s="37"/>
      <c r="B150" s="34" t="n">
        <v>66</v>
      </c>
      <c r="C150" s="28" t="n">
        <v>6.6</v>
      </c>
      <c r="D150" s="28" t="n">
        <v>3</v>
      </c>
      <c r="E150" s="28" t="n">
        <v>4.4</v>
      </c>
      <c r="F150" s="28" t="n">
        <v>1.4</v>
      </c>
      <c r="G150" s="35" t="n">
        <v>1</v>
      </c>
      <c r="H150" s="1" t="n">
        <f aca="false">IF(G150=P150, 1, 0)</f>
        <v>1</v>
      </c>
      <c r="I150" s="34" t="n">
        <f aca="false">I149-0.1*T149</f>
        <v>0.338080907531738</v>
      </c>
      <c r="J150" s="36" t="n">
        <f aca="false">J149-0.1*U149</f>
        <v>-0.118776875558925</v>
      </c>
      <c r="K150" s="36" t="n">
        <f aca="false">K149-0.1*V149</f>
        <v>-0.087849320844255</v>
      </c>
      <c r="L150" s="36" t="n">
        <f aca="false">L149-0.1*W149</f>
        <v>0.689729489805496</v>
      </c>
      <c r="M150" s="36" t="n">
        <f aca="false">M149-0.1*X149</f>
        <v>0.631159327573507</v>
      </c>
      <c r="N150" s="31" t="n">
        <f aca="false">I150+J150*C150+K150*D150+L150*E150+F150*M150</f>
        <v>3.20903838005716</v>
      </c>
      <c r="O150" s="31" t="n">
        <f aca="false">1/(1+EXP(-N150))</f>
        <v>0.961172994304499</v>
      </c>
      <c r="P150" s="32" t="n">
        <f aca="false">IF(O150&gt;0.5,1,0)</f>
        <v>1</v>
      </c>
      <c r="Q150" s="32" t="n">
        <f aca="false">O150-G150</f>
        <v>-0.0388270056955006</v>
      </c>
      <c r="R150" s="33" t="n">
        <f aca="false">Q150^2</f>
        <v>0.00150753637127843</v>
      </c>
      <c r="T150" s="26" t="n">
        <f aca="false">2*(O150-G150)*(1-O150)*O150</f>
        <v>-0.00289800649600926</v>
      </c>
      <c r="U150" s="26" t="n">
        <f aca="false">2*(O150-G150)*(1-O150)*O150*C150</f>
        <v>-0.0191268428736611</v>
      </c>
      <c r="V150" s="26" t="n">
        <f aca="false">2*(O150-G150)*(1-O150)*O150*D150</f>
        <v>-0.00869401948802779</v>
      </c>
      <c r="W150" s="26" t="n">
        <f aca="false">2*(O150-G150)*(1-O150)*O150*E150</f>
        <v>-0.0127512285824408</v>
      </c>
      <c r="X150" s="26" t="n">
        <f aca="false">2*(O150-G150)*(1-O150)*O150*F150</f>
        <v>-0.00405720909441297</v>
      </c>
    </row>
    <row r="151" customFormat="false" ht="14.25" hidden="false" customHeight="true" outlineLevel="0" collapsed="false">
      <c r="A151" s="37"/>
      <c r="B151" s="34" t="n">
        <v>67</v>
      </c>
      <c r="C151" s="28" t="n">
        <v>6.8</v>
      </c>
      <c r="D151" s="28" t="n">
        <v>2.8</v>
      </c>
      <c r="E151" s="28" t="n">
        <v>4.8</v>
      </c>
      <c r="F151" s="28" t="n">
        <v>1.4</v>
      </c>
      <c r="G151" s="35" t="n">
        <v>1</v>
      </c>
      <c r="H151" s="1" t="n">
        <f aca="false">IF(G151=P151, 1, 0)</f>
        <v>1</v>
      </c>
      <c r="I151" s="34" t="n">
        <f aca="false">I150-0.1*T150</f>
        <v>0.338370708181339</v>
      </c>
      <c r="J151" s="36" t="n">
        <f aca="false">J150-0.1*U150</f>
        <v>-0.116864191271559</v>
      </c>
      <c r="K151" s="36" t="n">
        <f aca="false">K150-0.1*V150</f>
        <v>-0.0869799188954522</v>
      </c>
      <c r="L151" s="36" t="n">
        <f aca="false">L150-0.1*W150</f>
        <v>0.69100461266374</v>
      </c>
      <c r="M151" s="36" t="n">
        <f aca="false">M150-0.1*X150</f>
        <v>0.631565048482948</v>
      </c>
      <c r="N151" s="31" t="n">
        <f aca="false">I151+J151*C151+K151*D151+L151*E151+F151*M151</f>
        <v>3.50116364328955</v>
      </c>
      <c r="O151" s="31" t="n">
        <f aca="false">1/(1+EXP(-N151))</f>
        <v>0.970720860290832</v>
      </c>
      <c r="P151" s="32" t="n">
        <f aca="false">IF(O151&gt;0.5,1,0)</f>
        <v>1</v>
      </c>
      <c r="Q151" s="32" t="n">
        <f aca="false">O151-G151</f>
        <v>-0.029279139709168</v>
      </c>
      <c r="R151" s="33" t="n">
        <f aca="false">Q151^2</f>
        <v>0.000857268022108976</v>
      </c>
      <c r="T151" s="26" t="n">
        <f aca="false">2*(O151-G151)*(1-O151)*O151</f>
        <v>-0.00166433590384289</v>
      </c>
      <c r="U151" s="26" t="n">
        <f aca="false">2*(O151-G151)*(1-O151)*O151*C151</f>
        <v>-0.0113174841461317</v>
      </c>
      <c r="V151" s="26" t="n">
        <f aca="false">2*(O151-G151)*(1-O151)*O151*D151</f>
        <v>-0.00466014053076009</v>
      </c>
      <c r="W151" s="26" t="n">
        <f aca="false">2*(O151-G151)*(1-O151)*O151*E151</f>
        <v>-0.00798881233844587</v>
      </c>
      <c r="X151" s="26" t="n">
        <f aca="false">2*(O151-G151)*(1-O151)*O151*F151</f>
        <v>-0.00233007026538005</v>
      </c>
    </row>
    <row r="152" customFormat="false" ht="14.25" hidden="false" customHeight="true" outlineLevel="0" collapsed="false">
      <c r="A152" s="37"/>
      <c r="B152" s="34" t="n">
        <v>68</v>
      </c>
      <c r="C152" s="28" t="n">
        <v>6.7</v>
      </c>
      <c r="D152" s="28" t="n">
        <v>3</v>
      </c>
      <c r="E152" s="28" t="n">
        <v>5</v>
      </c>
      <c r="F152" s="28" t="n">
        <v>1.7</v>
      </c>
      <c r="G152" s="35" t="n">
        <v>1</v>
      </c>
      <c r="H152" s="1" t="n">
        <f aca="false">IF(G152=P152, 1, 0)</f>
        <v>1</v>
      </c>
      <c r="I152" s="34" t="n">
        <f aca="false">I151-0.1*T151</f>
        <v>0.338537141771723</v>
      </c>
      <c r="J152" s="36" t="n">
        <f aca="false">J151-0.1*U151</f>
        <v>-0.115732442856945</v>
      </c>
      <c r="K152" s="36" t="n">
        <f aca="false">K151-0.1*V151</f>
        <v>-0.0865139048423762</v>
      </c>
      <c r="L152" s="36" t="n">
        <f aca="false">L151-0.1*W151</f>
        <v>0.691803493897585</v>
      </c>
      <c r="M152" s="36" t="n">
        <f aca="false">M151-0.1*X151</f>
        <v>0.631798055509486</v>
      </c>
      <c r="N152" s="31" t="n">
        <f aca="false">I152+J152*C152+K152*D152+L152*E152+F152*M152</f>
        <v>3.83666222395711</v>
      </c>
      <c r="O152" s="31" t="n">
        <f aca="false">1/(1+EXP(-N152))</f>
        <v>0.978889789411503</v>
      </c>
      <c r="P152" s="32" t="n">
        <f aca="false">IF(O152&gt;0.5,1,0)</f>
        <v>1</v>
      </c>
      <c r="Q152" s="32" t="n">
        <f aca="false">O152-G152</f>
        <v>-0.0211102105884974</v>
      </c>
      <c r="R152" s="33" t="n">
        <f aca="false">Q152^2</f>
        <v>0.000445640991090707</v>
      </c>
      <c r="T152" s="26" t="n">
        <f aca="false">2*(O152-G152)*(1-O152)*O152</f>
        <v>-0.000872466831843831</v>
      </c>
      <c r="U152" s="26" t="n">
        <f aca="false">2*(O152-G152)*(1-O152)*O152*C152</f>
        <v>-0.00584552777335367</v>
      </c>
      <c r="V152" s="26" t="n">
        <f aca="false">2*(O152-G152)*(1-O152)*O152*D152</f>
        <v>-0.00261740049553149</v>
      </c>
      <c r="W152" s="26" t="n">
        <f aca="false">2*(O152-G152)*(1-O152)*O152*E152</f>
        <v>-0.00436233415921915</v>
      </c>
      <c r="X152" s="26" t="n">
        <f aca="false">2*(O152-G152)*(1-O152)*O152*F152</f>
        <v>-0.00148319361413451</v>
      </c>
    </row>
    <row r="153" customFormat="false" ht="14.25" hidden="false" customHeight="true" outlineLevel="0" collapsed="false">
      <c r="A153" s="37"/>
      <c r="B153" s="34" t="n">
        <v>69</v>
      </c>
      <c r="C153" s="28" t="n">
        <v>6</v>
      </c>
      <c r="D153" s="28" t="n">
        <v>2.9</v>
      </c>
      <c r="E153" s="28" t="n">
        <v>4.5</v>
      </c>
      <c r="F153" s="28" t="n">
        <v>1.5</v>
      </c>
      <c r="G153" s="35" t="n">
        <v>1</v>
      </c>
      <c r="H153" s="1" t="n">
        <f aca="false">IF(G153=P153, 1, 0)</f>
        <v>1</v>
      </c>
      <c r="I153" s="34" t="n">
        <f aca="false">I152-0.1*T152</f>
        <v>0.338624388454907</v>
      </c>
      <c r="J153" s="36" t="n">
        <f aca="false">J152-0.1*U152</f>
        <v>-0.11514789007961</v>
      </c>
      <c r="K153" s="36" t="n">
        <f aca="false">K152-0.1*V152</f>
        <v>-0.0862521647928231</v>
      </c>
      <c r="L153" s="36" t="n">
        <f aca="false">L152-0.1*W152</f>
        <v>0.692239727313507</v>
      </c>
      <c r="M153" s="36" t="n">
        <f aca="false">M152-0.1*X152</f>
        <v>0.631946374870899</v>
      </c>
      <c r="N153" s="31" t="n">
        <f aca="false">I153+J153*C153+K153*D153+L153*E153+F153*M153</f>
        <v>3.46060410529519</v>
      </c>
      <c r="O153" s="31" t="n">
        <f aca="false">1/(1+EXP(-N153))</f>
        <v>0.969545809051755</v>
      </c>
      <c r="P153" s="32" t="n">
        <f aca="false">IF(O153&gt;0.5,1,0)</f>
        <v>1</v>
      </c>
      <c r="Q153" s="32" t="n">
        <f aca="false">O153-G153</f>
        <v>-0.0304541909482455</v>
      </c>
      <c r="R153" s="33" t="n">
        <f aca="false">Q153^2</f>
        <v>0.0009274577463122</v>
      </c>
      <c r="T153" s="26" t="n">
        <f aca="false">2*(O153-G153)*(1-O153)*O153</f>
        <v>-0.00179842554201916</v>
      </c>
      <c r="U153" s="26" t="n">
        <f aca="false">2*(O153-G153)*(1-O153)*O153*C153</f>
        <v>-0.0107905532521149</v>
      </c>
      <c r="V153" s="26" t="n">
        <f aca="false">2*(O153-G153)*(1-O153)*O153*D153</f>
        <v>-0.00521543407185556</v>
      </c>
      <c r="W153" s="26" t="n">
        <f aca="false">2*(O153-G153)*(1-O153)*O153*E153</f>
        <v>-0.00809291493908621</v>
      </c>
      <c r="X153" s="26" t="n">
        <f aca="false">2*(O153-G153)*(1-O153)*O153*F153</f>
        <v>-0.00269763831302874</v>
      </c>
    </row>
    <row r="154" customFormat="false" ht="14.25" hidden="false" customHeight="true" outlineLevel="0" collapsed="false">
      <c r="A154" s="37"/>
      <c r="B154" s="34" t="n">
        <v>70</v>
      </c>
      <c r="C154" s="28" t="n">
        <v>5.7</v>
      </c>
      <c r="D154" s="28" t="n">
        <v>2.6</v>
      </c>
      <c r="E154" s="28" t="n">
        <v>3.5</v>
      </c>
      <c r="F154" s="28" t="n">
        <v>1</v>
      </c>
      <c r="G154" s="35" t="n">
        <v>1</v>
      </c>
      <c r="H154" s="1" t="n">
        <f aca="false">IF(G154=P154, 1, 0)</f>
        <v>1</v>
      </c>
      <c r="I154" s="34" t="n">
        <f aca="false">I153-0.1*T153</f>
        <v>0.338804231009109</v>
      </c>
      <c r="J154" s="36" t="n">
        <f aca="false">J153-0.1*U153</f>
        <v>-0.114068834754399</v>
      </c>
      <c r="K154" s="36" t="n">
        <f aca="false">K153-0.1*V153</f>
        <v>-0.0857306213856375</v>
      </c>
      <c r="L154" s="36" t="n">
        <f aca="false">L153-0.1*W153</f>
        <v>0.693049018807415</v>
      </c>
      <c r="M154" s="36" t="n">
        <f aca="false">M153-0.1*X153</f>
        <v>0.632216138702202</v>
      </c>
      <c r="N154" s="31" t="n">
        <f aca="false">I154+J154*C154+K154*D154+L154*E154+F154*M154</f>
        <v>2.52359996183454</v>
      </c>
      <c r="O154" s="31" t="n">
        <f aca="false">1/(1+EXP(-N154))</f>
        <v>0.925779793318698</v>
      </c>
      <c r="P154" s="32" t="n">
        <f aca="false">IF(O154&gt;0.5,1,0)</f>
        <v>1</v>
      </c>
      <c r="Q154" s="32" t="n">
        <f aca="false">O154-G154</f>
        <v>-0.0742202066813023</v>
      </c>
      <c r="R154" s="33" t="n">
        <f aca="false">Q154^2</f>
        <v>0.00550863907981522</v>
      </c>
      <c r="T154" s="26" t="n">
        <f aca="false">2*(O154-G154)*(1-O154)*O154</f>
        <v>-0.0101995734975573</v>
      </c>
      <c r="U154" s="26" t="n">
        <f aca="false">2*(O154-G154)*(1-O154)*O154*C154</f>
        <v>-0.0581375689360765</v>
      </c>
      <c r="V154" s="26" t="n">
        <f aca="false">2*(O154-G154)*(1-O154)*O154*D154</f>
        <v>-0.0265188910936489</v>
      </c>
      <c r="W154" s="26" t="n">
        <f aca="false">2*(O154-G154)*(1-O154)*O154*E154</f>
        <v>-0.0356985072414505</v>
      </c>
      <c r="X154" s="26" t="n">
        <f aca="false">2*(O154-G154)*(1-O154)*O154*F154</f>
        <v>-0.0101995734975573</v>
      </c>
    </row>
    <row r="155" customFormat="false" ht="14.25" hidden="false" customHeight="true" outlineLevel="0" collapsed="false">
      <c r="A155" s="37"/>
      <c r="B155" s="34" t="n">
        <v>71</v>
      </c>
      <c r="C155" s="28" t="n">
        <v>5.5</v>
      </c>
      <c r="D155" s="28" t="n">
        <v>2.4</v>
      </c>
      <c r="E155" s="28" t="n">
        <v>3.8</v>
      </c>
      <c r="F155" s="28" t="n">
        <v>1.1</v>
      </c>
      <c r="G155" s="35" t="n">
        <v>1</v>
      </c>
      <c r="H155" s="1" t="n">
        <f aca="false">IF(G155=P155, 1, 0)</f>
        <v>1</v>
      </c>
      <c r="I155" s="34" t="n">
        <f aca="false">I154-0.1*T154</f>
        <v>0.339824188358865</v>
      </c>
      <c r="J155" s="36" t="n">
        <f aca="false">J154-0.1*U154</f>
        <v>-0.108255077860791</v>
      </c>
      <c r="K155" s="36" t="n">
        <f aca="false">K154-0.1*V154</f>
        <v>-0.0830787322762726</v>
      </c>
      <c r="L155" s="36" t="n">
        <f aca="false">L154-0.1*W154</f>
        <v>0.69661886953156</v>
      </c>
      <c r="M155" s="36" t="n">
        <f aca="false">M154-0.1*X154</f>
        <v>0.633236096051958</v>
      </c>
      <c r="N155" s="31" t="n">
        <f aca="false">I155+J155*C155+K155*D155+L155*E155+F155*M155</f>
        <v>2.88874371253854</v>
      </c>
      <c r="O155" s="31" t="n">
        <f aca="false">1/(1+EXP(-N155))</f>
        <v>0.947287185126684</v>
      </c>
      <c r="P155" s="32" t="n">
        <f aca="false">IF(O155&gt;0.5,1,0)</f>
        <v>1</v>
      </c>
      <c r="Q155" s="32" t="n">
        <f aca="false">O155-G155</f>
        <v>-0.0527128148733156</v>
      </c>
      <c r="R155" s="33" t="n">
        <f aca="false">Q155^2</f>
        <v>0.00277864085186844</v>
      </c>
      <c r="T155" s="26" t="n">
        <f aca="false">2*(O155-G155)*(1-O155)*O155</f>
        <v>-0.00526434174208894</v>
      </c>
      <c r="U155" s="26" t="n">
        <f aca="false">2*(O155-G155)*(1-O155)*O155*C155</f>
        <v>-0.0289538795814891</v>
      </c>
      <c r="V155" s="26" t="n">
        <f aca="false">2*(O155-G155)*(1-O155)*O155*D155</f>
        <v>-0.0126344201810134</v>
      </c>
      <c r="W155" s="26" t="n">
        <f aca="false">2*(O155-G155)*(1-O155)*O155*E155</f>
        <v>-0.020004498619938</v>
      </c>
      <c r="X155" s="26" t="n">
        <f aca="false">2*(O155-G155)*(1-O155)*O155*F155</f>
        <v>-0.00579077591629783</v>
      </c>
    </row>
    <row r="156" customFormat="false" ht="14.25" hidden="false" customHeight="true" outlineLevel="0" collapsed="false">
      <c r="A156" s="37"/>
      <c r="B156" s="34" t="n">
        <v>72</v>
      </c>
      <c r="C156" s="28" t="n">
        <v>5.5</v>
      </c>
      <c r="D156" s="28" t="n">
        <v>2.4</v>
      </c>
      <c r="E156" s="28" t="n">
        <v>3.7</v>
      </c>
      <c r="F156" s="28" t="n">
        <v>1</v>
      </c>
      <c r="G156" s="35" t="n">
        <v>1</v>
      </c>
      <c r="H156" s="1" t="n">
        <f aca="false">IF(G156=P156, 1, 0)</f>
        <v>1</v>
      </c>
      <c r="I156" s="34" t="n">
        <f aca="false">I155-0.1*T155</f>
        <v>0.340350622533074</v>
      </c>
      <c r="J156" s="36" t="n">
        <f aca="false">J155-0.1*U155</f>
        <v>-0.105359689902642</v>
      </c>
      <c r="K156" s="36" t="n">
        <f aca="false">K155-0.1*V155</f>
        <v>-0.0818152902581713</v>
      </c>
      <c r="L156" s="36" t="n">
        <f aca="false">L155-0.1*W155</f>
        <v>0.698619319393554</v>
      </c>
      <c r="M156" s="36" t="n">
        <f aca="false">M155-0.1*X155</f>
        <v>0.633815173643588</v>
      </c>
      <c r="N156" s="31" t="n">
        <f aca="false">I156+J156*C156+K156*D156+L156*E156+F156*M156</f>
        <v>2.78322228684867</v>
      </c>
      <c r="O156" s="31" t="n">
        <f aca="false">1/(1+EXP(-N156))</f>
        <v>0.941762425647893</v>
      </c>
      <c r="P156" s="32" t="n">
        <f aca="false">IF(O156&gt;0.5,1,0)</f>
        <v>1</v>
      </c>
      <c r="Q156" s="32" t="n">
        <f aca="false">O156-G156</f>
        <v>-0.0582375743521074</v>
      </c>
      <c r="R156" s="33" t="n">
        <f aca="false">Q156^2</f>
        <v>0.00339161506641724</v>
      </c>
      <c r="T156" s="26" t="n">
        <f aca="false">2*(O156-G156)*(1-O156)*O156</f>
        <v>-0.00638819126362608</v>
      </c>
      <c r="U156" s="26" t="n">
        <f aca="false">2*(O156-G156)*(1-O156)*O156*C156</f>
        <v>-0.0351350519499434</v>
      </c>
      <c r="V156" s="26" t="n">
        <f aca="false">2*(O156-G156)*(1-O156)*O156*D156</f>
        <v>-0.0153316590327026</v>
      </c>
      <c r="W156" s="26" t="n">
        <f aca="false">2*(O156-G156)*(1-O156)*O156*E156</f>
        <v>-0.0236363076754165</v>
      </c>
      <c r="X156" s="26" t="n">
        <f aca="false">2*(O156-G156)*(1-O156)*O156*F156</f>
        <v>-0.00638819126362608</v>
      </c>
    </row>
    <row r="157" customFormat="false" ht="14.25" hidden="false" customHeight="true" outlineLevel="0" collapsed="false">
      <c r="A157" s="37"/>
      <c r="B157" s="34" t="n">
        <v>73</v>
      </c>
      <c r="C157" s="28" t="n">
        <v>5.8</v>
      </c>
      <c r="D157" s="28" t="n">
        <v>2.7</v>
      </c>
      <c r="E157" s="28" t="n">
        <v>3.9</v>
      </c>
      <c r="F157" s="28" t="n">
        <v>1.2</v>
      </c>
      <c r="G157" s="35" t="n">
        <v>1</v>
      </c>
      <c r="H157" s="1" t="n">
        <f aca="false">IF(G157=P157, 1, 0)</f>
        <v>1</v>
      </c>
      <c r="I157" s="34" t="n">
        <f aca="false">I156-0.1*T156</f>
        <v>0.340989441659436</v>
      </c>
      <c r="J157" s="36" t="n">
        <f aca="false">J156-0.1*U156</f>
        <v>-0.101846184707648</v>
      </c>
      <c r="K157" s="36" t="n">
        <f aca="false">K156-0.1*V156</f>
        <v>-0.080282124354901</v>
      </c>
      <c r="L157" s="36" t="n">
        <f aca="false">L156-0.1*W156</f>
        <v>0.700982950161096</v>
      </c>
      <c r="M157" s="36" t="n">
        <f aca="false">M156-0.1*X156</f>
        <v>0.63445399276995</v>
      </c>
      <c r="N157" s="31" t="n">
        <f aca="false">I157+J157*C157+K157*D157+L157*E157+F157*M157</f>
        <v>3.02869813154906</v>
      </c>
      <c r="O157" s="31" t="n">
        <f aca="false">1/(1+EXP(-N157))</f>
        <v>0.953853902941121</v>
      </c>
      <c r="P157" s="32" t="n">
        <f aca="false">IF(O157&gt;0.5,1,0)</f>
        <v>1</v>
      </c>
      <c r="Q157" s="32" t="n">
        <f aca="false">O157-G157</f>
        <v>-0.0461460970588793</v>
      </c>
      <c r="R157" s="33" t="n">
        <f aca="false">Q157^2</f>
        <v>0.00212946227376751</v>
      </c>
      <c r="T157" s="26" t="n">
        <f aca="false">2*(O157-G157)*(1-O157)*O157</f>
        <v>-0.00406239180199802</v>
      </c>
      <c r="U157" s="26" t="n">
        <f aca="false">2*(O157-G157)*(1-O157)*O157*C157</f>
        <v>-0.0235618724515885</v>
      </c>
      <c r="V157" s="26" t="n">
        <f aca="false">2*(O157-G157)*(1-O157)*O157*D157</f>
        <v>-0.0109684578653947</v>
      </c>
      <c r="W157" s="26" t="n">
        <f aca="false">2*(O157-G157)*(1-O157)*O157*E157</f>
        <v>-0.0158433280277923</v>
      </c>
      <c r="X157" s="26" t="n">
        <f aca="false">2*(O157-G157)*(1-O157)*O157*F157</f>
        <v>-0.00487487016239763</v>
      </c>
    </row>
    <row r="158" customFormat="false" ht="14.25" hidden="false" customHeight="true" outlineLevel="0" collapsed="false">
      <c r="A158" s="37"/>
      <c r="B158" s="34" t="n">
        <v>74</v>
      </c>
      <c r="C158" s="28" t="n">
        <v>6</v>
      </c>
      <c r="D158" s="28" t="n">
        <v>2.7</v>
      </c>
      <c r="E158" s="28" t="n">
        <v>5.1</v>
      </c>
      <c r="F158" s="28" t="n">
        <v>1.6</v>
      </c>
      <c r="G158" s="35" t="n">
        <v>1</v>
      </c>
      <c r="H158" s="1" t="n">
        <f aca="false">IF(G158=P158, 1, 0)</f>
        <v>1</v>
      </c>
      <c r="I158" s="34" t="n">
        <f aca="false">I157-0.1*T157</f>
        <v>0.341395680839636</v>
      </c>
      <c r="J158" s="36" t="n">
        <f aca="false">J157-0.1*U157</f>
        <v>-0.0994899974624889</v>
      </c>
      <c r="K158" s="36" t="n">
        <f aca="false">K157-0.1*V157</f>
        <v>-0.0791852785683615</v>
      </c>
      <c r="L158" s="36" t="n">
        <f aca="false">L157-0.1*W157</f>
        <v>0.702567282963875</v>
      </c>
      <c r="M158" s="36" t="n">
        <f aca="false">M157-0.1*X157</f>
        <v>0.63494147978619</v>
      </c>
      <c r="N158" s="31" t="n">
        <f aca="false">I158+J158*C158+K158*D158+L158*E158+F158*M158</f>
        <v>4.12965495470379</v>
      </c>
      <c r="O158" s="31" t="n">
        <f aca="false">1/(1+EXP(-N158))</f>
        <v>0.984166310095676</v>
      </c>
      <c r="P158" s="32" t="n">
        <f aca="false">IF(O158&gt;0.5,1,0)</f>
        <v>1</v>
      </c>
      <c r="Q158" s="32" t="n">
        <f aca="false">O158-G158</f>
        <v>-0.0158336899043242</v>
      </c>
      <c r="R158" s="33" t="n">
        <f aca="false">Q158^2</f>
        <v>0.000250705735986298</v>
      </c>
      <c r="T158" s="26" t="n">
        <f aca="false">2*(O158-G158)*(1-O158)*O158</f>
        <v>-0.000493472278210912</v>
      </c>
      <c r="U158" s="26" t="n">
        <f aca="false">2*(O158-G158)*(1-O158)*O158*C158</f>
        <v>-0.00296083366926547</v>
      </c>
      <c r="V158" s="26" t="n">
        <f aca="false">2*(O158-G158)*(1-O158)*O158*D158</f>
        <v>-0.00133237515116946</v>
      </c>
      <c r="W158" s="26" t="n">
        <f aca="false">2*(O158-G158)*(1-O158)*O158*E158</f>
        <v>-0.00251670861887565</v>
      </c>
      <c r="X158" s="26" t="n">
        <f aca="false">2*(O158-G158)*(1-O158)*O158*F158</f>
        <v>-0.000789555645137459</v>
      </c>
    </row>
    <row r="159" customFormat="false" ht="14.25" hidden="false" customHeight="true" outlineLevel="0" collapsed="false">
      <c r="A159" s="37"/>
      <c r="B159" s="34" t="n">
        <v>75</v>
      </c>
      <c r="C159" s="28" t="n">
        <v>5.4</v>
      </c>
      <c r="D159" s="28" t="n">
        <v>3</v>
      </c>
      <c r="E159" s="28" t="n">
        <v>4.5</v>
      </c>
      <c r="F159" s="28" t="n">
        <v>1.5</v>
      </c>
      <c r="G159" s="35" t="n">
        <v>1</v>
      </c>
      <c r="H159" s="1" t="n">
        <f aca="false">IF(G159=P159, 1, 0)</f>
        <v>1</v>
      </c>
      <c r="I159" s="34" t="n">
        <f aca="false">I158-0.1*T158</f>
        <v>0.341445028067457</v>
      </c>
      <c r="J159" s="36" t="n">
        <f aca="false">J158-0.1*U158</f>
        <v>-0.0991939140955623</v>
      </c>
      <c r="K159" s="36" t="n">
        <f aca="false">K158-0.1*V158</f>
        <v>-0.0790520410532446</v>
      </c>
      <c r="L159" s="36" t="n">
        <f aca="false">L158-0.1*W158</f>
        <v>0.702818953825763</v>
      </c>
      <c r="M159" s="36" t="n">
        <f aca="false">M158-0.1*X158</f>
        <v>0.635020435350704</v>
      </c>
      <c r="N159" s="31" t="n">
        <f aca="false">I159+J159*C159+K159*D159+L159*E159+F159*M159</f>
        <v>3.68385771403368</v>
      </c>
      <c r="O159" s="31" t="n">
        <f aca="false">1/(1+EXP(-N159))</f>
        <v>0.975489976155674</v>
      </c>
      <c r="P159" s="32" t="n">
        <f aca="false">IF(O159&gt;0.5,1,0)</f>
        <v>1</v>
      </c>
      <c r="Q159" s="32" t="n">
        <f aca="false">O159-G159</f>
        <v>-0.0245100238443258</v>
      </c>
      <c r="R159" s="33" t="n">
        <f aca="false">Q159^2</f>
        <v>0.000600741268849418</v>
      </c>
      <c r="T159" s="26" t="n">
        <f aca="false">2*(O159-G159)*(1-O159)*O159</f>
        <v>-0.0011720341720513</v>
      </c>
      <c r="U159" s="26" t="n">
        <f aca="false">2*(O159-G159)*(1-O159)*O159*C159</f>
        <v>-0.006328984529077</v>
      </c>
      <c r="V159" s="26" t="n">
        <f aca="false">2*(O159-G159)*(1-O159)*O159*D159</f>
        <v>-0.00351610251615389</v>
      </c>
      <c r="W159" s="26" t="n">
        <f aca="false">2*(O159-G159)*(1-O159)*O159*E159</f>
        <v>-0.00527415377423083</v>
      </c>
      <c r="X159" s="26" t="n">
        <f aca="false">2*(O159-G159)*(1-O159)*O159*F159</f>
        <v>-0.00175805125807694</v>
      </c>
    </row>
    <row r="160" customFormat="false" ht="14.25" hidden="false" customHeight="true" outlineLevel="0" collapsed="false">
      <c r="A160" s="37"/>
      <c r="B160" s="34" t="n">
        <v>76</v>
      </c>
      <c r="C160" s="28" t="n">
        <v>6</v>
      </c>
      <c r="D160" s="28" t="n">
        <v>3.4</v>
      </c>
      <c r="E160" s="28" t="n">
        <v>4.5</v>
      </c>
      <c r="F160" s="28" t="n">
        <v>1.6</v>
      </c>
      <c r="G160" s="35" t="n">
        <v>1</v>
      </c>
      <c r="H160" s="1" t="n">
        <f aca="false">IF(G160=P160, 1, 0)</f>
        <v>1</v>
      </c>
      <c r="I160" s="34" t="n">
        <f aca="false">I159-0.1*T159</f>
        <v>0.341562231484662</v>
      </c>
      <c r="J160" s="36" t="n">
        <f aca="false">J159-0.1*U159</f>
        <v>-0.0985610156426546</v>
      </c>
      <c r="K160" s="36" t="n">
        <f aca="false">K159-0.1*V159</f>
        <v>-0.0787004308016292</v>
      </c>
      <c r="L160" s="36" t="n">
        <f aca="false">L159-0.1*W159</f>
        <v>0.703346369203186</v>
      </c>
      <c r="M160" s="36" t="n">
        <f aca="false">M159-0.1*X159</f>
        <v>0.635196240476512</v>
      </c>
      <c r="N160" s="31" t="n">
        <f aca="false">I160+J160*C160+K160*D160+L160*E160+F160*M160</f>
        <v>3.66398731907995</v>
      </c>
      <c r="O160" s="31" t="n">
        <f aca="false">1/(1+EXP(-N160))</f>
        <v>0.975010373680504</v>
      </c>
      <c r="P160" s="32" t="n">
        <f aca="false">IF(O160&gt;0.5,1,0)</f>
        <v>1</v>
      </c>
      <c r="Q160" s="32" t="n">
        <f aca="false">O160-G160</f>
        <v>-0.0249896263194958</v>
      </c>
      <c r="R160" s="33" t="n">
        <f aca="false">Q160^2</f>
        <v>0.000624481423588035</v>
      </c>
      <c r="T160" s="26" t="n">
        <f aca="false">2*(O160-G160)*(1-O160)*O160</f>
        <v>-0.00121775173233821</v>
      </c>
      <c r="U160" s="26" t="n">
        <f aca="false">2*(O160-G160)*(1-O160)*O160*C160</f>
        <v>-0.00730651039402924</v>
      </c>
      <c r="V160" s="26" t="n">
        <f aca="false">2*(O160-G160)*(1-O160)*O160*D160</f>
        <v>-0.0041403558899499</v>
      </c>
      <c r="W160" s="26" t="n">
        <f aca="false">2*(O160-G160)*(1-O160)*O160*E160</f>
        <v>-0.00547988279552193</v>
      </c>
      <c r="X160" s="26" t="n">
        <f aca="false">2*(O160-G160)*(1-O160)*O160*F160</f>
        <v>-0.00194840277174113</v>
      </c>
    </row>
    <row r="161" customFormat="false" ht="14.25" hidden="false" customHeight="true" outlineLevel="0" collapsed="false">
      <c r="A161" s="37"/>
      <c r="B161" s="34" t="n">
        <v>77</v>
      </c>
      <c r="C161" s="28" t="n">
        <v>6.7</v>
      </c>
      <c r="D161" s="28" t="n">
        <v>3.1</v>
      </c>
      <c r="E161" s="28" t="n">
        <v>4.7</v>
      </c>
      <c r="F161" s="28" t="n">
        <v>1.5</v>
      </c>
      <c r="G161" s="35" t="n">
        <v>1</v>
      </c>
      <c r="H161" s="1" t="n">
        <f aca="false">IF(G161=P161, 1, 0)</f>
        <v>1</v>
      </c>
      <c r="I161" s="34" t="n">
        <f aca="false">I160-0.1*T160</f>
        <v>0.341684006657896</v>
      </c>
      <c r="J161" s="36" t="n">
        <f aca="false">J160-0.1*U160</f>
        <v>-0.0978303646032517</v>
      </c>
      <c r="K161" s="36" t="n">
        <f aca="false">K160-0.1*V160</f>
        <v>-0.0782863952126342</v>
      </c>
      <c r="L161" s="36" t="n">
        <f aca="false">L160-0.1*W160</f>
        <v>0.703894357482738</v>
      </c>
      <c r="M161" s="36" t="n">
        <f aca="false">M160-0.1*X160</f>
        <v>0.635391080753686</v>
      </c>
      <c r="N161" s="31" t="n">
        <f aca="false">I161+J161*C161+K161*D161+L161*E161+F161*M161</f>
        <v>3.70492283995634</v>
      </c>
      <c r="O161" s="31" t="n">
        <f aca="false">1/(1+EXP(-N161))</f>
        <v>0.975988615268048</v>
      </c>
      <c r="P161" s="32" t="n">
        <f aca="false">IF(O161&gt;0.5,1,0)</f>
        <v>1</v>
      </c>
      <c r="Q161" s="32" t="n">
        <f aca="false">O161-G161</f>
        <v>-0.0240113847319524</v>
      </c>
      <c r="R161" s="33" t="n">
        <f aca="false">Q161^2</f>
        <v>0.000576546596745837</v>
      </c>
      <c r="T161" s="26" t="n">
        <f aca="false">2*(O161-G161)*(1-O161)*O161</f>
        <v>-0.00112540582919095</v>
      </c>
      <c r="U161" s="26" t="n">
        <f aca="false">2*(O161-G161)*(1-O161)*O161*C161</f>
        <v>-0.00754021905557937</v>
      </c>
      <c r="V161" s="26" t="n">
        <f aca="false">2*(O161-G161)*(1-O161)*O161*D161</f>
        <v>-0.00348875807049195</v>
      </c>
      <c r="W161" s="26" t="n">
        <f aca="false">2*(O161-G161)*(1-O161)*O161*E161</f>
        <v>-0.00528940739719747</v>
      </c>
      <c r="X161" s="26" t="n">
        <f aca="false">2*(O161-G161)*(1-O161)*O161*F161</f>
        <v>-0.00168810874378643</v>
      </c>
    </row>
    <row r="162" customFormat="false" ht="14.25" hidden="false" customHeight="true" outlineLevel="0" collapsed="false">
      <c r="A162" s="37"/>
      <c r="B162" s="34" t="n">
        <v>78</v>
      </c>
      <c r="C162" s="28" t="n">
        <v>6.3</v>
      </c>
      <c r="D162" s="28" t="n">
        <v>2.3</v>
      </c>
      <c r="E162" s="28" t="n">
        <v>4.4</v>
      </c>
      <c r="F162" s="28" t="n">
        <v>1.3</v>
      </c>
      <c r="G162" s="35" t="n">
        <v>1</v>
      </c>
      <c r="H162" s="1" t="n">
        <f aca="false">IF(G162=P162, 1, 0)</f>
        <v>1</v>
      </c>
      <c r="I162" s="34" t="n">
        <f aca="false">I161-0.1*T161</f>
        <v>0.341796547240815</v>
      </c>
      <c r="J162" s="36" t="n">
        <f aca="false">J161-0.1*U161</f>
        <v>-0.0970763426976937</v>
      </c>
      <c r="K162" s="36" t="n">
        <f aca="false">K161-0.1*V161</f>
        <v>-0.077937519405585</v>
      </c>
      <c r="L162" s="36" t="n">
        <f aca="false">L161-0.1*W161</f>
        <v>0.704423298222458</v>
      </c>
      <c r="M162" s="36" t="n">
        <f aca="false">M161-0.1*X161</f>
        <v>0.635559891628064</v>
      </c>
      <c r="N162" s="31" t="n">
        <f aca="false">I162+J162*C162+K162*D162+L162*E162+F162*M162</f>
        <v>3.4766496649078</v>
      </c>
      <c r="O162" s="31" t="n">
        <f aca="false">1/(1+EXP(-N162))</f>
        <v>0.970016029223305</v>
      </c>
      <c r="P162" s="32" t="n">
        <f aca="false">IF(O162&gt;0.5,1,0)</f>
        <v>1</v>
      </c>
      <c r="Q162" s="32" t="n">
        <f aca="false">O162-G162</f>
        <v>-0.0299839707766952</v>
      </c>
      <c r="R162" s="33" t="n">
        <f aca="false">Q162^2</f>
        <v>0.000899038503537714</v>
      </c>
      <c r="T162" s="26" t="n">
        <f aca="false">2*(O162-G162)*(1-O162)*O162</f>
        <v>-0.00174416351864103</v>
      </c>
      <c r="U162" s="26" t="n">
        <f aca="false">2*(O162-G162)*(1-O162)*O162*C162</f>
        <v>-0.0109882301674385</v>
      </c>
      <c r="V162" s="26" t="n">
        <f aca="false">2*(O162-G162)*(1-O162)*O162*D162</f>
        <v>-0.00401157609287437</v>
      </c>
      <c r="W162" s="26" t="n">
        <f aca="false">2*(O162-G162)*(1-O162)*O162*E162</f>
        <v>-0.00767431948202053</v>
      </c>
      <c r="X162" s="26" t="n">
        <f aca="false">2*(O162-G162)*(1-O162)*O162*F162</f>
        <v>-0.00226741257423334</v>
      </c>
    </row>
    <row r="163" customFormat="false" ht="14.25" hidden="false" customHeight="true" outlineLevel="0" collapsed="false">
      <c r="A163" s="37"/>
      <c r="B163" s="34" t="n">
        <v>79</v>
      </c>
      <c r="C163" s="28" t="n">
        <v>5.6</v>
      </c>
      <c r="D163" s="28" t="n">
        <v>3</v>
      </c>
      <c r="E163" s="28" t="n">
        <v>4.1</v>
      </c>
      <c r="F163" s="28" t="n">
        <v>1.3</v>
      </c>
      <c r="G163" s="35" t="n">
        <v>1</v>
      </c>
      <c r="H163" s="1" t="n">
        <f aca="false">IF(G163=P163, 1, 0)</f>
        <v>1</v>
      </c>
      <c r="I163" s="34" t="n">
        <f aca="false">I162-0.1*T162</f>
        <v>0.341970963592679</v>
      </c>
      <c r="J163" s="36" t="n">
        <f aca="false">J162-0.1*U162</f>
        <v>-0.0959775196809499</v>
      </c>
      <c r="K163" s="36" t="n">
        <f aca="false">K162-0.1*V162</f>
        <v>-0.0775363617962976</v>
      </c>
      <c r="L163" s="36" t="n">
        <f aca="false">L162-0.1*W162</f>
        <v>0.70519073017066</v>
      </c>
      <c r="M163" s="36" t="n">
        <f aca="false">M162-0.1*X162</f>
        <v>0.635786632885488</v>
      </c>
      <c r="N163" s="31" t="n">
        <f aca="false">I163+J163*C163+K163*D163+L163*E163+F163*M163</f>
        <v>3.28969238444131</v>
      </c>
      <c r="O163" s="31" t="n">
        <f aca="false">1/(1+EXP(-N163))</f>
        <v>0.96407350113158</v>
      </c>
      <c r="P163" s="32" t="n">
        <f aca="false">IF(O163&gt;0.5,1,0)</f>
        <v>1</v>
      </c>
      <c r="Q163" s="32" t="n">
        <f aca="false">O163-G163</f>
        <v>-0.0359264988684197</v>
      </c>
      <c r="R163" s="33" t="n">
        <f aca="false">Q163^2</f>
        <v>0.00129071332094256</v>
      </c>
      <c r="T163" s="26" t="n">
        <f aca="false">2*(O163-G163)*(1-O163)*O163</f>
        <v>-0.00248868502055653</v>
      </c>
      <c r="U163" s="26" t="n">
        <f aca="false">2*(O163-G163)*(1-O163)*O163*C163</f>
        <v>-0.0139366361151166</v>
      </c>
      <c r="V163" s="26" t="n">
        <f aca="false">2*(O163-G163)*(1-O163)*O163*D163</f>
        <v>-0.00746605506166959</v>
      </c>
      <c r="W163" s="26" t="n">
        <f aca="false">2*(O163-G163)*(1-O163)*O163*E163</f>
        <v>-0.0102036085842818</v>
      </c>
      <c r="X163" s="26" t="n">
        <f aca="false">2*(O163-G163)*(1-O163)*O163*F163</f>
        <v>-0.00323529052672349</v>
      </c>
    </row>
    <row r="164" customFormat="false" ht="14.25" hidden="false" customHeight="true" outlineLevel="0" collapsed="false">
      <c r="A164" s="37"/>
      <c r="B164" s="34" t="n">
        <v>80</v>
      </c>
      <c r="C164" s="28" t="n">
        <v>5.5</v>
      </c>
      <c r="D164" s="28" t="n">
        <v>2.5</v>
      </c>
      <c r="E164" s="28" t="n">
        <v>4</v>
      </c>
      <c r="F164" s="28" t="n">
        <v>1.3</v>
      </c>
      <c r="G164" s="35" t="n">
        <v>1</v>
      </c>
      <c r="H164" s="1" t="n">
        <f aca="false">IF(G164=P164, 1, 0)</f>
        <v>1</v>
      </c>
      <c r="I164" s="34" t="n">
        <f aca="false">I163-0.1*T163</f>
        <v>0.342219832094735</v>
      </c>
      <c r="J164" s="36" t="n">
        <f aca="false">J163-0.1*U163</f>
        <v>-0.0945838560694382</v>
      </c>
      <c r="K164" s="36" t="n">
        <f aca="false">K163-0.1*V163</f>
        <v>-0.0767897562901306</v>
      </c>
      <c r="L164" s="36" t="n">
        <f aca="false">L163-0.1*W163</f>
        <v>0.706211091029088</v>
      </c>
      <c r="M164" s="36" t="n">
        <f aca="false">M163-0.1*X163</f>
        <v>0.63611016193816</v>
      </c>
      <c r="N164" s="31" t="n">
        <f aca="false">I164+J164*C164+K164*D164+L164*E164+F164*M164</f>
        <v>3.28182180762346</v>
      </c>
      <c r="O164" s="31" t="n">
        <f aca="false">1/(1+EXP(-N164))</f>
        <v>0.963799899596398</v>
      </c>
      <c r="P164" s="32" t="n">
        <f aca="false">IF(O164&gt;0.5,1,0)</f>
        <v>1</v>
      </c>
      <c r="Q164" s="32" t="n">
        <f aca="false">O164-G164</f>
        <v>-0.0362001004036019</v>
      </c>
      <c r="R164" s="33" t="n">
        <f aca="false">Q164^2</f>
        <v>0.00131044726923086</v>
      </c>
      <c r="S164" s="1" t="n">
        <f aca="false">AVERAGE(R85:R164)</f>
        <v>0.0374519142280995</v>
      </c>
      <c r="T164" s="26" t="n">
        <f aca="false">2*(O164-G164)*(1-O164)*O164</f>
        <v>-0.00252601789302215</v>
      </c>
      <c r="U164" s="26" t="n">
        <f aca="false">2*(O164-G164)*(1-O164)*O164*C164</f>
        <v>-0.0138930984116218</v>
      </c>
      <c r="V164" s="26" t="n">
        <f aca="false">2*(O164-G164)*(1-O164)*O164*D164</f>
        <v>-0.00631504473255537</v>
      </c>
      <c r="W164" s="26" t="n">
        <f aca="false">2*(O164-G164)*(1-O164)*O164*E164</f>
        <v>-0.0101040715720886</v>
      </c>
      <c r="X164" s="26" t="n">
        <f aca="false">2*(O164-G164)*(1-O164)*O164*F164</f>
        <v>-0.00328382326092879</v>
      </c>
    </row>
    <row r="165" customFormat="false" ht="14.25" hidden="false" customHeight="true" outlineLevel="0" collapsed="false">
      <c r="A165" s="37" t="s">
        <v>34</v>
      </c>
      <c r="B165" s="34" t="n">
        <v>1</v>
      </c>
      <c r="C165" s="28" t="n">
        <v>5.1</v>
      </c>
      <c r="D165" s="28" t="n">
        <v>3.5</v>
      </c>
      <c r="E165" s="28" t="n">
        <v>1.4</v>
      </c>
      <c r="F165" s="28" t="n">
        <v>0.2</v>
      </c>
      <c r="G165" s="35" t="n">
        <v>0</v>
      </c>
      <c r="H165" s="1" t="n">
        <f aca="false">IF(G165=P165, 1, 0)</f>
        <v>0</v>
      </c>
      <c r="I165" s="34" t="n">
        <f aca="false">I164-0.1*T164</f>
        <v>0.342472433884037</v>
      </c>
      <c r="J165" s="36" t="n">
        <f aca="false">J164-0.1*U164</f>
        <v>-0.093194546228276</v>
      </c>
      <c r="K165" s="36" t="n">
        <f aca="false">K164-0.1*V164</f>
        <v>-0.0761582518168751</v>
      </c>
      <c r="L165" s="36" t="n">
        <f aca="false">L164-0.1*W164</f>
        <v>0.707221498186297</v>
      </c>
      <c r="M165" s="36" t="n">
        <f aca="false">M164-0.1*X164</f>
        <v>0.636438544264253</v>
      </c>
      <c r="N165" s="31" t="n">
        <f aca="false">I165+J165*C165+K165*D165+L165*E165+F165*M165</f>
        <v>0.718024173074432</v>
      </c>
      <c r="O165" s="31" t="n">
        <f aca="false">1/(1+EXP(-N165))</f>
        <v>0.672171778215279</v>
      </c>
      <c r="P165" s="32" t="n">
        <f aca="false">IF(O165&gt;0.5,1,0)</f>
        <v>1</v>
      </c>
      <c r="Q165" s="32" t="n">
        <f aca="false">O165-G165</f>
        <v>0.672171778215279</v>
      </c>
      <c r="R165" s="33" t="n">
        <f aca="false">Q165^2</f>
        <v>0.45181489942909</v>
      </c>
      <c r="T165" s="26" t="n">
        <f aca="false">2*(O165-G165)*(1-O165)*O165</f>
        <v>0.296235350111362</v>
      </c>
      <c r="U165" s="26" t="n">
        <f aca="false">2*(O165-G165)*(1-O165)*O165*C165</f>
        <v>1.51080028556795</v>
      </c>
      <c r="V165" s="26" t="n">
        <f aca="false">2*(O165-G165)*(1-O165)*O165*D165</f>
        <v>1.03682372538977</v>
      </c>
      <c r="W165" s="26" t="n">
        <f aca="false">2*(O165-G165)*(1-O165)*O165*E165</f>
        <v>0.414729490155907</v>
      </c>
      <c r="X165" s="26" t="n">
        <f aca="false">2*(O165-G165)*(1-O165)*O165*F165</f>
        <v>0.0592470700222725</v>
      </c>
    </row>
    <row r="166" customFormat="false" ht="14.25" hidden="false" customHeight="true" outlineLevel="0" collapsed="false">
      <c r="A166" s="37"/>
      <c r="B166" s="34" t="n">
        <v>2</v>
      </c>
      <c r="C166" s="28" t="n">
        <v>4.9</v>
      </c>
      <c r="D166" s="28" t="n">
        <v>3</v>
      </c>
      <c r="E166" s="28" t="n">
        <v>1.4</v>
      </c>
      <c r="F166" s="28" t="n">
        <v>0.2</v>
      </c>
      <c r="G166" s="35" t="n">
        <v>0</v>
      </c>
      <c r="H166" s="1" t="n">
        <f aca="false">IF(G166=P166, 1, 0)</f>
        <v>1</v>
      </c>
      <c r="I166" s="34" t="n">
        <f aca="false">I165-0.1*T165</f>
        <v>0.312848898872901</v>
      </c>
      <c r="J166" s="36" t="n">
        <f aca="false">J165-0.1*U165</f>
        <v>-0.244274574785071</v>
      </c>
      <c r="K166" s="36" t="n">
        <f aca="false">K165-0.1*V165</f>
        <v>-0.179840624355852</v>
      </c>
      <c r="L166" s="36" t="n">
        <f aca="false">L165-0.1*W165</f>
        <v>0.665748549170706</v>
      </c>
      <c r="M166" s="36" t="n">
        <f aca="false">M165-0.1*X165</f>
        <v>0.630513837262026</v>
      </c>
      <c r="N166" s="31" t="n">
        <f aca="false">I166+J166*C166+K166*D166+L166*E166+F166*M166</f>
        <v>-0.365467654350109</v>
      </c>
      <c r="O166" s="31" t="n">
        <f aca="false">1/(1+EXP(-N166))</f>
        <v>0.409636648353004</v>
      </c>
      <c r="P166" s="32" t="n">
        <f aca="false">IF(O166&gt;0.5,1,0)</f>
        <v>0</v>
      </c>
      <c r="Q166" s="32" t="n">
        <f aca="false">O166-G166</f>
        <v>0.409636648353004</v>
      </c>
      <c r="R166" s="33" t="n">
        <f aca="false">Q166^2</f>
        <v>0.167802183673883</v>
      </c>
      <c r="T166" s="26" t="n">
        <f aca="false">2*(O166-G166)*(1-O166)*O166</f>
        <v>0.198128519134797</v>
      </c>
      <c r="U166" s="26" t="n">
        <f aca="false">2*(O166-G166)*(1-O166)*O166*C166</f>
        <v>0.970829743760504</v>
      </c>
      <c r="V166" s="26" t="n">
        <f aca="false">2*(O166-G166)*(1-O166)*O166*D166</f>
        <v>0.59438555740439</v>
      </c>
      <c r="W166" s="26" t="n">
        <f aca="false">2*(O166-G166)*(1-O166)*O166*E166</f>
        <v>0.277379926788715</v>
      </c>
      <c r="X166" s="26" t="n">
        <f aca="false">2*(O166-G166)*(1-O166)*O166*F166</f>
        <v>0.0396257038269593</v>
      </c>
    </row>
    <row r="167" customFormat="false" ht="14.25" hidden="false" customHeight="true" outlineLevel="0" collapsed="false">
      <c r="A167" s="37"/>
      <c r="B167" s="34" t="n">
        <v>3</v>
      </c>
      <c r="C167" s="28" t="n">
        <v>4.7</v>
      </c>
      <c r="D167" s="28" t="n">
        <v>3.2</v>
      </c>
      <c r="E167" s="28" t="n">
        <v>1.3</v>
      </c>
      <c r="F167" s="28" t="n">
        <v>0.2</v>
      </c>
      <c r="G167" s="35" t="n">
        <v>0</v>
      </c>
      <c r="H167" s="1" t="n">
        <f aca="false">IF(G167=P167, 1, 0)</f>
        <v>1</v>
      </c>
      <c r="I167" s="34" t="n">
        <f aca="false">I166-0.1*T166</f>
        <v>0.293036046959421</v>
      </c>
      <c r="J167" s="36" t="n">
        <f aca="false">J166-0.1*U166</f>
        <v>-0.341357549161121</v>
      </c>
      <c r="K167" s="36" t="n">
        <f aca="false">K166-0.1*V166</f>
        <v>-0.239279180096291</v>
      </c>
      <c r="L167" s="36" t="n">
        <f aca="false">L166-0.1*W166</f>
        <v>0.638010556491835</v>
      </c>
      <c r="M167" s="36" t="n">
        <f aca="false">M166-0.1*X166</f>
        <v>0.62655126687933</v>
      </c>
      <c r="N167" s="31" t="n">
        <f aca="false">I167+J167*C167+K167*D167+L167*E167+F167*M167</f>
        <v>-1.12231383359073</v>
      </c>
      <c r="O167" s="31" t="n">
        <f aca="false">1/(1+EXP(-N167))</f>
        <v>0.245582343452768</v>
      </c>
      <c r="P167" s="32" t="n">
        <f aca="false">IF(O167&gt;0.5,1,0)</f>
        <v>0</v>
      </c>
      <c r="Q167" s="32" t="n">
        <f aca="false">O167-G167</f>
        <v>0.245582343452768</v>
      </c>
      <c r="R167" s="33" t="n">
        <f aca="false">Q167^2</f>
        <v>0.0603106874157531</v>
      </c>
      <c r="T167" s="26" t="n">
        <f aca="false">2*(O167-G167)*(1-O167)*O167</f>
        <v>0.0909988949298903</v>
      </c>
      <c r="U167" s="26" t="n">
        <f aca="false">2*(O167-G167)*(1-O167)*O167*C167</f>
        <v>0.427694806170484</v>
      </c>
      <c r="V167" s="26" t="n">
        <f aca="false">2*(O167-G167)*(1-O167)*O167*D167</f>
        <v>0.291196463775649</v>
      </c>
      <c r="W167" s="26" t="n">
        <f aca="false">2*(O167-G167)*(1-O167)*O167*E167</f>
        <v>0.118298563408857</v>
      </c>
      <c r="X167" s="26" t="n">
        <f aca="false">2*(O167-G167)*(1-O167)*O167*F167</f>
        <v>0.0181997789859781</v>
      </c>
    </row>
    <row r="168" customFormat="false" ht="14.25" hidden="false" customHeight="true" outlineLevel="0" collapsed="false">
      <c r="A168" s="37"/>
      <c r="B168" s="34" t="n">
        <v>4</v>
      </c>
      <c r="C168" s="28" t="n">
        <v>4.6</v>
      </c>
      <c r="D168" s="28" t="n">
        <v>3.1</v>
      </c>
      <c r="E168" s="28" t="n">
        <v>1.5</v>
      </c>
      <c r="F168" s="28" t="n">
        <v>0.2</v>
      </c>
      <c r="G168" s="35" t="n">
        <v>0</v>
      </c>
      <c r="H168" s="1" t="n">
        <f aca="false">IF(G168=P168, 1, 0)</f>
        <v>1</v>
      </c>
      <c r="I168" s="34" t="n">
        <f aca="false">I167-0.1*T167</f>
        <v>0.283936157466432</v>
      </c>
      <c r="J168" s="36" t="n">
        <f aca="false">J167-0.1*U167</f>
        <v>-0.38412702977817</v>
      </c>
      <c r="K168" s="36" t="n">
        <f aca="false">K167-0.1*V167</f>
        <v>-0.268398826473856</v>
      </c>
      <c r="L168" s="36" t="n">
        <f aca="false">L167-0.1*W167</f>
        <v>0.626180700150949</v>
      </c>
      <c r="M168" s="36" t="n">
        <f aca="false">M167-0.1*X167</f>
        <v>0.624731288980732</v>
      </c>
      <c r="N168" s="31" t="n">
        <f aca="false">I168+J168*C168+K168*D168+L168*E168+F168*M168</f>
        <v>-1.25086723355953</v>
      </c>
      <c r="O168" s="31" t="n">
        <f aca="false">1/(1+EXP(-N168))</f>
        <v>0.222550052647406</v>
      </c>
      <c r="P168" s="32" t="n">
        <f aca="false">IF(O168&gt;0.5,1,0)</f>
        <v>0</v>
      </c>
      <c r="Q168" s="32" t="n">
        <f aca="false">O168-G168</f>
        <v>0.222550052647406</v>
      </c>
      <c r="R168" s="33" t="n">
        <f aca="false">Q168^2</f>
        <v>0.0495285259333633</v>
      </c>
      <c r="T168" s="26" t="n">
        <f aca="false">2*(O168-G168)*(1-O168)*O168</f>
        <v>0.0770118997586897</v>
      </c>
      <c r="U168" s="26" t="n">
        <f aca="false">2*(O168-G168)*(1-O168)*O168*C168</f>
        <v>0.354254738889973</v>
      </c>
      <c r="V168" s="26" t="n">
        <f aca="false">2*(O168-G168)*(1-O168)*O168*D168</f>
        <v>0.238736889251938</v>
      </c>
      <c r="W168" s="26" t="n">
        <f aca="false">2*(O168-G168)*(1-O168)*O168*E168</f>
        <v>0.115517849638035</v>
      </c>
      <c r="X168" s="26" t="n">
        <f aca="false">2*(O168-G168)*(1-O168)*O168*F168</f>
        <v>0.0154023799517379</v>
      </c>
    </row>
    <row r="169" customFormat="false" ht="14.25" hidden="false" customHeight="true" outlineLevel="0" collapsed="false">
      <c r="A169" s="37"/>
      <c r="B169" s="34" t="n">
        <v>5</v>
      </c>
      <c r="C169" s="28" t="n">
        <v>5</v>
      </c>
      <c r="D169" s="28" t="n">
        <v>3.6</v>
      </c>
      <c r="E169" s="28" t="n">
        <v>1.4</v>
      </c>
      <c r="F169" s="28" t="n">
        <v>0.2</v>
      </c>
      <c r="G169" s="35" t="n">
        <v>0</v>
      </c>
      <c r="H169" s="1" t="n">
        <f aca="false">IF(G169=P169, 1, 0)</f>
        <v>1</v>
      </c>
      <c r="I169" s="34" t="n">
        <f aca="false">I168-0.1*T168</f>
        <v>0.276234967490563</v>
      </c>
      <c r="J169" s="36" t="n">
        <f aca="false">J168-0.1*U168</f>
        <v>-0.419552503667167</v>
      </c>
      <c r="K169" s="36" t="n">
        <f aca="false">K168-0.1*V168</f>
        <v>-0.29227251539905</v>
      </c>
      <c r="L169" s="36" t="n">
        <f aca="false">L168-0.1*W168</f>
        <v>0.614628915187145</v>
      </c>
      <c r="M169" s="36" t="n">
        <f aca="false">M168-0.1*X168</f>
        <v>0.623191050985558</v>
      </c>
      <c r="N169" s="31" t="n">
        <f aca="false">I169+J169*C169+K169*D169+L169*E169+F169*M169</f>
        <v>-1.88858991482274</v>
      </c>
      <c r="O169" s="31" t="n">
        <f aca="false">1/(1+EXP(-N169))</f>
        <v>0.131405330063244</v>
      </c>
      <c r="P169" s="32" t="n">
        <f aca="false">IF(O169&gt;0.5,1,0)</f>
        <v>0</v>
      </c>
      <c r="Q169" s="32" t="n">
        <f aca="false">O169-G169</f>
        <v>0.131405330063244</v>
      </c>
      <c r="R169" s="33" t="n">
        <f aca="false">Q169^2</f>
        <v>0.0172673607690301</v>
      </c>
      <c r="T169" s="26" t="n">
        <f aca="false">2*(O169-G169)*(1-O169)*O169</f>
        <v>0.0299966750557091</v>
      </c>
      <c r="U169" s="26" t="n">
        <f aca="false">2*(O169-G169)*(1-O169)*O169*C169</f>
        <v>0.149983375278546</v>
      </c>
      <c r="V169" s="26" t="n">
        <f aca="false">2*(O169-G169)*(1-O169)*O169*D169</f>
        <v>0.107988030200553</v>
      </c>
      <c r="W169" s="26" t="n">
        <f aca="false">2*(O169-G169)*(1-O169)*O169*E169</f>
        <v>0.0419953450779928</v>
      </c>
      <c r="X169" s="26" t="n">
        <f aca="false">2*(O169-G169)*(1-O169)*O169*F169</f>
        <v>0.00599933501114183</v>
      </c>
    </row>
    <row r="170" customFormat="false" ht="14.25" hidden="false" customHeight="true" outlineLevel="0" collapsed="false">
      <c r="A170" s="37"/>
      <c r="B170" s="34" t="n">
        <v>6</v>
      </c>
      <c r="C170" s="28" t="n">
        <v>5.4</v>
      </c>
      <c r="D170" s="28" t="n">
        <v>3.9</v>
      </c>
      <c r="E170" s="28" t="n">
        <v>1.7</v>
      </c>
      <c r="F170" s="28" t="n">
        <v>0.4</v>
      </c>
      <c r="G170" s="35" t="n">
        <v>0</v>
      </c>
      <c r="H170" s="1" t="n">
        <f aca="false">IF(G170=P170, 1, 0)</f>
        <v>1</v>
      </c>
      <c r="I170" s="34" t="n">
        <f aca="false">I169-0.1*T169</f>
        <v>0.273235299984992</v>
      </c>
      <c r="J170" s="36" t="n">
        <f aca="false">J169-0.1*U169</f>
        <v>-0.434550841195022</v>
      </c>
      <c r="K170" s="36" t="n">
        <f aca="false">K169-0.1*V169</f>
        <v>-0.303071318419105</v>
      </c>
      <c r="L170" s="36" t="n">
        <f aca="false">L169-0.1*W169</f>
        <v>0.610429380679346</v>
      </c>
      <c r="M170" s="36" t="n">
        <f aca="false">M169-0.1*X169</f>
        <v>0.622591117484444</v>
      </c>
      <c r="N170" s="31" t="n">
        <f aca="false">I170+J170*C170+K170*D170+L170*E170+F170*M170</f>
        <v>-1.96855099015397</v>
      </c>
      <c r="O170" s="31" t="n">
        <f aca="false">1/(1+EXP(-N170))</f>
        <v>0.122544609927763</v>
      </c>
      <c r="P170" s="32" t="n">
        <f aca="false">IF(O170&gt;0.5,1,0)</f>
        <v>0</v>
      </c>
      <c r="Q170" s="32" t="n">
        <f aca="false">O170-G170</f>
        <v>0.122544609927763</v>
      </c>
      <c r="R170" s="33" t="n">
        <f aca="false">Q170^2</f>
        <v>0.0150171814223477</v>
      </c>
      <c r="T170" s="26" t="n">
        <f aca="false">2*(O170-G170)*(1-O170)*O170</f>
        <v>0.0263538135654632</v>
      </c>
      <c r="U170" s="26" t="n">
        <f aca="false">2*(O170-G170)*(1-O170)*O170*C170</f>
        <v>0.142310593253501</v>
      </c>
      <c r="V170" s="26" t="n">
        <f aca="false">2*(O170-G170)*(1-O170)*O170*D170</f>
        <v>0.102779872905307</v>
      </c>
      <c r="W170" s="26" t="n">
        <f aca="false">2*(O170-G170)*(1-O170)*O170*E170</f>
        <v>0.0448014830612875</v>
      </c>
      <c r="X170" s="26" t="n">
        <f aca="false">2*(O170-G170)*(1-O170)*O170*F170</f>
        <v>0.0105415254261853</v>
      </c>
    </row>
    <row r="171" customFormat="false" ht="14.25" hidden="false" customHeight="true" outlineLevel="0" collapsed="false">
      <c r="A171" s="37"/>
      <c r="B171" s="34" t="n">
        <v>7</v>
      </c>
      <c r="C171" s="28" t="n">
        <v>4.6</v>
      </c>
      <c r="D171" s="28" t="n">
        <v>3.4</v>
      </c>
      <c r="E171" s="28" t="n">
        <v>1.4</v>
      </c>
      <c r="F171" s="28" t="n">
        <v>0.3</v>
      </c>
      <c r="G171" s="35" t="n">
        <v>0</v>
      </c>
      <c r="H171" s="1" t="n">
        <f aca="false">IF(G171=P171, 1, 0)</f>
        <v>1</v>
      </c>
      <c r="I171" s="34" t="n">
        <f aca="false">I170-0.1*T170</f>
        <v>0.270599918628446</v>
      </c>
      <c r="J171" s="36" t="n">
        <f aca="false">J170-0.1*U170</f>
        <v>-0.448781900520372</v>
      </c>
      <c r="K171" s="36" t="n">
        <f aca="false">K170-0.1*V170</f>
        <v>-0.313349305709636</v>
      </c>
      <c r="L171" s="36" t="n">
        <f aca="false">L170-0.1*W170</f>
        <v>0.605949232373217</v>
      </c>
      <c r="M171" s="36" t="n">
        <f aca="false">M170-0.1*X170</f>
        <v>0.621536964941825</v>
      </c>
      <c r="N171" s="31" t="n">
        <f aca="false">I171+J171*C171+K171*D171+L171*E171+F171*M171</f>
        <v>-1.82439444837297</v>
      </c>
      <c r="O171" s="31" t="n">
        <f aca="false">1/(1+EXP(-N171))</f>
        <v>0.138907409037153</v>
      </c>
      <c r="P171" s="32" t="n">
        <f aca="false">IF(O171&gt;0.5,1,0)</f>
        <v>0</v>
      </c>
      <c r="Q171" s="32" t="n">
        <f aca="false">O171-G171</f>
        <v>0.138907409037153</v>
      </c>
      <c r="R171" s="33" t="n">
        <f aca="false">Q171^2</f>
        <v>0.0192952682854149</v>
      </c>
      <c r="T171" s="26" t="n">
        <f aca="false">2*(O171-G171)*(1-O171)*O171</f>
        <v>0.0332300251224223</v>
      </c>
      <c r="U171" s="26" t="n">
        <f aca="false">2*(O171-G171)*(1-O171)*O171*C171</f>
        <v>0.152858115563142</v>
      </c>
      <c r="V171" s="26" t="n">
        <f aca="false">2*(O171-G171)*(1-O171)*O171*D171</f>
        <v>0.112982085416236</v>
      </c>
      <c r="W171" s="26" t="n">
        <f aca="false">2*(O171-G171)*(1-O171)*O171*E171</f>
        <v>0.0465220351713912</v>
      </c>
      <c r="X171" s="26" t="n">
        <f aca="false">2*(O171-G171)*(1-O171)*O171*F171</f>
        <v>0.00996900753672668</v>
      </c>
    </row>
    <row r="172" customFormat="false" ht="14.25" hidden="false" customHeight="true" outlineLevel="0" collapsed="false">
      <c r="A172" s="37"/>
      <c r="B172" s="34" t="n">
        <v>8</v>
      </c>
      <c r="C172" s="28" t="n">
        <v>5</v>
      </c>
      <c r="D172" s="28" t="n">
        <v>3.4</v>
      </c>
      <c r="E172" s="28" t="n">
        <v>1.5</v>
      </c>
      <c r="F172" s="28" t="n">
        <v>0.2</v>
      </c>
      <c r="G172" s="35" t="n">
        <v>0</v>
      </c>
      <c r="H172" s="1" t="n">
        <f aca="false">IF(G172=P172, 1, 0)</f>
        <v>1</v>
      </c>
      <c r="I172" s="34" t="n">
        <f aca="false">I171-0.1*T171</f>
        <v>0.267276916116204</v>
      </c>
      <c r="J172" s="36" t="n">
        <f aca="false">J171-0.1*U171</f>
        <v>-0.464067712076686</v>
      </c>
      <c r="K172" s="36" t="n">
        <f aca="false">K171-0.1*V171</f>
        <v>-0.324647514251259</v>
      </c>
      <c r="L172" s="36" t="n">
        <f aca="false">L171-0.1*W171</f>
        <v>0.601297028856078</v>
      </c>
      <c r="M172" s="36" t="n">
        <f aca="false">M171-0.1*X171</f>
        <v>0.620540064188153</v>
      </c>
      <c r="N172" s="31" t="n">
        <f aca="false">I172+J172*C172+K172*D172+L172*E172+F172*M172</f>
        <v>-2.13080963659976</v>
      </c>
      <c r="O172" s="31" t="n">
        <f aca="false">1/(1+EXP(-N172))</f>
        <v>0.106138154648127</v>
      </c>
      <c r="P172" s="32" t="n">
        <f aca="false">IF(O172&gt;0.5,1,0)</f>
        <v>0</v>
      </c>
      <c r="Q172" s="32" t="n">
        <f aca="false">O172-G172</f>
        <v>0.106138154648127</v>
      </c>
      <c r="R172" s="33" t="n">
        <f aca="false">Q172^2</f>
        <v>0.0112653078721097</v>
      </c>
      <c r="T172" s="26" t="n">
        <f aca="false">2*(O172-G172)*(1-O172)*O172</f>
        <v>0.0201392577660419</v>
      </c>
      <c r="U172" s="26" t="n">
        <f aca="false">2*(O172-G172)*(1-O172)*O172*C172</f>
        <v>0.10069628883021</v>
      </c>
      <c r="V172" s="26" t="n">
        <f aca="false">2*(O172-G172)*(1-O172)*O172*D172</f>
        <v>0.0684734764045426</v>
      </c>
      <c r="W172" s="26" t="n">
        <f aca="false">2*(O172-G172)*(1-O172)*O172*E172</f>
        <v>0.0302088866490629</v>
      </c>
      <c r="X172" s="26" t="n">
        <f aca="false">2*(O172-G172)*(1-O172)*O172*F172</f>
        <v>0.00402785155320839</v>
      </c>
    </row>
    <row r="173" customFormat="false" ht="14.25" hidden="false" customHeight="true" outlineLevel="0" collapsed="false">
      <c r="A173" s="37"/>
      <c r="B173" s="34" t="n">
        <v>9</v>
      </c>
      <c r="C173" s="28" t="n">
        <v>4.4</v>
      </c>
      <c r="D173" s="28" t="n">
        <v>2.9</v>
      </c>
      <c r="E173" s="28" t="n">
        <v>1.4</v>
      </c>
      <c r="F173" s="28" t="n">
        <v>0.2</v>
      </c>
      <c r="G173" s="35" t="n">
        <v>0</v>
      </c>
      <c r="H173" s="1" t="n">
        <f aca="false">IF(G173=P173, 1, 0)</f>
        <v>1</v>
      </c>
      <c r="I173" s="34" t="n">
        <f aca="false">I172-0.1*T172</f>
        <v>0.2652629903396</v>
      </c>
      <c r="J173" s="36" t="n">
        <f aca="false">J172-0.1*U172</f>
        <v>-0.474137340959707</v>
      </c>
      <c r="K173" s="36" t="n">
        <f aca="false">K172-0.1*V172</f>
        <v>-0.331494861891713</v>
      </c>
      <c r="L173" s="36" t="n">
        <f aca="false">L172-0.1*W172</f>
        <v>0.598276140191172</v>
      </c>
      <c r="M173" s="36" t="n">
        <f aca="false">M172-0.1*X172</f>
        <v>0.620137279032832</v>
      </c>
      <c r="N173" s="31" t="n">
        <f aca="false">I173+J173*C173+K173*D173+L173*E173+F173*M173</f>
        <v>-1.82066235729487</v>
      </c>
      <c r="O173" s="31" t="n">
        <f aca="false">1/(1+EXP(-N173))</f>
        <v>0.139354414319566</v>
      </c>
      <c r="P173" s="32" t="n">
        <f aca="false">IF(O173&gt;0.5,1,0)</f>
        <v>0</v>
      </c>
      <c r="Q173" s="32" t="n">
        <f aca="false">O173-G173</f>
        <v>0.139354414319566</v>
      </c>
      <c r="R173" s="33" t="n">
        <f aca="false">Q173^2</f>
        <v>0.0194196527903493</v>
      </c>
      <c r="T173" s="26" t="n">
        <f aca="false">2*(O173-G173)*(1-O173)*O173</f>
        <v>0.0334268768989217</v>
      </c>
      <c r="U173" s="26" t="n">
        <f aca="false">2*(O173-G173)*(1-O173)*O173*C173</f>
        <v>0.147078258355255</v>
      </c>
      <c r="V173" s="26" t="n">
        <f aca="false">2*(O173-G173)*(1-O173)*O173*D173</f>
        <v>0.0969379430068729</v>
      </c>
      <c r="W173" s="26" t="n">
        <f aca="false">2*(O173-G173)*(1-O173)*O173*E173</f>
        <v>0.0467976276584904</v>
      </c>
      <c r="X173" s="26" t="n">
        <f aca="false">2*(O173-G173)*(1-O173)*O173*F173</f>
        <v>0.00668537537978434</v>
      </c>
    </row>
    <row r="174" customFormat="false" ht="14.25" hidden="false" customHeight="true" outlineLevel="0" collapsed="false">
      <c r="A174" s="37"/>
      <c r="B174" s="34" t="n">
        <v>10</v>
      </c>
      <c r="C174" s="28" t="n">
        <v>4.9</v>
      </c>
      <c r="D174" s="28" t="n">
        <v>3.1</v>
      </c>
      <c r="E174" s="28" t="n">
        <v>1.5</v>
      </c>
      <c r="F174" s="28" t="n">
        <v>0.1</v>
      </c>
      <c r="G174" s="35" t="n">
        <v>0</v>
      </c>
      <c r="H174" s="1" t="n">
        <f aca="false">IF(G174=P174, 1, 0)</f>
        <v>1</v>
      </c>
      <c r="I174" s="34" t="n">
        <f aca="false">I173-0.1*T173</f>
        <v>0.261920302649707</v>
      </c>
      <c r="J174" s="36" t="n">
        <f aca="false">J173-0.1*U173</f>
        <v>-0.488845166795232</v>
      </c>
      <c r="K174" s="36" t="n">
        <f aca="false">K173-0.1*V173</f>
        <v>-0.341188656192401</v>
      </c>
      <c r="L174" s="36" t="n">
        <f aca="false">L173-0.1*W173</f>
        <v>0.593596377425323</v>
      </c>
      <c r="M174" s="36" t="n">
        <f aca="false">M173-0.1*X173</f>
        <v>0.619468741494853</v>
      </c>
      <c r="N174" s="31" t="n">
        <f aca="false">I174+J174*C174+K174*D174+L174*E174+F174*M174</f>
        <v>-2.2387644085559</v>
      </c>
      <c r="O174" s="31" t="n">
        <f aca="false">1/(1+EXP(-N174))</f>
        <v>0.0963230400275315</v>
      </c>
      <c r="P174" s="32" t="n">
        <f aca="false">IF(O174&gt;0.5,1,0)</f>
        <v>0</v>
      </c>
      <c r="Q174" s="32" t="n">
        <f aca="false">O174-G174</f>
        <v>0.0963230400275315</v>
      </c>
      <c r="R174" s="33" t="n">
        <f aca="false">Q174^2</f>
        <v>0.00927812804014543</v>
      </c>
      <c r="T174" s="26" t="n">
        <f aca="false">2*(O174-G174)*(1-O174)*O174</f>
        <v>0.0167688610831079</v>
      </c>
      <c r="U174" s="26" t="n">
        <f aca="false">2*(O174-G174)*(1-O174)*O174*C174</f>
        <v>0.0821674193072286</v>
      </c>
      <c r="V174" s="26" t="n">
        <f aca="false">2*(O174-G174)*(1-O174)*O174*D174</f>
        <v>0.0519834693576344</v>
      </c>
      <c r="W174" s="26" t="n">
        <f aca="false">2*(O174-G174)*(1-O174)*O174*E174</f>
        <v>0.0251532916246618</v>
      </c>
      <c r="X174" s="26" t="n">
        <f aca="false">2*(O174-G174)*(1-O174)*O174*F174</f>
        <v>0.00167688610831079</v>
      </c>
    </row>
    <row r="175" customFormat="false" ht="14.25" hidden="false" customHeight="true" outlineLevel="0" collapsed="false">
      <c r="A175" s="37"/>
      <c r="B175" s="34" t="n">
        <v>11</v>
      </c>
      <c r="C175" s="28" t="n">
        <v>5.4</v>
      </c>
      <c r="D175" s="28" t="n">
        <v>3.7</v>
      </c>
      <c r="E175" s="28" t="n">
        <v>1.5</v>
      </c>
      <c r="F175" s="28" t="n">
        <v>0.2</v>
      </c>
      <c r="G175" s="35" t="n">
        <v>0</v>
      </c>
      <c r="H175" s="1" t="n">
        <f aca="false">IF(G175=P175, 1, 0)</f>
        <v>1</v>
      </c>
      <c r="I175" s="34" t="n">
        <f aca="false">I174-0.1*T174</f>
        <v>0.260243416541397</v>
      </c>
      <c r="J175" s="36" t="n">
        <f aca="false">J174-0.1*U174</f>
        <v>-0.497061908725955</v>
      </c>
      <c r="K175" s="36" t="n">
        <f aca="false">K174-0.1*V174</f>
        <v>-0.346387003128164</v>
      </c>
      <c r="L175" s="36" t="n">
        <f aca="false">L174-0.1*W174</f>
        <v>0.591081048262857</v>
      </c>
      <c r="M175" s="36" t="n">
        <f aca="false">M174-0.1*X174</f>
        <v>0.619301052884022</v>
      </c>
      <c r="N175" s="31" t="n">
        <f aca="false">I175+J175*C175+K175*D175+L175*E175+F175*M175</f>
        <v>-2.69504101918188</v>
      </c>
      <c r="O175" s="31" t="n">
        <f aca="false">1/(1+EXP(-N175))</f>
        <v>0.0632666091103598</v>
      </c>
      <c r="P175" s="32" t="n">
        <f aca="false">IF(O175&gt;0.5,1,0)</f>
        <v>0</v>
      </c>
      <c r="Q175" s="32" t="n">
        <f aca="false">O175-G175</f>
        <v>0.0632666091103598</v>
      </c>
      <c r="R175" s="33" t="n">
        <f aca="false">Q175^2</f>
        <v>0.00400266382832306</v>
      </c>
      <c r="T175" s="26" t="n">
        <f aca="false">2*(O175-G175)*(1-O175)*O175</f>
        <v>0.00749885772099275</v>
      </c>
      <c r="U175" s="26" t="n">
        <f aca="false">2*(O175-G175)*(1-O175)*O175*C175</f>
        <v>0.0404938316933608</v>
      </c>
      <c r="V175" s="26" t="n">
        <f aca="false">2*(O175-G175)*(1-O175)*O175*D175</f>
        <v>0.0277457735676732</v>
      </c>
      <c r="W175" s="26" t="n">
        <f aca="false">2*(O175-G175)*(1-O175)*O175*E175</f>
        <v>0.0112482865814891</v>
      </c>
      <c r="X175" s="26" t="n">
        <f aca="false">2*(O175-G175)*(1-O175)*O175*F175</f>
        <v>0.00149977154419855</v>
      </c>
    </row>
    <row r="176" customFormat="false" ht="14.25" hidden="false" customHeight="true" outlineLevel="0" collapsed="false">
      <c r="A176" s="37"/>
      <c r="B176" s="34" t="n">
        <v>12</v>
      </c>
      <c r="C176" s="28" t="n">
        <v>4.8</v>
      </c>
      <c r="D176" s="28" t="n">
        <v>3.4</v>
      </c>
      <c r="E176" s="28" t="n">
        <v>1.6</v>
      </c>
      <c r="F176" s="28" t="n">
        <v>0.2</v>
      </c>
      <c r="G176" s="35" t="n">
        <v>0</v>
      </c>
      <c r="H176" s="1" t="n">
        <f aca="false">IF(G176=P176, 1, 0)</f>
        <v>1</v>
      </c>
      <c r="I176" s="34" t="n">
        <f aca="false">I175-0.1*T175</f>
        <v>0.259493530769297</v>
      </c>
      <c r="J176" s="36" t="n">
        <f aca="false">J175-0.1*U175</f>
        <v>-0.501111291895291</v>
      </c>
      <c r="K176" s="36" t="n">
        <f aca="false">K175-0.1*V175</f>
        <v>-0.349161580484931</v>
      </c>
      <c r="L176" s="36" t="n">
        <f aca="false">L175-0.1*W175</f>
        <v>0.589956219604708</v>
      </c>
      <c r="M176" s="36" t="n">
        <f aca="false">M175-0.1*X175</f>
        <v>0.619151075729602</v>
      </c>
      <c r="N176" s="31" t="n">
        <f aca="false">I176+J176*C176+K176*D176+L176*E176+F176*M176</f>
        <v>-2.26522987746342</v>
      </c>
      <c r="O176" s="31" t="n">
        <f aca="false">1/(1+EXP(-N176))</f>
        <v>0.094043838497236</v>
      </c>
      <c r="P176" s="32" t="n">
        <f aca="false">IF(O176&gt;0.5,1,0)</f>
        <v>0</v>
      </c>
      <c r="Q176" s="32" t="n">
        <f aca="false">O176-G176</f>
        <v>0.094043838497236</v>
      </c>
      <c r="R176" s="33" t="n">
        <f aca="false">Q176^2</f>
        <v>0.00884424355929422</v>
      </c>
      <c r="T176" s="26" t="n">
        <f aca="false">2*(O176-G176)*(1-O176)*O176</f>
        <v>0.0160249938927475</v>
      </c>
      <c r="U176" s="26" t="n">
        <f aca="false">2*(O176-G176)*(1-O176)*O176*C176</f>
        <v>0.0769199706851878</v>
      </c>
      <c r="V176" s="26" t="n">
        <f aca="false">2*(O176-G176)*(1-O176)*O176*D176</f>
        <v>0.0544849792353414</v>
      </c>
      <c r="W176" s="26" t="n">
        <f aca="false">2*(O176-G176)*(1-O176)*O176*E176</f>
        <v>0.0256399902283959</v>
      </c>
      <c r="X176" s="26" t="n">
        <f aca="false">2*(O176-G176)*(1-O176)*O176*F176</f>
        <v>0.00320499877854949</v>
      </c>
    </row>
    <row r="177" customFormat="false" ht="14.25" hidden="false" customHeight="true" outlineLevel="0" collapsed="false">
      <c r="A177" s="37"/>
      <c r="B177" s="34" t="n">
        <v>13</v>
      </c>
      <c r="C177" s="28" t="n">
        <v>4.8</v>
      </c>
      <c r="D177" s="28" t="n">
        <v>3</v>
      </c>
      <c r="E177" s="28" t="n">
        <v>1.4</v>
      </c>
      <c r="F177" s="28" t="n">
        <v>0.1</v>
      </c>
      <c r="G177" s="35" t="n">
        <v>0</v>
      </c>
      <c r="H177" s="1" t="n">
        <f aca="false">IF(G177=P177, 1, 0)</f>
        <v>1</v>
      </c>
      <c r="I177" s="34" t="n">
        <f aca="false">I176-0.1*T176</f>
        <v>0.257891031380023</v>
      </c>
      <c r="J177" s="36" t="n">
        <f aca="false">J176-0.1*U176</f>
        <v>-0.50880328896381</v>
      </c>
      <c r="K177" s="36" t="n">
        <f aca="false">K176-0.1*V176</f>
        <v>-0.354610078408466</v>
      </c>
      <c r="L177" s="36" t="n">
        <f aca="false">L176-0.1*W176</f>
        <v>0.587392220581868</v>
      </c>
      <c r="M177" s="36" t="n">
        <f aca="false">M176-0.1*X176</f>
        <v>0.618830575851747</v>
      </c>
      <c r="N177" s="31" t="n">
        <f aca="false">I177+J177*C177+K177*D177+L177*E177+F177*M177</f>
        <v>-2.36396282447187</v>
      </c>
      <c r="O177" s="31" t="n">
        <f aca="false">1/(1+EXP(-N177))</f>
        <v>0.0859623129919362</v>
      </c>
      <c r="P177" s="32" t="n">
        <f aca="false">IF(O177&gt;0.5,1,0)</f>
        <v>0</v>
      </c>
      <c r="Q177" s="32" t="n">
        <f aca="false">O177-G177</f>
        <v>0.0859623129919362</v>
      </c>
      <c r="R177" s="33" t="n">
        <f aca="false">Q177^2</f>
        <v>0.0073895192549236</v>
      </c>
      <c r="T177" s="26" t="n">
        <f aca="false">2*(O177-G177)*(1-O177)*O177</f>
        <v>0.0135085981757438</v>
      </c>
      <c r="U177" s="26" t="n">
        <f aca="false">2*(O177-G177)*(1-O177)*O177*C177</f>
        <v>0.0648412712435704</v>
      </c>
      <c r="V177" s="26" t="n">
        <f aca="false">2*(O177-G177)*(1-O177)*O177*D177</f>
        <v>0.0405257945272315</v>
      </c>
      <c r="W177" s="26" t="n">
        <f aca="false">2*(O177-G177)*(1-O177)*O177*E177</f>
        <v>0.0189120374460414</v>
      </c>
      <c r="X177" s="26" t="n">
        <f aca="false">2*(O177-G177)*(1-O177)*O177*F177</f>
        <v>0.00135085981757438</v>
      </c>
    </row>
    <row r="178" customFormat="false" ht="14.25" hidden="false" customHeight="true" outlineLevel="0" collapsed="false">
      <c r="A178" s="37"/>
      <c r="B178" s="34" t="n">
        <v>14</v>
      </c>
      <c r="C178" s="28" t="n">
        <v>4.3</v>
      </c>
      <c r="D178" s="28" t="n">
        <v>3</v>
      </c>
      <c r="E178" s="28" t="n">
        <v>1.1</v>
      </c>
      <c r="F178" s="28" t="n">
        <v>0.1</v>
      </c>
      <c r="G178" s="35" t="n">
        <v>0</v>
      </c>
      <c r="H178" s="1" t="n">
        <f aca="false">IF(G178=P178, 1, 0)</f>
        <v>1</v>
      </c>
      <c r="I178" s="34" t="n">
        <f aca="false">I177-0.1*T177</f>
        <v>0.256540171562448</v>
      </c>
      <c r="J178" s="36" t="n">
        <f aca="false">J177-0.1*U177</f>
        <v>-0.515287416088167</v>
      </c>
      <c r="K178" s="36" t="n">
        <f aca="false">K177-0.1*V177</f>
        <v>-0.358662657861189</v>
      </c>
      <c r="L178" s="36" t="n">
        <f aca="false">L177-0.1*W177</f>
        <v>0.585501016837264</v>
      </c>
      <c r="M178" s="36" t="n">
        <f aca="false">M177-0.1*X177</f>
        <v>0.61869548986999</v>
      </c>
      <c r="N178" s="31" t="n">
        <f aca="false">I178+J178*C178+K178*D178+L178*E178+F178*M178</f>
        <v>-2.32926302369225</v>
      </c>
      <c r="O178" s="31" t="n">
        <f aca="false">1/(1+EXP(-N178))</f>
        <v>0.0887282338095033</v>
      </c>
      <c r="P178" s="32" t="n">
        <f aca="false">IF(O178&gt;0.5,1,0)</f>
        <v>0</v>
      </c>
      <c r="Q178" s="32" t="n">
        <f aca="false">O178-G178</f>
        <v>0.0887282338095033</v>
      </c>
      <c r="R178" s="33" t="n">
        <f aca="false">Q178^2</f>
        <v>0.00787269947495388</v>
      </c>
      <c r="T178" s="26" t="n">
        <f aca="false">2*(O178-G178)*(1-O178)*O178</f>
        <v>0.0143483375104564</v>
      </c>
      <c r="U178" s="26" t="n">
        <f aca="false">2*(O178-G178)*(1-O178)*O178*C178</f>
        <v>0.0616978512949627</v>
      </c>
      <c r="V178" s="26" t="n">
        <f aca="false">2*(O178-G178)*(1-O178)*O178*D178</f>
        <v>0.0430450125313693</v>
      </c>
      <c r="W178" s="26" t="n">
        <f aca="false">2*(O178-G178)*(1-O178)*O178*E178</f>
        <v>0.0157831712615021</v>
      </c>
      <c r="X178" s="26" t="n">
        <f aca="false">2*(O178-G178)*(1-O178)*O178*F178</f>
        <v>0.00143483375104564</v>
      </c>
    </row>
    <row r="179" customFormat="false" ht="14.25" hidden="false" customHeight="true" outlineLevel="0" collapsed="false">
      <c r="A179" s="37"/>
      <c r="B179" s="34" t="n">
        <v>15</v>
      </c>
      <c r="C179" s="28" t="n">
        <v>5.8</v>
      </c>
      <c r="D179" s="28" t="n">
        <v>4</v>
      </c>
      <c r="E179" s="28" t="n">
        <v>1.2</v>
      </c>
      <c r="F179" s="28" t="n">
        <v>0.2</v>
      </c>
      <c r="G179" s="35" t="n">
        <v>0</v>
      </c>
      <c r="H179" s="1" t="n">
        <f aca="false">IF(G179=P179, 1, 0)</f>
        <v>1</v>
      </c>
      <c r="I179" s="34" t="n">
        <f aca="false">I178-0.1*T178</f>
        <v>0.255105337811403</v>
      </c>
      <c r="J179" s="36" t="n">
        <f aca="false">J178-0.1*U178</f>
        <v>-0.521457201217664</v>
      </c>
      <c r="K179" s="36" t="n">
        <f aca="false">K178-0.1*V178</f>
        <v>-0.362967159114326</v>
      </c>
      <c r="L179" s="36" t="n">
        <f aca="false">L178-0.1*W178</f>
        <v>0.583922699711114</v>
      </c>
      <c r="M179" s="36" t="n">
        <f aca="false">M178-0.1*X178</f>
        <v>0.618552006494885</v>
      </c>
      <c r="N179" s="31" t="n">
        <f aca="false">I179+J179*C179+K179*D179+L179*E179+F179*M179</f>
        <v>-3.39679742475603</v>
      </c>
      <c r="O179" s="31" t="n">
        <f aca="false">1/(1+EXP(-N179))</f>
        <v>0.0323957031350525</v>
      </c>
      <c r="P179" s="32" t="n">
        <f aca="false">IF(O179&gt;0.5,1,0)</f>
        <v>0</v>
      </c>
      <c r="Q179" s="32" t="n">
        <f aca="false">O179-G179</f>
        <v>0.0323957031350525</v>
      </c>
      <c r="R179" s="33" t="n">
        <f aca="false">Q179^2</f>
        <v>0.00104948158161445</v>
      </c>
      <c r="T179" s="26" t="n">
        <f aca="false">2*(O179-G179)*(1-O179)*O179</f>
        <v>0.00203096577570153</v>
      </c>
      <c r="U179" s="26" t="n">
        <f aca="false">2*(O179-G179)*(1-O179)*O179*C179</f>
        <v>0.0117796014990689</v>
      </c>
      <c r="V179" s="26" t="n">
        <f aca="false">2*(O179-G179)*(1-O179)*O179*D179</f>
        <v>0.00812386310280612</v>
      </c>
      <c r="W179" s="26" t="n">
        <f aca="false">2*(O179-G179)*(1-O179)*O179*E179</f>
        <v>0.00243715893084184</v>
      </c>
      <c r="X179" s="26" t="n">
        <f aca="false">2*(O179-G179)*(1-O179)*O179*F179</f>
        <v>0.000406193155140306</v>
      </c>
    </row>
    <row r="180" customFormat="false" ht="14.25" hidden="false" customHeight="true" outlineLevel="0" collapsed="false">
      <c r="A180" s="37"/>
      <c r="B180" s="34" t="n">
        <v>16</v>
      </c>
      <c r="C180" s="28" t="n">
        <v>5.7</v>
      </c>
      <c r="D180" s="28" t="n">
        <v>4.4</v>
      </c>
      <c r="E180" s="28" t="n">
        <v>1.5</v>
      </c>
      <c r="F180" s="28" t="n">
        <v>0.4</v>
      </c>
      <c r="G180" s="35" t="n">
        <v>0</v>
      </c>
      <c r="H180" s="1" t="n">
        <f aca="false">IF(G180=P180, 1, 0)</f>
        <v>1</v>
      </c>
      <c r="I180" s="34" t="n">
        <f aca="false">I179-0.1*T179</f>
        <v>0.254902241233832</v>
      </c>
      <c r="J180" s="36" t="n">
        <f aca="false">J179-0.1*U179</f>
        <v>-0.52263516136757</v>
      </c>
      <c r="K180" s="36" t="n">
        <f aca="false">K179-0.1*V179</f>
        <v>-0.363779545424606</v>
      </c>
      <c r="L180" s="36" t="n">
        <f aca="false">L179-0.1*W179</f>
        <v>0.58367898381803</v>
      </c>
      <c r="M180" s="36" t="n">
        <f aca="false">M179-0.1*X179</f>
        <v>0.618511387179371</v>
      </c>
      <c r="N180" s="31" t="n">
        <f aca="false">I180+J180*C180+K180*D180+L180*E180+F180*M180</f>
        <v>-3.20182514783079</v>
      </c>
      <c r="O180" s="31" t="n">
        <f aca="false">1/(1+EXP(-N180))</f>
        <v>0.0390970969948608</v>
      </c>
      <c r="P180" s="32" t="n">
        <f aca="false">IF(O180&gt;0.5,1,0)</f>
        <v>0</v>
      </c>
      <c r="Q180" s="32" t="n">
        <f aca="false">O180-G180</f>
        <v>0.0390970969948608</v>
      </c>
      <c r="R180" s="33" t="n">
        <f aca="false">Q180^2</f>
        <v>0.00152858299342555</v>
      </c>
      <c r="T180" s="26" t="n">
        <f aca="false">2*(O180-G180)*(1-O180)*O180</f>
        <v>0.0029376396717338</v>
      </c>
      <c r="U180" s="26" t="n">
        <f aca="false">2*(O180-G180)*(1-O180)*O180*C180</f>
        <v>0.0167445461288826</v>
      </c>
      <c r="V180" s="26" t="n">
        <f aca="false">2*(O180-G180)*(1-O180)*O180*D180</f>
        <v>0.0129256145556287</v>
      </c>
      <c r="W180" s="26" t="n">
        <f aca="false">2*(O180-G180)*(1-O180)*O180*E180</f>
        <v>0.0044064595076007</v>
      </c>
      <c r="X180" s="26" t="n">
        <f aca="false">2*(O180-G180)*(1-O180)*O180*F180</f>
        <v>0.00117505586869352</v>
      </c>
    </row>
    <row r="181" customFormat="false" ht="14.25" hidden="false" customHeight="true" outlineLevel="0" collapsed="false">
      <c r="A181" s="37"/>
      <c r="B181" s="34" t="n">
        <v>17</v>
      </c>
      <c r="C181" s="28" t="n">
        <v>5.4</v>
      </c>
      <c r="D181" s="28" t="n">
        <v>3.9</v>
      </c>
      <c r="E181" s="28" t="n">
        <v>1.3</v>
      </c>
      <c r="F181" s="28" t="n">
        <v>0.4</v>
      </c>
      <c r="G181" s="35" t="n">
        <v>0</v>
      </c>
      <c r="H181" s="1" t="n">
        <f aca="false">IF(G181=P181, 1, 0)</f>
        <v>1</v>
      </c>
      <c r="I181" s="34" t="n">
        <f aca="false">I180-0.1*T180</f>
        <v>0.254608477266659</v>
      </c>
      <c r="J181" s="36" t="n">
        <f aca="false">J180-0.1*U180</f>
        <v>-0.524309615980459</v>
      </c>
      <c r="K181" s="36" t="n">
        <f aca="false">K180-0.1*V180</f>
        <v>-0.365072106880169</v>
      </c>
      <c r="L181" s="36" t="n">
        <f aca="false">L180-0.1*W180</f>
        <v>0.58323833786727</v>
      </c>
      <c r="M181" s="36" t="n">
        <f aca="false">M180-0.1*X180</f>
        <v>0.618393881592502</v>
      </c>
      <c r="N181" s="31" t="n">
        <f aca="false">I181+J181*C181+K181*D181+L181*E181+F181*M181</f>
        <v>-2.99487727399603</v>
      </c>
      <c r="O181" s="31" t="n">
        <f aca="false">1/(1+EXP(-N181))</f>
        <v>0.0476578381104418</v>
      </c>
      <c r="P181" s="32" t="n">
        <f aca="false">IF(O181&gt;0.5,1,0)</f>
        <v>0</v>
      </c>
      <c r="Q181" s="32" t="n">
        <f aca="false">O181-G181</f>
        <v>0.0476578381104418</v>
      </c>
      <c r="R181" s="33" t="n">
        <f aca="false">Q181^2</f>
        <v>0.00227126953336108</v>
      </c>
      <c r="T181" s="26" t="n">
        <f aca="false">2*(O181-G181)*(1-O181)*O181</f>
        <v>0.00432605147526996</v>
      </c>
      <c r="U181" s="26" t="n">
        <f aca="false">2*(O181-G181)*(1-O181)*O181*C181</f>
        <v>0.0233606779664578</v>
      </c>
      <c r="V181" s="26" t="n">
        <f aca="false">2*(O181-G181)*(1-O181)*O181*D181</f>
        <v>0.0168716007535529</v>
      </c>
      <c r="W181" s="26" t="n">
        <f aca="false">2*(O181-G181)*(1-O181)*O181*E181</f>
        <v>0.00562386691785095</v>
      </c>
      <c r="X181" s="26" t="n">
        <f aca="false">2*(O181-G181)*(1-O181)*O181*F181</f>
        <v>0.00173042059010799</v>
      </c>
    </row>
    <row r="182" customFormat="false" ht="14.25" hidden="false" customHeight="true" outlineLevel="0" collapsed="false">
      <c r="A182" s="37"/>
      <c r="B182" s="34" t="n">
        <v>18</v>
      </c>
      <c r="C182" s="28" t="n">
        <v>5.1</v>
      </c>
      <c r="D182" s="28" t="n">
        <v>3.5</v>
      </c>
      <c r="E182" s="28" t="n">
        <v>1.4</v>
      </c>
      <c r="F182" s="28" t="n">
        <v>0.3</v>
      </c>
      <c r="G182" s="35" t="n">
        <v>0</v>
      </c>
      <c r="H182" s="1" t="n">
        <f aca="false">IF(G182=P182, 1, 0)</f>
        <v>1</v>
      </c>
      <c r="I182" s="34" t="n">
        <f aca="false">I181-0.1*T181</f>
        <v>0.254175872119132</v>
      </c>
      <c r="J182" s="36" t="n">
        <f aca="false">J181-0.1*U181</f>
        <v>-0.526645683777104</v>
      </c>
      <c r="K182" s="36" t="n">
        <f aca="false">K181-0.1*V181</f>
        <v>-0.366759266955524</v>
      </c>
      <c r="L182" s="36" t="n">
        <f aca="false">L181-0.1*W181</f>
        <v>0.582675951175484</v>
      </c>
      <c r="M182" s="36" t="n">
        <f aca="false">M181-0.1*X181</f>
        <v>0.618220839533491</v>
      </c>
      <c r="N182" s="31" t="n">
        <f aca="false">I182+J182*C182+K182*D182+L182*E182+F182*M182</f>
        <v>-2.71416196598271</v>
      </c>
      <c r="O182" s="31" t="n">
        <f aca="false">1/(1+EXP(-N182))</f>
        <v>0.0621428448843276</v>
      </c>
      <c r="P182" s="32" t="n">
        <f aca="false">IF(O182&gt;0.5,1,0)</f>
        <v>0</v>
      </c>
      <c r="Q182" s="32" t="n">
        <f aca="false">O182-G182</f>
        <v>0.0621428448843276</v>
      </c>
      <c r="R182" s="33" t="n">
        <f aca="false">Q182^2</f>
        <v>0.00386173317031761</v>
      </c>
      <c r="T182" s="26" t="n">
        <f aca="false">2*(O182-G182)*(1-O182)*O182</f>
        <v>0.00724350816985979</v>
      </c>
      <c r="U182" s="26" t="n">
        <f aca="false">2*(O182-G182)*(1-O182)*O182*C182</f>
        <v>0.0369418916662849</v>
      </c>
      <c r="V182" s="26" t="n">
        <f aca="false">2*(O182-G182)*(1-O182)*O182*D182</f>
        <v>0.0253522785945093</v>
      </c>
      <c r="W182" s="26" t="n">
        <f aca="false">2*(O182-G182)*(1-O182)*O182*E182</f>
        <v>0.0101409114378037</v>
      </c>
      <c r="X182" s="26" t="n">
        <f aca="false">2*(O182-G182)*(1-O182)*O182*F182</f>
        <v>0.00217305245095794</v>
      </c>
    </row>
    <row r="183" customFormat="false" ht="14.25" hidden="false" customHeight="true" outlineLevel="0" collapsed="false">
      <c r="A183" s="37"/>
      <c r="B183" s="34" t="n">
        <v>19</v>
      </c>
      <c r="C183" s="28" t="n">
        <v>5.7</v>
      </c>
      <c r="D183" s="28" t="n">
        <v>3.8</v>
      </c>
      <c r="E183" s="28" t="n">
        <v>1.7</v>
      </c>
      <c r="F183" s="28" t="n">
        <v>0.3</v>
      </c>
      <c r="G183" s="35" t="n">
        <v>0</v>
      </c>
      <c r="H183" s="1" t="n">
        <f aca="false">IF(G183=P183, 1, 0)</f>
        <v>1</v>
      </c>
      <c r="I183" s="34" t="n">
        <f aca="false">I182-0.1*T182</f>
        <v>0.253451521302146</v>
      </c>
      <c r="J183" s="36" t="n">
        <f aca="false">J182-0.1*U182</f>
        <v>-0.530339872943733</v>
      </c>
      <c r="K183" s="36" t="n">
        <f aca="false">K182-0.1*V182</f>
        <v>-0.369294494814975</v>
      </c>
      <c r="L183" s="36" t="n">
        <f aca="false">L182-0.1*W182</f>
        <v>0.581661860031704</v>
      </c>
      <c r="M183" s="36" t="n">
        <f aca="false">M182-0.1*X182</f>
        <v>0.618003534288395</v>
      </c>
      <c r="N183" s="31" t="n">
        <f aca="false">I183+J183*C183+K183*D183+L183*E183+F183*M183</f>
        <v>-2.99857861243362</v>
      </c>
      <c r="O183" s="31" t="n">
        <f aca="false">1/(1+EXP(-N183))</f>
        <v>0.0474901280432587</v>
      </c>
      <c r="P183" s="32" t="n">
        <f aca="false">IF(O183&gt;0.5,1,0)</f>
        <v>0</v>
      </c>
      <c r="Q183" s="32" t="n">
        <f aca="false">O183-G183</f>
        <v>0.0474901280432587</v>
      </c>
      <c r="R183" s="33" t="n">
        <f aca="false">Q183^2</f>
        <v>0.00225531226156511</v>
      </c>
      <c r="T183" s="26" t="n">
        <f aca="false">2*(O183-G183)*(1-O183)*O183</f>
        <v>0.00429641438697169</v>
      </c>
      <c r="U183" s="26" t="n">
        <f aca="false">2*(O183-G183)*(1-O183)*O183*C183</f>
        <v>0.0244895620057387</v>
      </c>
      <c r="V183" s="26" t="n">
        <f aca="false">2*(O183-G183)*(1-O183)*O183*D183</f>
        <v>0.0163263746704924</v>
      </c>
      <c r="W183" s="26" t="n">
        <f aca="false">2*(O183-G183)*(1-O183)*O183*E183</f>
        <v>0.00730390445785188</v>
      </c>
      <c r="X183" s="26" t="n">
        <f aca="false">2*(O183-G183)*(1-O183)*O183*F183</f>
        <v>0.00128892431609151</v>
      </c>
    </row>
    <row r="184" customFormat="false" ht="14.25" hidden="false" customHeight="true" outlineLevel="0" collapsed="false">
      <c r="A184" s="37"/>
      <c r="B184" s="34" t="n">
        <v>20</v>
      </c>
      <c r="C184" s="28" t="n">
        <v>5.1</v>
      </c>
      <c r="D184" s="28" t="n">
        <v>3.8</v>
      </c>
      <c r="E184" s="28" t="n">
        <v>1.5</v>
      </c>
      <c r="F184" s="28" t="n">
        <v>0.3</v>
      </c>
      <c r="G184" s="35" t="n">
        <v>0</v>
      </c>
      <c r="H184" s="1" t="n">
        <f aca="false">IF(G184=P184, 1, 0)</f>
        <v>1</v>
      </c>
      <c r="I184" s="34" t="n">
        <f aca="false">I183-0.1*T183</f>
        <v>0.253021879863449</v>
      </c>
      <c r="J184" s="36" t="n">
        <f aca="false">J183-0.1*U183</f>
        <v>-0.532788829144307</v>
      </c>
      <c r="K184" s="36" t="n">
        <f aca="false">K183-0.1*V183</f>
        <v>-0.370927132282025</v>
      </c>
      <c r="L184" s="36" t="n">
        <f aca="false">L183-0.1*W183</f>
        <v>0.580931469585919</v>
      </c>
      <c r="M184" s="36" t="n">
        <f aca="false">M183-0.1*X183</f>
        <v>0.617874641856786</v>
      </c>
      <c r="N184" s="31" t="n">
        <f aca="false">I184+J184*C184+K184*D184+L184*E184+F184*M184</f>
        <v>-2.81696465450829</v>
      </c>
      <c r="O184" s="31" t="n">
        <f aca="false">1/(1+EXP(-N184))</f>
        <v>0.0564142928519317</v>
      </c>
      <c r="P184" s="32" t="n">
        <f aca="false">IF(O184&gt;0.5,1,0)</f>
        <v>0</v>
      </c>
      <c r="Q184" s="32" t="n">
        <f aca="false">O184-G184</f>
        <v>0.0564142928519317</v>
      </c>
      <c r="R184" s="33" t="n">
        <f aca="false">Q184^2</f>
        <v>0.00318257243798352</v>
      </c>
      <c r="T184" s="26" t="n">
        <f aca="false">2*(O184-G184)*(1-O184)*O184</f>
        <v>0.00600605972888926</v>
      </c>
      <c r="U184" s="26" t="n">
        <f aca="false">2*(O184-G184)*(1-O184)*O184*C184</f>
        <v>0.0306309046173352</v>
      </c>
      <c r="V184" s="26" t="n">
        <f aca="false">2*(O184-G184)*(1-O184)*O184*D184</f>
        <v>0.0228230269697792</v>
      </c>
      <c r="W184" s="26" t="n">
        <f aca="false">2*(O184-G184)*(1-O184)*O184*E184</f>
        <v>0.00900908959333389</v>
      </c>
      <c r="X184" s="26" t="n">
        <f aca="false">2*(O184-G184)*(1-O184)*O184*F184</f>
        <v>0.00180181791866678</v>
      </c>
    </row>
    <row r="185" customFormat="false" ht="14.25" hidden="false" customHeight="true" outlineLevel="0" collapsed="false">
      <c r="A185" s="37"/>
      <c r="B185" s="34" t="n">
        <v>21</v>
      </c>
      <c r="C185" s="28" t="n">
        <v>5.4</v>
      </c>
      <c r="D185" s="28" t="n">
        <v>3.4</v>
      </c>
      <c r="E185" s="28" t="n">
        <v>1.7</v>
      </c>
      <c r="F185" s="28" t="n">
        <v>0.2</v>
      </c>
      <c r="G185" s="35" t="n">
        <v>0</v>
      </c>
      <c r="H185" s="1" t="n">
        <f aca="false">IF(G185=P185, 1, 0)</f>
        <v>1</v>
      </c>
      <c r="I185" s="34" t="n">
        <f aca="false">I184-0.1*T184</f>
        <v>0.25242127389056</v>
      </c>
      <c r="J185" s="36" t="n">
        <f aca="false">J184-0.1*U184</f>
        <v>-0.53585191960604</v>
      </c>
      <c r="K185" s="36" t="n">
        <f aca="false">K184-0.1*V184</f>
        <v>-0.373209434979003</v>
      </c>
      <c r="L185" s="36" t="n">
        <f aca="false">L184-0.1*W184</f>
        <v>0.580030560626586</v>
      </c>
      <c r="M185" s="36" t="n">
        <f aca="false">M184-0.1*X184</f>
        <v>0.61769446006492</v>
      </c>
      <c r="N185" s="31" t="n">
        <f aca="false">I185+J185*C185+K185*D185+L185*E185+F185*M185</f>
        <v>-2.80050032583249</v>
      </c>
      <c r="O185" s="31" t="n">
        <f aca="false">1/(1+EXP(-N185))</f>
        <v>0.0572971452214937</v>
      </c>
      <c r="P185" s="32" t="n">
        <f aca="false">IF(O185&gt;0.5,1,0)</f>
        <v>0</v>
      </c>
      <c r="Q185" s="32" t="n">
        <f aca="false">O185-G185</f>
        <v>0.0572971452214937</v>
      </c>
      <c r="R185" s="33" t="n">
        <f aca="false">Q185^2</f>
        <v>0.00328296285053294</v>
      </c>
      <c r="T185" s="26" t="n">
        <f aca="false">2*(O185-G185)*(1-O185)*O185</f>
        <v>0.00618971690265837</v>
      </c>
      <c r="U185" s="26" t="n">
        <f aca="false">2*(O185-G185)*(1-O185)*O185*C185</f>
        <v>0.0334244712743552</v>
      </c>
      <c r="V185" s="26" t="n">
        <f aca="false">2*(O185-G185)*(1-O185)*O185*D185</f>
        <v>0.0210450374690384</v>
      </c>
      <c r="W185" s="26" t="n">
        <f aca="false">2*(O185-G185)*(1-O185)*O185*E185</f>
        <v>0.0105225187345192</v>
      </c>
      <c r="X185" s="26" t="n">
        <f aca="false">2*(O185-G185)*(1-O185)*O185*F185</f>
        <v>0.00123794338053167</v>
      </c>
    </row>
    <row r="186" customFormat="false" ht="14.25" hidden="false" customHeight="true" outlineLevel="0" collapsed="false">
      <c r="A186" s="37"/>
      <c r="B186" s="34" t="n">
        <v>22</v>
      </c>
      <c r="C186" s="28" t="n">
        <v>5.1</v>
      </c>
      <c r="D186" s="28" t="n">
        <v>3.7</v>
      </c>
      <c r="E186" s="28" t="n">
        <v>1.5</v>
      </c>
      <c r="F186" s="28" t="n">
        <v>0.4</v>
      </c>
      <c r="G186" s="35" t="n">
        <v>0</v>
      </c>
      <c r="H186" s="1" t="n">
        <f aca="false">IF(G186=P186, 1, 0)</f>
        <v>1</v>
      </c>
      <c r="I186" s="34" t="n">
        <f aca="false">I185-0.1*T185</f>
        <v>0.251802302200294</v>
      </c>
      <c r="J186" s="36" t="n">
        <f aca="false">J185-0.1*U185</f>
        <v>-0.539194366733476</v>
      </c>
      <c r="K186" s="36" t="n">
        <f aca="false">K185-0.1*V185</f>
        <v>-0.375313938725906</v>
      </c>
      <c r="L186" s="36" t="n">
        <f aca="false">L185-0.1*W185</f>
        <v>0.578978308753134</v>
      </c>
      <c r="M186" s="36" t="n">
        <f aca="false">M185-0.1*X185</f>
        <v>0.617570665726866</v>
      </c>
      <c r="N186" s="31" t="n">
        <f aca="false">I186+J186*C186+K186*D186+L186*E186+F186*M186</f>
        <v>-2.77125481200584</v>
      </c>
      <c r="O186" s="31" t="n">
        <f aca="false">1/(1+EXP(-N186))</f>
        <v>0.0588974225877223</v>
      </c>
      <c r="P186" s="32" t="n">
        <f aca="false">IF(O186&gt;0.5,1,0)</f>
        <v>0</v>
      </c>
      <c r="Q186" s="32" t="n">
        <f aca="false">O186-G186</f>
        <v>0.0588974225877223</v>
      </c>
      <c r="R186" s="33" t="n">
        <f aca="false">Q186^2</f>
        <v>0.00346890638747674</v>
      </c>
      <c r="T186" s="26" t="n">
        <f aca="false">2*(O186-G186)*(1-O186)*O186</f>
        <v>0.00652919348411255</v>
      </c>
      <c r="U186" s="26" t="n">
        <f aca="false">2*(O186-G186)*(1-O186)*O186*C186</f>
        <v>0.033298886768974</v>
      </c>
      <c r="V186" s="26" t="n">
        <f aca="false">2*(O186-G186)*(1-O186)*O186*D186</f>
        <v>0.0241580158912164</v>
      </c>
      <c r="W186" s="26" t="n">
        <f aca="false">2*(O186-G186)*(1-O186)*O186*E186</f>
        <v>0.00979379022616882</v>
      </c>
      <c r="X186" s="26" t="n">
        <f aca="false">2*(O186-G186)*(1-O186)*O186*F186</f>
        <v>0.00261167739364502</v>
      </c>
    </row>
    <row r="187" customFormat="false" ht="14.25" hidden="false" customHeight="true" outlineLevel="0" collapsed="false">
      <c r="A187" s="37"/>
      <c r="B187" s="34" t="n">
        <v>23</v>
      </c>
      <c r="C187" s="28" t="n">
        <v>4.6</v>
      </c>
      <c r="D187" s="28" t="n">
        <v>3.6</v>
      </c>
      <c r="E187" s="28" t="n">
        <v>1</v>
      </c>
      <c r="F187" s="28" t="n">
        <v>0.2</v>
      </c>
      <c r="G187" s="35" t="n">
        <v>0</v>
      </c>
      <c r="H187" s="1" t="n">
        <f aca="false">IF(G187=P187, 1, 0)</f>
        <v>1</v>
      </c>
      <c r="I187" s="34" t="n">
        <f aca="false">I186-0.1*T186</f>
        <v>0.251149382851883</v>
      </c>
      <c r="J187" s="36" t="n">
        <f aca="false">J186-0.1*U186</f>
        <v>-0.542524255410373</v>
      </c>
      <c r="K187" s="36" t="n">
        <f aca="false">K186-0.1*V186</f>
        <v>-0.377729740315028</v>
      </c>
      <c r="L187" s="36" t="n">
        <f aca="false">L186-0.1*W186</f>
        <v>0.577998929730517</v>
      </c>
      <c r="M187" s="36" t="n">
        <f aca="false">M186-0.1*X186</f>
        <v>0.617309497987502</v>
      </c>
      <c r="N187" s="31" t="n">
        <f aca="false">I187+J187*C187+K187*D187+L187*E187+F187*M187</f>
        <v>-2.90282842784192</v>
      </c>
      <c r="O187" s="31" t="n">
        <f aca="false">1/(1+EXP(-N187))</f>
        <v>0.0520139207738999</v>
      </c>
      <c r="P187" s="32" t="n">
        <f aca="false">IF(O187&gt;0.5,1,0)</f>
        <v>0</v>
      </c>
      <c r="Q187" s="32" t="n">
        <f aca="false">O187-G187</f>
        <v>0.0520139207738999</v>
      </c>
      <c r="R187" s="33" t="n">
        <f aca="false">Q187^2</f>
        <v>0.00270544795427354</v>
      </c>
      <c r="T187" s="26" t="n">
        <f aca="false">2*(O187-G187)*(1-O187)*O187</f>
        <v>0.00512945399744409</v>
      </c>
      <c r="U187" s="26" t="n">
        <f aca="false">2*(O187-G187)*(1-O187)*O187*C187</f>
        <v>0.0235954883882428</v>
      </c>
      <c r="V187" s="26" t="n">
        <f aca="false">2*(O187-G187)*(1-O187)*O187*D187</f>
        <v>0.0184660343907987</v>
      </c>
      <c r="W187" s="26" t="n">
        <f aca="false">2*(O187-G187)*(1-O187)*O187*E187</f>
        <v>0.00512945399744409</v>
      </c>
      <c r="X187" s="26" t="n">
        <f aca="false">2*(O187-G187)*(1-O187)*O187*F187</f>
        <v>0.00102589079948882</v>
      </c>
    </row>
    <row r="188" customFormat="false" ht="14.25" hidden="false" customHeight="true" outlineLevel="0" collapsed="false">
      <c r="A188" s="37"/>
      <c r="B188" s="34" t="n">
        <v>24</v>
      </c>
      <c r="C188" s="28" t="n">
        <v>5.1</v>
      </c>
      <c r="D188" s="28" t="n">
        <v>3.3</v>
      </c>
      <c r="E188" s="28" t="n">
        <v>1.7</v>
      </c>
      <c r="F188" s="28" t="n">
        <v>0.5</v>
      </c>
      <c r="G188" s="35" t="n">
        <v>0</v>
      </c>
      <c r="H188" s="1" t="n">
        <f aca="false">IF(G188=P188, 1, 0)</f>
        <v>1</v>
      </c>
      <c r="I188" s="34" t="n">
        <f aca="false">I187-0.1*T187</f>
        <v>0.250636437452139</v>
      </c>
      <c r="J188" s="36" t="n">
        <f aca="false">J187-0.1*U187</f>
        <v>-0.544883804249197</v>
      </c>
      <c r="K188" s="36" t="n">
        <f aca="false">K187-0.1*V187</f>
        <v>-0.379576343754108</v>
      </c>
      <c r="L188" s="36" t="n">
        <f aca="false">L187-0.1*W187</f>
        <v>0.577485984330772</v>
      </c>
      <c r="M188" s="36" t="n">
        <f aca="false">M187-0.1*X187</f>
        <v>0.617206908907553</v>
      </c>
      <c r="N188" s="31" t="n">
        <f aca="false">I188+J188*C188+K188*D188+L188*E188+F188*M188</f>
        <v>-2.49054327079123</v>
      </c>
      <c r="O188" s="31" t="n">
        <f aca="false">1/(1+EXP(-N188))</f>
        <v>0.0765237967094202</v>
      </c>
      <c r="P188" s="32" t="n">
        <f aca="false">IF(O188&gt;0.5,1,0)</f>
        <v>0</v>
      </c>
      <c r="Q188" s="32" t="n">
        <f aca="false">O188-G188</f>
        <v>0.0765237967094202</v>
      </c>
      <c r="R188" s="33" t="n">
        <f aca="false">Q188^2</f>
        <v>0.00585589146282467</v>
      </c>
      <c r="T188" s="26" t="n">
        <f aca="false">2*(O188-G188)*(1-O188)*O188</f>
        <v>0.0108155528299421</v>
      </c>
      <c r="U188" s="26" t="n">
        <f aca="false">2*(O188-G188)*(1-O188)*O188*C188</f>
        <v>0.0551593194327046</v>
      </c>
      <c r="V188" s="26" t="n">
        <f aca="false">2*(O188-G188)*(1-O188)*O188*D188</f>
        <v>0.0356913243388089</v>
      </c>
      <c r="W188" s="26" t="n">
        <f aca="false">2*(O188-G188)*(1-O188)*O188*E188</f>
        <v>0.0183864398109015</v>
      </c>
      <c r="X188" s="26" t="n">
        <f aca="false">2*(O188-G188)*(1-O188)*O188*F188</f>
        <v>0.00540777641497104</v>
      </c>
    </row>
    <row r="189" customFormat="false" ht="14.25" hidden="false" customHeight="true" outlineLevel="0" collapsed="false">
      <c r="A189" s="37"/>
      <c r="B189" s="34" t="n">
        <v>25</v>
      </c>
      <c r="C189" s="28" t="n">
        <v>4.8</v>
      </c>
      <c r="D189" s="28" t="n">
        <v>3.4</v>
      </c>
      <c r="E189" s="28" t="n">
        <v>1.9</v>
      </c>
      <c r="F189" s="28" t="n">
        <v>0.2</v>
      </c>
      <c r="G189" s="35" t="n">
        <v>0</v>
      </c>
      <c r="H189" s="1" t="n">
        <f aca="false">IF(G189=P189, 1, 0)</f>
        <v>1</v>
      </c>
      <c r="I189" s="34" t="n">
        <f aca="false">I188-0.1*T188</f>
        <v>0.249554882169144</v>
      </c>
      <c r="J189" s="36" t="n">
        <f aca="false">J188-0.1*U188</f>
        <v>-0.550399736192468</v>
      </c>
      <c r="K189" s="36" t="n">
        <f aca="false">K188-0.1*V188</f>
        <v>-0.383145476187989</v>
      </c>
      <c r="L189" s="36" t="n">
        <f aca="false">L188-0.1*W188</f>
        <v>0.575647340349682</v>
      </c>
      <c r="M189" s="36" t="n">
        <f aca="false">M188-0.1*X188</f>
        <v>0.616666131266056</v>
      </c>
      <c r="N189" s="31" t="n">
        <f aca="false">I189+J189*C189+K189*D189+L189*E189+F189*M189</f>
        <v>-2.47799529767626</v>
      </c>
      <c r="O189" s="31" t="n">
        <f aca="false">1/(1+EXP(-N189))</f>
        <v>0.0774152610222521</v>
      </c>
      <c r="P189" s="32" t="n">
        <f aca="false">IF(O189&gt;0.5,1,0)</f>
        <v>0</v>
      </c>
      <c r="Q189" s="32" t="n">
        <f aca="false">O189-G189</f>
        <v>0.0774152610222521</v>
      </c>
      <c r="R189" s="33" t="n">
        <f aca="false">Q189^2</f>
        <v>0.00599312263914343</v>
      </c>
      <c r="T189" s="26" t="n">
        <f aca="false">2*(O189-G189)*(1-O189)*O189</f>
        <v>0.0110583269713915</v>
      </c>
      <c r="U189" s="26" t="n">
        <f aca="false">2*(O189-G189)*(1-O189)*O189*C189</f>
        <v>0.0530799694626794</v>
      </c>
      <c r="V189" s="26" t="n">
        <f aca="false">2*(O189-G189)*(1-O189)*O189*D189</f>
        <v>0.0375983117027313</v>
      </c>
      <c r="W189" s="26" t="n">
        <f aca="false">2*(O189-G189)*(1-O189)*O189*E189</f>
        <v>0.0210108212456439</v>
      </c>
      <c r="X189" s="26" t="n">
        <f aca="false">2*(O189-G189)*(1-O189)*O189*F189</f>
        <v>0.00221166539427831</v>
      </c>
    </row>
    <row r="190" customFormat="false" ht="14.25" hidden="false" customHeight="true" outlineLevel="0" collapsed="false">
      <c r="A190" s="37"/>
      <c r="B190" s="34" t="n">
        <v>26</v>
      </c>
      <c r="C190" s="28" t="n">
        <v>5</v>
      </c>
      <c r="D190" s="28" t="n">
        <v>3</v>
      </c>
      <c r="E190" s="28" t="n">
        <v>1.6</v>
      </c>
      <c r="F190" s="28" t="n">
        <v>0.2</v>
      </c>
      <c r="G190" s="35" t="n">
        <v>0</v>
      </c>
      <c r="H190" s="1" t="n">
        <f aca="false">IF(G190=P190, 1, 0)</f>
        <v>1</v>
      </c>
      <c r="I190" s="34" t="n">
        <f aca="false">I189-0.1*T189</f>
        <v>0.248449049472005</v>
      </c>
      <c r="J190" s="36" t="n">
        <f aca="false">J189-0.1*U189</f>
        <v>-0.555707733138736</v>
      </c>
      <c r="K190" s="36" t="n">
        <f aca="false">K189-0.1*V189</f>
        <v>-0.386905307358262</v>
      </c>
      <c r="L190" s="36" t="n">
        <f aca="false">L189-0.1*W189</f>
        <v>0.573546258225118</v>
      </c>
      <c r="M190" s="36" t="n">
        <f aca="false">M189-0.1*X189</f>
        <v>0.616444964726628</v>
      </c>
      <c r="N190" s="31" t="n">
        <f aca="false">I190+J190*C190+K190*D190+L190*E190+F190*M190</f>
        <v>-2.64984253219095</v>
      </c>
      <c r="O190" s="31" t="n">
        <f aca="false">1/(1+EXP(-N190))</f>
        <v>0.0659987155979378</v>
      </c>
      <c r="P190" s="32" t="n">
        <f aca="false">IF(O190&gt;0.5,1,0)</f>
        <v>0</v>
      </c>
      <c r="Q190" s="32" t="n">
        <f aca="false">O190-G190</f>
        <v>0.0659987155979378</v>
      </c>
      <c r="R190" s="33" t="n">
        <f aca="false">Q190^2</f>
        <v>0.00435583046057748</v>
      </c>
      <c r="T190" s="26" t="n">
        <f aca="false">2*(O190-G190)*(1-O190)*O190</f>
        <v>0.00813670248963398</v>
      </c>
      <c r="U190" s="26" t="n">
        <f aca="false">2*(O190-G190)*(1-O190)*O190*C190</f>
        <v>0.0406835124481699</v>
      </c>
      <c r="V190" s="26" t="n">
        <f aca="false">2*(O190-G190)*(1-O190)*O190*D190</f>
        <v>0.0244101074689019</v>
      </c>
      <c r="W190" s="26" t="n">
        <f aca="false">2*(O190-G190)*(1-O190)*O190*E190</f>
        <v>0.0130187239834144</v>
      </c>
      <c r="X190" s="26" t="n">
        <f aca="false">2*(O190-G190)*(1-O190)*O190*F190</f>
        <v>0.0016273404979268</v>
      </c>
    </row>
    <row r="191" customFormat="false" ht="14.25" hidden="false" customHeight="true" outlineLevel="0" collapsed="false">
      <c r="A191" s="37"/>
      <c r="B191" s="34" t="n">
        <v>27</v>
      </c>
      <c r="C191" s="28" t="n">
        <v>5</v>
      </c>
      <c r="D191" s="28" t="n">
        <v>3.4</v>
      </c>
      <c r="E191" s="28" t="n">
        <v>1.6</v>
      </c>
      <c r="F191" s="28" t="n">
        <v>0.4</v>
      </c>
      <c r="G191" s="35" t="n">
        <v>0</v>
      </c>
      <c r="H191" s="1" t="n">
        <f aca="false">IF(G191=P191, 1, 0)</f>
        <v>1</v>
      </c>
      <c r="I191" s="34" t="n">
        <f aca="false">I190-0.1*T190</f>
        <v>0.247635379223042</v>
      </c>
      <c r="J191" s="36" t="n">
        <f aca="false">J190-0.1*U190</f>
        <v>-0.559776084383553</v>
      </c>
      <c r="K191" s="36" t="n">
        <f aca="false">K190-0.1*V190</f>
        <v>-0.389346318105152</v>
      </c>
      <c r="L191" s="36" t="n">
        <f aca="false">L190-0.1*W190</f>
        <v>0.572244385826776</v>
      </c>
      <c r="M191" s="36" t="n">
        <f aca="false">M190-0.1*X190</f>
        <v>0.616282230676835</v>
      </c>
      <c r="N191" s="31" t="n">
        <f aca="false">I191+J191*C191+K191*D191+L191*E191+F191*M191</f>
        <v>-2.71291861465866</v>
      </c>
      <c r="O191" s="31" t="n">
        <f aca="false">1/(1+EXP(-N191))</f>
        <v>0.0622153482439777</v>
      </c>
      <c r="P191" s="32" t="n">
        <f aca="false">IF(O191&gt;0.5,1,0)</f>
        <v>0</v>
      </c>
      <c r="Q191" s="32" t="n">
        <f aca="false">O191-G191</f>
        <v>0.0622153482439777</v>
      </c>
      <c r="R191" s="33" t="n">
        <f aca="false">Q191^2</f>
        <v>0.00387074955711942</v>
      </c>
      <c r="T191" s="26" t="n">
        <f aca="false">2*(O191-G191)*(1-O191)*O191</f>
        <v>0.00725985905091602</v>
      </c>
      <c r="U191" s="26" t="n">
        <f aca="false">2*(O191-G191)*(1-O191)*O191*C191</f>
        <v>0.0362992952545801</v>
      </c>
      <c r="V191" s="26" t="n">
        <f aca="false">2*(O191-G191)*(1-O191)*O191*D191</f>
        <v>0.0246835207731145</v>
      </c>
      <c r="W191" s="26" t="n">
        <f aca="false">2*(O191-G191)*(1-O191)*O191*E191</f>
        <v>0.0116157744814656</v>
      </c>
      <c r="X191" s="26" t="n">
        <f aca="false">2*(O191-G191)*(1-O191)*O191*F191</f>
        <v>0.00290394362036641</v>
      </c>
    </row>
    <row r="192" customFormat="false" ht="14.25" hidden="false" customHeight="true" outlineLevel="0" collapsed="false">
      <c r="A192" s="37"/>
      <c r="B192" s="34" t="n">
        <v>28</v>
      </c>
      <c r="C192" s="28" t="n">
        <v>5.2</v>
      </c>
      <c r="D192" s="28" t="n">
        <v>3.5</v>
      </c>
      <c r="E192" s="28" t="n">
        <v>1.5</v>
      </c>
      <c r="F192" s="28" t="n">
        <v>0.2</v>
      </c>
      <c r="G192" s="35" t="n">
        <v>0</v>
      </c>
      <c r="H192" s="1" t="n">
        <f aca="false">IF(G192=P192, 1, 0)</f>
        <v>1</v>
      </c>
      <c r="I192" s="34" t="n">
        <f aca="false">I191-0.1*T191</f>
        <v>0.24690939331795</v>
      </c>
      <c r="J192" s="36" t="n">
        <f aca="false">J191-0.1*U191</f>
        <v>-0.563406013909011</v>
      </c>
      <c r="K192" s="36" t="n">
        <f aca="false">K191-0.1*V191</f>
        <v>-0.391814670182464</v>
      </c>
      <c r="L192" s="36" t="n">
        <f aca="false">L191-0.1*W191</f>
        <v>0.57108280837863</v>
      </c>
      <c r="M192" s="36" t="n">
        <f aca="false">M191-0.1*X191</f>
        <v>0.615991836314799</v>
      </c>
      <c r="N192" s="31" t="n">
        <f aca="false">I192+J192*C192+K192*D192+L192*E192+F192*M192</f>
        <v>-3.07433064481662</v>
      </c>
      <c r="O192" s="31" t="n">
        <f aca="false">1/(1+EXP(-N192))</f>
        <v>0.0441785966959612</v>
      </c>
      <c r="P192" s="32" t="n">
        <f aca="false">IF(O192&gt;0.5,1,0)</f>
        <v>0</v>
      </c>
      <c r="Q192" s="32" t="n">
        <f aca="false">O192-G192</f>
        <v>0.0441785966959612</v>
      </c>
      <c r="R192" s="33" t="n">
        <f aca="false">Q192^2</f>
        <v>0.00195174840602439</v>
      </c>
      <c r="T192" s="26" t="n">
        <f aca="false">2*(O192-G192)*(1-O192)*O192</f>
        <v>0.00373104580068531</v>
      </c>
      <c r="U192" s="26" t="n">
        <f aca="false">2*(O192-G192)*(1-O192)*O192*C192</f>
        <v>0.0194014381635636</v>
      </c>
      <c r="V192" s="26" t="n">
        <f aca="false">2*(O192-G192)*(1-O192)*O192*D192</f>
        <v>0.0130586603023986</v>
      </c>
      <c r="W192" s="26" t="n">
        <f aca="false">2*(O192-G192)*(1-O192)*O192*E192</f>
        <v>0.00559656870102797</v>
      </c>
      <c r="X192" s="26" t="n">
        <f aca="false">2*(O192-G192)*(1-O192)*O192*F192</f>
        <v>0.000746209160137063</v>
      </c>
    </row>
    <row r="193" customFormat="false" ht="14.25" hidden="false" customHeight="true" outlineLevel="0" collapsed="false">
      <c r="A193" s="37"/>
      <c r="B193" s="34" t="n">
        <v>29</v>
      </c>
      <c r="C193" s="28" t="n">
        <v>5.2</v>
      </c>
      <c r="D193" s="28" t="n">
        <v>3.4</v>
      </c>
      <c r="E193" s="28" t="n">
        <v>1.4</v>
      </c>
      <c r="F193" s="28" t="n">
        <v>0.2</v>
      </c>
      <c r="G193" s="35" t="n">
        <v>0</v>
      </c>
      <c r="H193" s="1" t="n">
        <f aca="false">IF(G193=P193, 1, 0)</f>
        <v>1</v>
      </c>
      <c r="I193" s="34" t="n">
        <f aca="false">I192-0.1*T192</f>
        <v>0.246536288737882</v>
      </c>
      <c r="J193" s="36" t="n">
        <f aca="false">J192-0.1*U192</f>
        <v>-0.565346157725367</v>
      </c>
      <c r="K193" s="36" t="n">
        <f aca="false">K192-0.1*V192</f>
        <v>-0.393120536212703</v>
      </c>
      <c r="L193" s="36" t="n">
        <f aca="false">L192-0.1*W192</f>
        <v>0.570523151508527</v>
      </c>
      <c r="M193" s="36" t="n">
        <f aca="false">M192-0.1*X192</f>
        <v>0.615917215398785</v>
      </c>
      <c r="N193" s="31" t="n">
        <f aca="false">I193+J193*C193+K193*D193+L193*E193+F193*M193</f>
        <v>-3.10795769936552</v>
      </c>
      <c r="O193" s="31" t="n">
        <f aca="false">1/(1+EXP(-N193))</f>
        <v>0.0427801984873799</v>
      </c>
      <c r="P193" s="32" t="n">
        <f aca="false">IF(O193&gt;0.5,1,0)</f>
        <v>0</v>
      </c>
      <c r="Q193" s="32" t="n">
        <f aca="false">O193-G193</f>
        <v>0.0427801984873799</v>
      </c>
      <c r="R193" s="33" t="n">
        <f aca="false">Q193^2</f>
        <v>0.00183014538261962</v>
      </c>
      <c r="T193" s="26" t="n">
        <f aca="false">2*(O193-G193)*(1-O193)*O193</f>
        <v>0.00350370279978079</v>
      </c>
      <c r="U193" s="26" t="n">
        <f aca="false">2*(O193-G193)*(1-O193)*O193*C193</f>
        <v>0.0182192545588601</v>
      </c>
      <c r="V193" s="26" t="n">
        <f aca="false">2*(O193-G193)*(1-O193)*O193*D193</f>
        <v>0.0119125895192547</v>
      </c>
      <c r="W193" s="26" t="n">
        <f aca="false">2*(O193-G193)*(1-O193)*O193*E193</f>
        <v>0.0049051839196931</v>
      </c>
      <c r="X193" s="26" t="n">
        <f aca="false">2*(O193-G193)*(1-O193)*O193*F193</f>
        <v>0.000700740559956157</v>
      </c>
    </row>
    <row r="194" customFormat="false" ht="14.25" hidden="false" customHeight="true" outlineLevel="0" collapsed="false">
      <c r="A194" s="37"/>
      <c r="B194" s="34" t="n">
        <v>30</v>
      </c>
      <c r="C194" s="28" t="n">
        <v>4.7</v>
      </c>
      <c r="D194" s="28" t="n">
        <v>3.2</v>
      </c>
      <c r="E194" s="28" t="n">
        <v>1.6</v>
      </c>
      <c r="F194" s="28" t="n">
        <v>0.2</v>
      </c>
      <c r="G194" s="35" t="n">
        <v>0</v>
      </c>
      <c r="H194" s="1" t="n">
        <f aca="false">IF(G194=P194, 1, 0)</f>
        <v>1</v>
      </c>
      <c r="I194" s="34" t="n">
        <f aca="false">I193-0.1*T193</f>
        <v>0.246185918457904</v>
      </c>
      <c r="J194" s="36" t="n">
        <f aca="false">J193-0.1*U193</f>
        <v>-0.567168083181253</v>
      </c>
      <c r="K194" s="36" t="n">
        <f aca="false">K193-0.1*V193</f>
        <v>-0.394311795164629</v>
      </c>
      <c r="L194" s="36" t="n">
        <f aca="false">L193-0.1*W193</f>
        <v>0.570032633116558</v>
      </c>
      <c r="M194" s="36" t="n">
        <f aca="false">M193-0.1*X193</f>
        <v>0.615847141342789</v>
      </c>
      <c r="N194" s="31" t="n">
        <f aca="false">I194+J194*C194+K194*D194+L194*E194+F194*M194</f>
        <v>-2.64608017576575</v>
      </c>
      <c r="O194" s="31" t="n">
        <f aca="false">1/(1+EXP(-N194))</f>
        <v>0.0662310171465305</v>
      </c>
      <c r="P194" s="32" t="n">
        <f aca="false">IF(O194&gt;0.5,1,0)</f>
        <v>0</v>
      </c>
      <c r="Q194" s="32" t="n">
        <f aca="false">O194-G194</f>
        <v>0.0662310171465305</v>
      </c>
      <c r="R194" s="33" t="n">
        <f aca="false">Q194^2</f>
        <v>0.00438654763226402</v>
      </c>
      <c r="T194" s="26" t="n">
        <f aca="false">2*(O194-G194)*(1-O194)*O194</f>
        <v>0.00819204424163493</v>
      </c>
      <c r="U194" s="26" t="n">
        <f aca="false">2*(O194-G194)*(1-O194)*O194*C194</f>
        <v>0.0385026079356842</v>
      </c>
      <c r="V194" s="26" t="n">
        <f aca="false">2*(O194-G194)*(1-O194)*O194*D194</f>
        <v>0.0262145415732318</v>
      </c>
      <c r="W194" s="26" t="n">
        <f aca="false">2*(O194-G194)*(1-O194)*O194*E194</f>
        <v>0.0131072707866159</v>
      </c>
      <c r="X194" s="26" t="n">
        <f aca="false">2*(O194-G194)*(1-O194)*O194*F194</f>
        <v>0.00163840884832699</v>
      </c>
    </row>
    <row r="195" customFormat="false" ht="14.25" hidden="false" customHeight="true" outlineLevel="0" collapsed="false">
      <c r="A195" s="37"/>
      <c r="B195" s="34" t="n">
        <v>31</v>
      </c>
      <c r="C195" s="28" t="n">
        <v>4.8</v>
      </c>
      <c r="D195" s="28" t="n">
        <v>3.1</v>
      </c>
      <c r="E195" s="28" t="n">
        <v>1.6</v>
      </c>
      <c r="F195" s="28" t="n">
        <v>0.2</v>
      </c>
      <c r="G195" s="35" t="n">
        <v>0</v>
      </c>
      <c r="H195" s="1" t="n">
        <f aca="false">IF(G195=P195, 1, 0)</f>
        <v>1</v>
      </c>
      <c r="I195" s="34" t="n">
        <f aca="false">I194-0.1*T194</f>
        <v>0.24536671403374</v>
      </c>
      <c r="J195" s="36" t="n">
        <f aca="false">J194-0.1*U194</f>
        <v>-0.571018343974822</v>
      </c>
      <c r="K195" s="36" t="n">
        <f aca="false">K194-0.1*V194</f>
        <v>-0.396933249321952</v>
      </c>
      <c r="L195" s="36" t="n">
        <f aca="false">L194-0.1*W194</f>
        <v>0.568721906037896</v>
      </c>
      <c r="M195" s="36" t="n">
        <f aca="false">M194-0.1*X194</f>
        <v>0.615683300457957</v>
      </c>
      <c r="N195" s="31" t="n">
        <f aca="false">I195+J195*C195+K195*D195+L195*E195+F195*M195</f>
        <v>-2.69292270019123</v>
      </c>
      <c r="O195" s="31" t="n">
        <f aca="false">1/(1+EXP(-N195))</f>
        <v>0.0633922652537282</v>
      </c>
      <c r="P195" s="32" t="n">
        <f aca="false">IF(O195&gt;0.5,1,0)</f>
        <v>0</v>
      </c>
      <c r="Q195" s="32" t="n">
        <f aca="false">O195-G195</f>
        <v>0.0633922652537282</v>
      </c>
      <c r="R195" s="33" t="n">
        <f aca="false">Q195^2</f>
        <v>0.00401857929399904</v>
      </c>
      <c r="T195" s="26" t="n">
        <f aca="false">2*(O195-G195)*(1-O195)*O195</f>
        <v>0.00752766489890142</v>
      </c>
      <c r="U195" s="26" t="n">
        <f aca="false">2*(O195-G195)*(1-O195)*O195*C195</f>
        <v>0.0361327915147268</v>
      </c>
      <c r="V195" s="26" t="n">
        <f aca="false">2*(O195-G195)*(1-O195)*O195*D195</f>
        <v>0.0233357611865944</v>
      </c>
      <c r="W195" s="26" t="n">
        <f aca="false">2*(O195-G195)*(1-O195)*O195*E195</f>
        <v>0.0120442638382423</v>
      </c>
      <c r="X195" s="26" t="n">
        <f aca="false">2*(O195-G195)*(1-O195)*O195*F195</f>
        <v>0.00150553297978028</v>
      </c>
    </row>
    <row r="196" customFormat="false" ht="14.25" hidden="false" customHeight="true" outlineLevel="0" collapsed="false">
      <c r="A196" s="37"/>
      <c r="B196" s="34" t="n">
        <v>32</v>
      </c>
      <c r="C196" s="28" t="n">
        <v>5.4</v>
      </c>
      <c r="D196" s="28" t="n">
        <v>3.4</v>
      </c>
      <c r="E196" s="28" t="n">
        <v>1.5</v>
      </c>
      <c r="F196" s="28" t="n">
        <v>0.4</v>
      </c>
      <c r="G196" s="35" t="n">
        <v>0</v>
      </c>
      <c r="H196" s="1" t="n">
        <f aca="false">IF(G196=P196, 1, 0)</f>
        <v>1</v>
      </c>
      <c r="I196" s="34" t="n">
        <f aca="false">I195-0.1*T195</f>
        <v>0.24461394754385</v>
      </c>
      <c r="J196" s="36" t="n">
        <f aca="false">J195-0.1*U195</f>
        <v>-0.574631623126294</v>
      </c>
      <c r="K196" s="36" t="n">
        <f aca="false">K195-0.1*V195</f>
        <v>-0.399266825440612</v>
      </c>
      <c r="L196" s="36" t="n">
        <f aca="false">L195-0.1*W195</f>
        <v>0.567517479654072</v>
      </c>
      <c r="M196" s="36" t="n">
        <f aca="false">M195-0.1*X195</f>
        <v>0.615532747159979</v>
      </c>
      <c r="N196" s="31" t="n">
        <f aca="false">I196+J196*C196+K196*D196+L196*E196+F196*M196</f>
        <v>-3.11841470549112</v>
      </c>
      <c r="O196" s="31" t="n">
        <f aca="false">1/(1+EXP(-N196))</f>
        <v>0.0423540250140972</v>
      </c>
      <c r="P196" s="32" t="n">
        <f aca="false">IF(O196&gt;0.5,1,0)</f>
        <v>0</v>
      </c>
      <c r="Q196" s="32" t="n">
        <f aca="false">O196-G196</f>
        <v>0.0423540250140972</v>
      </c>
      <c r="R196" s="33" t="n">
        <f aca="false">Q196^2</f>
        <v>0.00179386343489477</v>
      </c>
      <c r="T196" s="26" t="n">
        <f aca="false">2*(O196-G196)*(1-O196)*O196</f>
        <v>0.00343577219620272</v>
      </c>
      <c r="U196" s="26" t="n">
        <f aca="false">2*(O196-G196)*(1-O196)*O196*C196</f>
        <v>0.0185531698594947</v>
      </c>
      <c r="V196" s="26" t="n">
        <f aca="false">2*(O196-G196)*(1-O196)*O196*D196</f>
        <v>0.0116816254670893</v>
      </c>
      <c r="W196" s="26" t="n">
        <f aca="false">2*(O196-G196)*(1-O196)*O196*E196</f>
        <v>0.00515365829430408</v>
      </c>
      <c r="X196" s="26" t="n">
        <f aca="false">2*(O196-G196)*(1-O196)*O196*F196</f>
        <v>0.00137430887848109</v>
      </c>
    </row>
    <row r="197" customFormat="false" ht="14.25" hidden="false" customHeight="true" outlineLevel="0" collapsed="false">
      <c r="A197" s="37"/>
      <c r="B197" s="34" t="n">
        <v>33</v>
      </c>
      <c r="C197" s="28" t="n">
        <v>5.2</v>
      </c>
      <c r="D197" s="28" t="n">
        <v>4.1</v>
      </c>
      <c r="E197" s="28" t="n">
        <v>1.5</v>
      </c>
      <c r="F197" s="28" t="n">
        <v>0.1</v>
      </c>
      <c r="G197" s="35" t="n">
        <v>0</v>
      </c>
      <c r="H197" s="1" t="n">
        <f aca="false">IF(G197=P197, 1, 0)</f>
        <v>1</v>
      </c>
      <c r="I197" s="34" t="n">
        <f aca="false">I196-0.1*T196</f>
        <v>0.24427037032423</v>
      </c>
      <c r="J197" s="36" t="n">
        <f aca="false">J196-0.1*U196</f>
        <v>-0.576486940112244</v>
      </c>
      <c r="K197" s="36" t="n">
        <f aca="false">K196-0.1*V196</f>
        <v>-0.40043498798732</v>
      </c>
      <c r="L197" s="36" t="n">
        <f aca="false">L196-0.1*W196</f>
        <v>0.567002113824641</v>
      </c>
      <c r="M197" s="36" t="n">
        <f aca="false">M196-0.1*X196</f>
        <v>0.615395316272131</v>
      </c>
      <c r="N197" s="31" t="n">
        <f aca="false">I197+J197*C197+K197*D197+L197*E197+F197*M197</f>
        <v>-3.48320246664328</v>
      </c>
      <c r="O197" s="31" t="n">
        <f aca="false">1/(1+EXP(-N197))</f>
        <v>0.0297939688529734</v>
      </c>
      <c r="P197" s="32" t="n">
        <f aca="false">IF(O197&gt;0.5,1,0)</f>
        <v>0</v>
      </c>
      <c r="Q197" s="32" t="n">
        <f aca="false">O197-G197</f>
        <v>0.0297939688529734</v>
      </c>
      <c r="R197" s="33" t="n">
        <f aca="false">Q197^2</f>
        <v>0.00088768058001195</v>
      </c>
      <c r="T197" s="26" t="n">
        <f aca="false">2*(O197-G197)*(1-O197)*O197</f>
        <v>0.00172246610491937</v>
      </c>
      <c r="U197" s="26" t="n">
        <f aca="false">2*(O197-G197)*(1-O197)*O197*C197</f>
        <v>0.00895682374558072</v>
      </c>
      <c r="V197" s="26" t="n">
        <f aca="false">2*(O197-G197)*(1-O197)*O197*D197</f>
        <v>0.00706211103016941</v>
      </c>
      <c r="W197" s="26" t="n">
        <f aca="false">2*(O197-G197)*(1-O197)*O197*E197</f>
        <v>0.00258369915737905</v>
      </c>
      <c r="X197" s="26" t="n">
        <f aca="false">2*(O197-G197)*(1-O197)*O197*F197</f>
        <v>0.000172246610491937</v>
      </c>
    </row>
    <row r="198" customFormat="false" ht="14.25" hidden="false" customHeight="true" outlineLevel="0" collapsed="false">
      <c r="A198" s="37"/>
      <c r="B198" s="34" t="n">
        <v>34</v>
      </c>
      <c r="C198" s="28" t="n">
        <v>5.5</v>
      </c>
      <c r="D198" s="28" t="n">
        <v>4.2</v>
      </c>
      <c r="E198" s="28" t="n">
        <v>1.4</v>
      </c>
      <c r="F198" s="28" t="n">
        <v>0.2</v>
      </c>
      <c r="G198" s="35" t="n">
        <v>0</v>
      </c>
      <c r="H198" s="1" t="n">
        <f aca="false">IF(G198=P198, 1, 0)</f>
        <v>1</v>
      </c>
      <c r="I198" s="34" t="n">
        <f aca="false">I197-0.1*T197</f>
        <v>0.244098123713738</v>
      </c>
      <c r="J198" s="36" t="n">
        <f aca="false">J197-0.1*U197</f>
        <v>-0.577382622486802</v>
      </c>
      <c r="K198" s="36" t="n">
        <f aca="false">K197-0.1*V197</f>
        <v>-0.401141199090337</v>
      </c>
      <c r="L198" s="36" t="n">
        <f aca="false">L197-0.1*W197</f>
        <v>0.566743743908903</v>
      </c>
      <c r="M198" s="36" t="n">
        <f aca="false">M197-0.1*X197</f>
        <v>0.615378091611082</v>
      </c>
      <c r="N198" s="31" t="n">
        <f aca="false">I198+J198*C198+K198*D198+L198*E198+F198*M198</f>
        <v>-3.69978247634841</v>
      </c>
      <c r="O198" s="31" t="n">
        <f aca="false">1/(1+EXP(-N198))</f>
        <v>0.0241321435222767</v>
      </c>
      <c r="P198" s="32" t="n">
        <f aca="false">IF(O198&gt;0.5,1,0)</f>
        <v>0</v>
      </c>
      <c r="Q198" s="32" t="n">
        <f aca="false">O198-G198</f>
        <v>0.0241321435222767</v>
      </c>
      <c r="R198" s="33" t="n">
        <f aca="false">Q198^2</f>
        <v>0.000582360350979761</v>
      </c>
      <c r="T198" s="26" t="n">
        <f aca="false">2*(O198-G198)*(1-O198)*O198</f>
        <v>0.00113661349481647</v>
      </c>
      <c r="U198" s="26" t="n">
        <f aca="false">2*(O198-G198)*(1-O198)*O198*C198</f>
        <v>0.00625137422149058</v>
      </c>
      <c r="V198" s="26" t="n">
        <f aca="false">2*(O198-G198)*(1-O198)*O198*D198</f>
        <v>0.00477377667822917</v>
      </c>
      <c r="W198" s="26" t="n">
        <f aca="false">2*(O198-G198)*(1-O198)*O198*E198</f>
        <v>0.00159125889274306</v>
      </c>
      <c r="X198" s="26" t="n">
        <f aca="false">2*(O198-G198)*(1-O198)*O198*F198</f>
        <v>0.000227322698963294</v>
      </c>
    </row>
    <row r="199" customFormat="false" ht="14.25" hidden="false" customHeight="true" outlineLevel="0" collapsed="false">
      <c r="A199" s="37"/>
      <c r="B199" s="34" t="n">
        <v>35</v>
      </c>
      <c r="C199" s="28" t="n">
        <v>4.9</v>
      </c>
      <c r="D199" s="28" t="n">
        <v>3.1</v>
      </c>
      <c r="E199" s="28" t="n">
        <v>1.5</v>
      </c>
      <c r="F199" s="28" t="n">
        <v>0.1</v>
      </c>
      <c r="G199" s="35" t="n">
        <v>0</v>
      </c>
      <c r="H199" s="1" t="n">
        <f aca="false">IF(G199=P199, 1, 0)</f>
        <v>1</v>
      </c>
      <c r="I199" s="34" t="n">
        <f aca="false">I198-0.1*T198</f>
        <v>0.243984462364256</v>
      </c>
      <c r="J199" s="36" t="n">
        <f aca="false">J198-0.1*U198</f>
        <v>-0.578007759908951</v>
      </c>
      <c r="K199" s="36" t="n">
        <f aca="false">K198-0.1*V198</f>
        <v>-0.40161857675816</v>
      </c>
      <c r="L199" s="36" t="n">
        <f aca="false">L198-0.1*W198</f>
        <v>0.566584618019629</v>
      </c>
      <c r="M199" s="36" t="n">
        <f aca="false">M198-0.1*X198</f>
        <v>0.615355359341185</v>
      </c>
      <c r="N199" s="31" t="n">
        <f aca="false">I199+J199*C199+K199*D199+L199*E199+F199*M199</f>
        <v>-2.92185868617634</v>
      </c>
      <c r="O199" s="31" t="n">
        <f aca="false">1/(1+EXP(-N199))</f>
        <v>0.0510835277475646</v>
      </c>
      <c r="P199" s="32" t="n">
        <f aca="false">IF(O199&gt;0.5,1,0)</f>
        <v>0</v>
      </c>
      <c r="Q199" s="32" t="n">
        <f aca="false">O199-G199</f>
        <v>0.0510835277475646</v>
      </c>
      <c r="R199" s="33" t="n">
        <f aca="false">Q199^2</f>
        <v>0.0026095268071362</v>
      </c>
      <c r="T199" s="26" t="n">
        <f aca="false">2*(O199-G199)*(1-O199)*O199</f>
        <v>0.00495244594415169</v>
      </c>
      <c r="U199" s="26" t="n">
        <f aca="false">2*(O199-G199)*(1-O199)*O199*C199</f>
        <v>0.0242669851263433</v>
      </c>
      <c r="V199" s="26" t="n">
        <f aca="false">2*(O199-G199)*(1-O199)*O199*D199</f>
        <v>0.0153525824268702</v>
      </c>
      <c r="W199" s="26" t="n">
        <f aca="false">2*(O199-G199)*(1-O199)*O199*E199</f>
        <v>0.00742866891622754</v>
      </c>
      <c r="X199" s="26" t="n">
        <f aca="false">2*(O199-G199)*(1-O199)*O199*F199</f>
        <v>0.000495244594415169</v>
      </c>
    </row>
    <row r="200" customFormat="false" ht="14.25" hidden="false" customHeight="true" outlineLevel="0" collapsed="false">
      <c r="A200" s="37"/>
      <c r="B200" s="34" t="n">
        <v>36</v>
      </c>
      <c r="C200" s="28" t="n">
        <v>5</v>
      </c>
      <c r="D200" s="28" t="n">
        <v>3.2</v>
      </c>
      <c r="E200" s="28" t="n">
        <v>1.2</v>
      </c>
      <c r="F200" s="28" t="n">
        <v>0.2</v>
      </c>
      <c r="G200" s="35" t="n">
        <v>0</v>
      </c>
      <c r="H200" s="1" t="n">
        <f aca="false">IF(G200=P200, 1, 0)</f>
        <v>1</v>
      </c>
      <c r="I200" s="34" t="n">
        <f aca="false">I199-0.1*T199</f>
        <v>0.243489217769841</v>
      </c>
      <c r="J200" s="36" t="n">
        <f aca="false">J199-0.1*U199</f>
        <v>-0.580434458421585</v>
      </c>
      <c r="K200" s="36" t="n">
        <f aca="false">K199-0.1*V199</f>
        <v>-0.403153835000847</v>
      </c>
      <c r="L200" s="36" t="n">
        <f aca="false">L199-0.1*W199</f>
        <v>0.565841751128006</v>
      </c>
      <c r="M200" s="36" t="n">
        <f aca="false">M199-0.1*X199</f>
        <v>0.615305834881744</v>
      </c>
      <c r="N200" s="31" t="n">
        <f aca="false">I200+J200*C200+K200*D200+L200*E200+F200*M200</f>
        <v>-3.14670407801084</v>
      </c>
      <c r="O200" s="31" t="n">
        <f aca="false">1/(1+EXP(-N200))</f>
        <v>0.0412213433154671</v>
      </c>
      <c r="P200" s="32" t="n">
        <f aca="false">IF(O200&gt;0.5,1,0)</f>
        <v>0</v>
      </c>
      <c r="Q200" s="32" t="n">
        <f aca="false">O200-G200</f>
        <v>0.0412213433154671</v>
      </c>
      <c r="R200" s="33" t="n">
        <f aca="false">Q200^2</f>
        <v>0.0016991991447316</v>
      </c>
      <c r="T200" s="26" t="n">
        <f aca="false">2*(O200-G200)*(1-O200)*O200</f>
        <v>0.00325831174685055</v>
      </c>
      <c r="U200" s="26" t="n">
        <f aca="false">2*(O200-G200)*(1-O200)*O200*C200</f>
        <v>0.0162915587342527</v>
      </c>
      <c r="V200" s="26" t="n">
        <f aca="false">2*(O200-G200)*(1-O200)*O200*D200</f>
        <v>0.0104265975899217</v>
      </c>
      <c r="W200" s="26" t="n">
        <f aca="false">2*(O200-G200)*(1-O200)*O200*E200</f>
        <v>0.00390997409622065</v>
      </c>
      <c r="X200" s="26" t="n">
        <f aca="false">2*(O200-G200)*(1-O200)*O200*F200</f>
        <v>0.000651662349370109</v>
      </c>
    </row>
    <row r="201" customFormat="false" ht="14.25" hidden="false" customHeight="true" outlineLevel="0" collapsed="false">
      <c r="A201" s="37"/>
      <c r="B201" s="34" t="n">
        <v>37</v>
      </c>
      <c r="C201" s="28" t="n">
        <v>5.5</v>
      </c>
      <c r="D201" s="28" t="n">
        <v>3.5</v>
      </c>
      <c r="E201" s="28" t="n">
        <v>1.3</v>
      </c>
      <c r="F201" s="28" t="n">
        <v>0.2</v>
      </c>
      <c r="G201" s="35" t="n">
        <v>0</v>
      </c>
      <c r="H201" s="1" t="n">
        <f aca="false">IF(G201=P201, 1, 0)</f>
        <v>1</v>
      </c>
      <c r="I201" s="34" t="n">
        <f aca="false">I200-0.1*T200</f>
        <v>0.243163386595156</v>
      </c>
      <c r="J201" s="36" t="n">
        <f aca="false">J200-0.1*U200</f>
        <v>-0.58206361429501</v>
      </c>
      <c r="K201" s="36" t="n">
        <f aca="false">K200-0.1*V200</f>
        <v>-0.404196494759839</v>
      </c>
      <c r="L201" s="36" t="n">
        <f aca="false">L200-0.1*W200</f>
        <v>0.565450753718384</v>
      </c>
      <c r="M201" s="36" t="n">
        <f aca="false">M200-0.1*X200</f>
        <v>0.615240668646807</v>
      </c>
      <c r="N201" s="31" t="n">
        <f aca="false">I201+J201*C201+K201*D201+L201*E201+F201*M201</f>
        <v>-3.51474011012358</v>
      </c>
      <c r="O201" s="31" t="n">
        <f aca="false">1/(1+EXP(-N201))</f>
        <v>0.0288957272838707</v>
      </c>
      <c r="P201" s="32" t="n">
        <f aca="false">IF(O201&gt;0.5,1,0)</f>
        <v>0</v>
      </c>
      <c r="Q201" s="32" t="n">
        <f aca="false">O201-G201</f>
        <v>0.0288957272838707</v>
      </c>
      <c r="R201" s="33" t="n">
        <f aca="false">Q201^2</f>
        <v>0.000834963055263827</v>
      </c>
      <c r="T201" s="26" t="n">
        <f aca="false">2*(O201-G201)*(1-O201)*O201</f>
        <v>0.00162167238105363</v>
      </c>
      <c r="U201" s="26" t="n">
        <f aca="false">2*(O201-G201)*(1-O201)*O201*C201</f>
        <v>0.00891919809579497</v>
      </c>
      <c r="V201" s="26" t="n">
        <f aca="false">2*(O201-G201)*(1-O201)*O201*D201</f>
        <v>0.00567585333368771</v>
      </c>
      <c r="W201" s="26" t="n">
        <f aca="false">2*(O201-G201)*(1-O201)*O201*E201</f>
        <v>0.00210817409536972</v>
      </c>
      <c r="X201" s="26" t="n">
        <f aca="false">2*(O201-G201)*(1-O201)*O201*F201</f>
        <v>0.000324334476210726</v>
      </c>
    </row>
    <row r="202" customFormat="false" ht="14.25" hidden="false" customHeight="true" outlineLevel="0" collapsed="false">
      <c r="A202" s="37"/>
      <c r="B202" s="34" t="n">
        <v>38</v>
      </c>
      <c r="C202" s="28" t="n">
        <v>4.9</v>
      </c>
      <c r="D202" s="28" t="n">
        <v>3.1</v>
      </c>
      <c r="E202" s="28" t="n">
        <v>1.5</v>
      </c>
      <c r="F202" s="28" t="n">
        <v>0.1</v>
      </c>
      <c r="G202" s="35" t="n">
        <v>0</v>
      </c>
      <c r="H202" s="1" t="n">
        <f aca="false">IF(G202=P202, 1, 0)</f>
        <v>1</v>
      </c>
      <c r="I202" s="34" t="n">
        <f aca="false">I201-0.1*T201</f>
        <v>0.24300121935705</v>
      </c>
      <c r="J202" s="36" t="n">
        <f aca="false">J201-0.1*U201</f>
        <v>-0.58295553410459</v>
      </c>
      <c r="K202" s="36" t="n">
        <f aca="false">K201-0.1*V201</f>
        <v>-0.404764080093208</v>
      </c>
      <c r="L202" s="36" t="n">
        <f aca="false">L201-0.1*W201</f>
        <v>0.565239936308847</v>
      </c>
      <c r="M202" s="36" t="n">
        <f aca="false">M201-0.1*X201</f>
        <v>0.615208235199186</v>
      </c>
      <c r="N202" s="31" t="n">
        <f aca="false">I202+J202*C202+K202*D202+L202*E202+F202*M202</f>
        <v>-2.9588688180612</v>
      </c>
      <c r="O202" s="31" t="n">
        <f aca="false">1/(1+EXP(-N202))</f>
        <v>0.0493190163863984</v>
      </c>
      <c r="P202" s="32" t="n">
        <f aca="false">IF(O202&gt;0.5,1,0)</f>
        <v>0</v>
      </c>
      <c r="Q202" s="32" t="n">
        <f aca="false">O202-G202</f>
        <v>0.0493190163863984</v>
      </c>
      <c r="R202" s="33" t="n">
        <f aca="false">Q202^2</f>
        <v>0.00243236537732183</v>
      </c>
      <c r="T202" s="26" t="n">
        <f aca="false">2*(O202-G202)*(1-O202)*O202</f>
        <v>0.00462480701883998</v>
      </c>
      <c r="U202" s="26" t="n">
        <f aca="false">2*(O202-G202)*(1-O202)*O202*C202</f>
        <v>0.0226615543923159</v>
      </c>
      <c r="V202" s="26" t="n">
        <f aca="false">2*(O202-G202)*(1-O202)*O202*D202</f>
        <v>0.0143369017584039</v>
      </c>
      <c r="W202" s="26" t="n">
        <f aca="false">2*(O202-G202)*(1-O202)*O202*E202</f>
        <v>0.00693721052825996</v>
      </c>
      <c r="X202" s="26" t="n">
        <f aca="false">2*(O202-G202)*(1-O202)*O202*F202</f>
        <v>0.000462480701883998</v>
      </c>
    </row>
    <row r="203" customFormat="false" ht="14.25" hidden="false" customHeight="true" outlineLevel="0" collapsed="false">
      <c r="A203" s="37"/>
      <c r="B203" s="34" t="n">
        <v>39</v>
      </c>
      <c r="C203" s="28" t="n">
        <v>4.4</v>
      </c>
      <c r="D203" s="28" t="n">
        <v>3</v>
      </c>
      <c r="E203" s="28" t="n">
        <v>1.3</v>
      </c>
      <c r="F203" s="28" t="n">
        <v>0.2</v>
      </c>
      <c r="G203" s="35" t="n">
        <v>0</v>
      </c>
      <c r="H203" s="1" t="n">
        <f aca="false">IF(G203=P203, 1, 0)</f>
        <v>1</v>
      </c>
      <c r="I203" s="34" t="n">
        <f aca="false">I202-0.1*T202</f>
        <v>0.242538738655166</v>
      </c>
      <c r="J203" s="36" t="n">
        <f aca="false">J202-0.1*U202</f>
        <v>-0.585221689543822</v>
      </c>
      <c r="K203" s="36" t="n">
        <f aca="false">K202-0.1*V202</f>
        <v>-0.406197770269049</v>
      </c>
      <c r="L203" s="36" t="n">
        <f aca="false">L202-0.1*W202</f>
        <v>0.564546215256021</v>
      </c>
      <c r="M203" s="36" t="n">
        <f aca="false">M202-0.1*X202</f>
        <v>0.615161987128997</v>
      </c>
      <c r="N203" s="31" t="n">
        <f aca="false">I203+J203*C203+K203*D203+L203*E203+F203*M203</f>
        <v>-2.69408752888617</v>
      </c>
      <c r="O203" s="31" t="n">
        <f aca="false">1/(1+EXP(-N203))</f>
        <v>0.0633231402435429</v>
      </c>
      <c r="P203" s="32" t="n">
        <f aca="false">IF(O203&gt;0.5,1,0)</f>
        <v>0</v>
      </c>
      <c r="Q203" s="32" t="n">
        <f aca="false">O203-G203</f>
        <v>0.0633231402435429</v>
      </c>
      <c r="R203" s="33" t="n">
        <f aca="false">Q203^2</f>
        <v>0.0040098200903034</v>
      </c>
      <c r="T203" s="26" t="n">
        <f aca="false">2*(O203-G203)*(1-O203)*O203</f>
        <v>0.00751181138074748</v>
      </c>
      <c r="U203" s="26" t="n">
        <f aca="false">2*(O203-G203)*(1-O203)*O203*C203</f>
        <v>0.0330519700752889</v>
      </c>
      <c r="V203" s="26" t="n">
        <f aca="false">2*(O203-G203)*(1-O203)*O203*D203</f>
        <v>0.0225354341422424</v>
      </c>
      <c r="W203" s="26" t="n">
        <f aca="false">2*(O203-G203)*(1-O203)*O203*E203</f>
        <v>0.00976535479497172</v>
      </c>
      <c r="X203" s="26" t="n">
        <f aca="false">2*(O203-G203)*(1-O203)*O203*F203</f>
        <v>0.0015023622761495</v>
      </c>
    </row>
    <row r="204" customFormat="false" ht="14.25" hidden="false" customHeight="true" outlineLevel="0" collapsed="false">
      <c r="A204" s="37"/>
      <c r="B204" s="34" t="n">
        <v>40</v>
      </c>
      <c r="C204" s="28" t="n">
        <v>5.1</v>
      </c>
      <c r="D204" s="28" t="n">
        <v>3.4</v>
      </c>
      <c r="E204" s="28" t="n">
        <v>1.5</v>
      </c>
      <c r="F204" s="28" t="n">
        <v>0.2</v>
      </c>
      <c r="G204" s="35" t="n">
        <v>0</v>
      </c>
      <c r="H204" s="1" t="n">
        <f aca="false">IF(G204=P204, 1, 0)</f>
        <v>1</v>
      </c>
      <c r="I204" s="34" t="n">
        <f aca="false">I203-0.1*T203</f>
        <v>0.241787557517092</v>
      </c>
      <c r="J204" s="36" t="n">
        <f aca="false">J203-0.1*U203</f>
        <v>-0.58852688655135</v>
      </c>
      <c r="K204" s="36" t="n">
        <f aca="false">K203-0.1*V203</f>
        <v>-0.408451313683273</v>
      </c>
      <c r="L204" s="36" t="n">
        <f aca="false">L203-0.1*W203</f>
        <v>0.563569679776524</v>
      </c>
      <c r="M204" s="36" t="n">
        <f aca="false">M203-0.1*X203</f>
        <v>0.615011750901382</v>
      </c>
      <c r="N204" s="31" t="n">
        <f aca="false">I204+J204*C204+K204*D204+L204*E204+F204*M204</f>
        <v>-3.18007716057286</v>
      </c>
      <c r="O204" s="31" t="n">
        <f aca="false">1/(1+EXP(-N204))</f>
        <v>0.0399223763926129</v>
      </c>
      <c r="P204" s="32" t="n">
        <f aca="false">IF(O204&gt;0.5,1,0)</f>
        <v>0</v>
      </c>
      <c r="Q204" s="32" t="n">
        <f aca="false">O204-G204</f>
        <v>0.0399223763926129</v>
      </c>
      <c r="R204" s="33" t="n">
        <f aca="false">Q204^2</f>
        <v>0.00159379613683345</v>
      </c>
      <c r="T204" s="26" t="n">
        <f aca="false">2*(O204-G204)*(1-O204)*O204</f>
        <v>0.00306033601513139</v>
      </c>
      <c r="U204" s="26" t="n">
        <f aca="false">2*(O204-G204)*(1-O204)*O204*C204</f>
        <v>0.0156077136771701</v>
      </c>
      <c r="V204" s="26" t="n">
        <f aca="false">2*(O204-G204)*(1-O204)*O204*D204</f>
        <v>0.0104051424514467</v>
      </c>
      <c r="W204" s="26" t="n">
        <f aca="false">2*(O204-G204)*(1-O204)*O204*E204</f>
        <v>0.00459050402269708</v>
      </c>
      <c r="X204" s="26" t="n">
        <f aca="false">2*(O204-G204)*(1-O204)*O204*F204</f>
        <v>0.000612067203026278</v>
      </c>
    </row>
    <row r="205" customFormat="false" ht="14.25" hidden="false" customHeight="true" outlineLevel="0" collapsed="false">
      <c r="A205" s="37"/>
      <c r="B205" s="34" t="n">
        <v>41</v>
      </c>
      <c r="C205" s="28" t="n">
        <v>7</v>
      </c>
      <c r="D205" s="28" t="n">
        <v>3.2</v>
      </c>
      <c r="E205" s="28" t="n">
        <v>4.7</v>
      </c>
      <c r="F205" s="28" t="n">
        <v>1.4</v>
      </c>
      <c r="G205" s="35" t="n">
        <v>1</v>
      </c>
      <c r="H205" s="1" t="n">
        <f aca="false">IF(G205=P205, 1, 0)</f>
        <v>0</v>
      </c>
      <c r="I205" s="34" t="n">
        <f aca="false">I204-0.1*T204</f>
        <v>0.241481523915579</v>
      </c>
      <c r="J205" s="36" t="n">
        <f aca="false">J204-0.1*U204</f>
        <v>-0.590087657919067</v>
      </c>
      <c r="K205" s="36" t="n">
        <f aca="false">K204-0.1*V204</f>
        <v>-0.409491827928418</v>
      </c>
      <c r="L205" s="36" t="n">
        <f aca="false">L204-0.1*W204</f>
        <v>0.563110629374254</v>
      </c>
      <c r="M205" s="36" t="n">
        <f aca="false">M204-0.1*X204</f>
        <v>0.61495054418108</v>
      </c>
      <c r="N205" s="31" t="n">
        <f aca="false">I205+J205*C205+K205*D205+L205*E205+F205*M205</f>
        <v>-1.69195521097632</v>
      </c>
      <c r="O205" s="31" t="n">
        <f aca="false">1/(1+EXP(-N205))</f>
        <v>0.155518883881881</v>
      </c>
      <c r="P205" s="32" t="n">
        <f aca="false">IF(O205&gt;0.5,1,0)</f>
        <v>0</v>
      </c>
      <c r="Q205" s="32" t="n">
        <f aca="false">O205-G205</f>
        <v>-0.844481116118119</v>
      </c>
      <c r="R205" s="33" t="n">
        <f aca="false">Q205^2</f>
        <v>0.713148355480104</v>
      </c>
      <c r="T205" s="26" t="n">
        <f aca="false">2*(O205-G205)*(1-O205)*O205</f>
        <v>-0.221816072572929</v>
      </c>
      <c r="U205" s="26" t="n">
        <f aca="false">2*(O205-G205)*(1-O205)*O205*C205</f>
        <v>-1.5527125080105</v>
      </c>
      <c r="V205" s="26" t="n">
        <f aca="false">2*(O205-G205)*(1-O205)*O205*D205</f>
        <v>-0.709811432233374</v>
      </c>
      <c r="W205" s="26" t="n">
        <f aca="false">2*(O205-G205)*(1-O205)*O205*E205</f>
        <v>-1.04253554109277</v>
      </c>
      <c r="X205" s="26" t="n">
        <f aca="false">2*(O205-G205)*(1-O205)*O205*F205</f>
        <v>-0.310542501602101</v>
      </c>
    </row>
    <row r="206" customFormat="false" ht="14.25" hidden="false" customHeight="true" outlineLevel="0" collapsed="false">
      <c r="A206" s="37"/>
      <c r="B206" s="34" t="n">
        <v>42</v>
      </c>
      <c r="C206" s="28" t="n">
        <v>6.4</v>
      </c>
      <c r="D206" s="28" t="n">
        <v>3.2</v>
      </c>
      <c r="E206" s="28" t="n">
        <v>4.5</v>
      </c>
      <c r="F206" s="28" t="n">
        <v>1.5</v>
      </c>
      <c r="G206" s="35" t="n">
        <v>1</v>
      </c>
      <c r="H206" s="1" t="n">
        <f aca="false">IF(G206=P206, 1, 0)</f>
        <v>1</v>
      </c>
      <c r="I206" s="34" t="n">
        <f aca="false">I205-0.1*T205</f>
        <v>0.263663131172872</v>
      </c>
      <c r="J206" s="36" t="n">
        <f aca="false">J205-0.1*U205</f>
        <v>-0.434816407118017</v>
      </c>
      <c r="K206" s="36" t="n">
        <f aca="false">K205-0.1*V205</f>
        <v>-0.33851068470508</v>
      </c>
      <c r="L206" s="36" t="n">
        <f aca="false">L205-0.1*W205</f>
        <v>0.667364183483531</v>
      </c>
      <c r="M206" s="36" t="n">
        <f aca="false">M205-0.1*X205</f>
        <v>0.64600479434129</v>
      </c>
      <c r="N206" s="31" t="n">
        <f aca="false">I206+J206*C206+K206*D206+L206*E206+F206*M206</f>
        <v>0.369749951749131</v>
      </c>
      <c r="O206" s="31" t="n">
        <f aca="false">1/(1+EXP(-N206))</f>
        <v>0.591398556578371</v>
      </c>
      <c r="P206" s="32" t="n">
        <f aca="false">IF(O206&gt;0.5,1,0)</f>
        <v>1</v>
      </c>
      <c r="Q206" s="32" t="n">
        <f aca="false">O206-G206</f>
        <v>-0.408601443421629</v>
      </c>
      <c r="R206" s="33" t="n">
        <f aca="false">Q206^2</f>
        <v>0.166955139566239</v>
      </c>
      <c r="T206" s="26" t="n">
        <f aca="false">2*(O206-G206)*(1-O206)*O206</f>
        <v>-0.197474057105628</v>
      </c>
      <c r="U206" s="26" t="n">
        <f aca="false">2*(O206-G206)*(1-O206)*O206*C206</f>
        <v>-1.26383396547602</v>
      </c>
      <c r="V206" s="26" t="n">
        <f aca="false">2*(O206-G206)*(1-O206)*O206*D206</f>
        <v>-0.63191698273801</v>
      </c>
      <c r="W206" s="26" t="n">
        <f aca="false">2*(O206-G206)*(1-O206)*O206*E206</f>
        <v>-0.888633256975327</v>
      </c>
      <c r="X206" s="26" t="n">
        <f aca="false">2*(O206-G206)*(1-O206)*O206*F206</f>
        <v>-0.296211085658442</v>
      </c>
    </row>
    <row r="207" customFormat="false" ht="14.25" hidden="false" customHeight="true" outlineLevel="0" collapsed="false">
      <c r="A207" s="37"/>
      <c r="B207" s="34" t="n">
        <v>43</v>
      </c>
      <c r="C207" s="28" t="n">
        <v>6.9</v>
      </c>
      <c r="D207" s="28" t="n">
        <v>3.1</v>
      </c>
      <c r="E207" s="28" t="n">
        <v>4.9</v>
      </c>
      <c r="F207" s="28" t="n">
        <v>1.5</v>
      </c>
      <c r="G207" s="35" t="n">
        <v>1</v>
      </c>
      <c r="H207" s="1" t="n">
        <f aca="false">IF(G207=P207, 1, 0)</f>
        <v>1</v>
      </c>
      <c r="I207" s="34" t="n">
        <f aca="false">I206-0.1*T206</f>
        <v>0.283410536883434</v>
      </c>
      <c r="J207" s="36" t="n">
        <f aca="false">J206-0.1*U206</f>
        <v>-0.308433010570415</v>
      </c>
      <c r="K207" s="36" t="n">
        <f aca="false">K206-0.1*V206</f>
        <v>-0.275318986431279</v>
      </c>
      <c r="L207" s="36" t="n">
        <f aca="false">L206-0.1*W206</f>
        <v>0.756227509181064</v>
      </c>
      <c r="M207" s="36" t="n">
        <f aca="false">M206-0.1*X206</f>
        <v>0.675625902907134</v>
      </c>
      <c r="N207" s="31" t="n">
        <f aca="false">I207+J207*C207+K207*D207+L207*E207+F207*M207</f>
        <v>2.02068755535852</v>
      </c>
      <c r="O207" s="31" t="n">
        <f aca="false">1/(1+EXP(-N207))</f>
        <v>0.882952085101059</v>
      </c>
      <c r="P207" s="32" t="n">
        <f aca="false">IF(O207&gt;0.5,1,0)</f>
        <v>1</v>
      </c>
      <c r="Q207" s="32" t="n">
        <f aca="false">O207-G207</f>
        <v>-0.117047914898941</v>
      </c>
      <c r="R207" s="33" t="n">
        <f aca="false">Q207^2</f>
        <v>0.0137002143821897</v>
      </c>
      <c r="T207" s="26" t="n">
        <f aca="false">2*(O207-G207)*(1-O207)*O207</f>
        <v>-0.0241932657101719</v>
      </c>
      <c r="U207" s="26" t="n">
        <f aca="false">2*(O207-G207)*(1-O207)*O207*C207</f>
        <v>-0.166933533400186</v>
      </c>
      <c r="V207" s="26" t="n">
        <f aca="false">2*(O207-G207)*(1-O207)*O207*D207</f>
        <v>-0.0749991237015328</v>
      </c>
      <c r="W207" s="26" t="n">
        <f aca="false">2*(O207-G207)*(1-O207)*O207*E207</f>
        <v>-0.118547001979842</v>
      </c>
      <c r="X207" s="26" t="n">
        <f aca="false">2*(O207-G207)*(1-O207)*O207*F207</f>
        <v>-0.0362898985652578</v>
      </c>
    </row>
    <row r="208" customFormat="false" ht="14.25" hidden="false" customHeight="true" outlineLevel="0" collapsed="false">
      <c r="A208" s="37"/>
      <c r="B208" s="34" t="n">
        <v>44</v>
      </c>
      <c r="C208" s="28" t="n">
        <v>5.5</v>
      </c>
      <c r="D208" s="28" t="n">
        <v>2.3</v>
      </c>
      <c r="E208" s="28" t="n">
        <v>4</v>
      </c>
      <c r="F208" s="28" t="n">
        <v>1.3</v>
      </c>
      <c r="G208" s="35" t="n">
        <v>1</v>
      </c>
      <c r="H208" s="1" t="n">
        <f aca="false">IF(G208=P208, 1, 0)</f>
        <v>1</v>
      </c>
      <c r="I208" s="34" t="n">
        <f aca="false">I207-0.1*T207</f>
        <v>0.285829863454452</v>
      </c>
      <c r="J208" s="36" t="n">
        <f aca="false">J207-0.1*U207</f>
        <v>-0.291739657230396</v>
      </c>
      <c r="K208" s="36" t="n">
        <f aca="false">K207-0.1*V207</f>
        <v>-0.267819074061126</v>
      </c>
      <c r="L208" s="36" t="n">
        <f aca="false">L207-0.1*W207</f>
        <v>0.768082209379048</v>
      </c>
      <c r="M208" s="36" t="n">
        <f aca="false">M207-0.1*X207</f>
        <v>0.67925489276366</v>
      </c>
      <c r="N208" s="31" t="n">
        <f aca="false">I208+J208*C208+K208*D208+L208*E208+F208*M208</f>
        <v>2.02063807645563</v>
      </c>
      <c r="O208" s="31" t="n">
        <f aca="false">1/(1+EXP(-N208))</f>
        <v>0.882946971473329</v>
      </c>
      <c r="P208" s="32" t="n">
        <f aca="false">IF(O208&gt;0.5,1,0)</f>
        <v>1</v>
      </c>
      <c r="Q208" s="32" t="n">
        <f aca="false">O208-G208</f>
        <v>-0.117053028526671</v>
      </c>
      <c r="R208" s="33" t="n">
        <f aca="false">Q208^2</f>
        <v>0.0137014114872656</v>
      </c>
      <c r="T208" s="26" t="n">
        <f aca="false">2*(O208-G208)*(1-O208)*O208</f>
        <v>-0.024195239555182</v>
      </c>
      <c r="U208" s="26" t="n">
        <f aca="false">2*(O208-G208)*(1-O208)*O208*C208</f>
        <v>-0.133073817553501</v>
      </c>
      <c r="V208" s="26" t="n">
        <f aca="false">2*(O208-G208)*(1-O208)*O208*D208</f>
        <v>-0.0556490509769187</v>
      </c>
      <c r="W208" s="26" t="n">
        <f aca="false">2*(O208-G208)*(1-O208)*O208*E208</f>
        <v>-0.0967809582207282</v>
      </c>
      <c r="X208" s="26" t="n">
        <f aca="false">2*(O208-G208)*(1-O208)*O208*F208</f>
        <v>-0.0314538114217367</v>
      </c>
    </row>
    <row r="209" customFormat="false" ht="14.25" hidden="false" customHeight="true" outlineLevel="0" collapsed="false">
      <c r="A209" s="37"/>
      <c r="B209" s="34" t="n">
        <v>45</v>
      </c>
      <c r="C209" s="28" t="n">
        <v>6.5</v>
      </c>
      <c r="D209" s="28" t="n">
        <v>2.8</v>
      </c>
      <c r="E209" s="28" t="n">
        <v>4.6</v>
      </c>
      <c r="F209" s="28" t="n">
        <v>1.5</v>
      </c>
      <c r="G209" s="35" t="n">
        <v>1</v>
      </c>
      <c r="H209" s="1" t="n">
        <f aca="false">IF(G209=P209, 1, 0)</f>
        <v>1</v>
      </c>
      <c r="I209" s="34" t="n">
        <f aca="false">I208-0.1*T208</f>
        <v>0.28824938740997</v>
      </c>
      <c r="J209" s="36" t="n">
        <f aca="false">J208-0.1*U208</f>
        <v>-0.278432275475046</v>
      </c>
      <c r="K209" s="36" t="n">
        <f aca="false">K208-0.1*V208</f>
        <v>-0.262254168963434</v>
      </c>
      <c r="L209" s="36" t="n">
        <f aca="false">L208-0.1*W208</f>
        <v>0.777760305201121</v>
      </c>
      <c r="M209" s="36" t="n">
        <f aca="false">M208-0.1*X208</f>
        <v>0.682400273905834</v>
      </c>
      <c r="N209" s="31" t="n">
        <f aca="false">I209+J209*C209+K209*D209+L209*E209+F209*M209</f>
        <v>2.34542573850846</v>
      </c>
      <c r="O209" s="31" t="n">
        <f aca="false">1/(1+EXP(-N209))</f>
        <v>0.912569953473431</v>
      </c>
      <c r="P209" s="32" t="n">
        <f aca="false">IF(O209&gt;0.5,1,0)</f>
        <v>1</v>
      </c>
      <c r="Q209" s="32" t="n">
        <f aca="false">O209-G209</f>
        <v>-0.0874300465265689</v>
      </c>
      <c r="R209" s="33" t="n">
        <f aca="false">Q209^2</f>
        <v>0.00764401303563801</v>
      </c>
      <c r="T209" s="26" t="n">
        <f aca="false">2*(O209-G209)*(1-O209)*O209</f>
        <v>-0.013951393240565</v>
      </c>
      <c r="U209" s="26" t="n">
        <f aca="false">2*(O209-G209)*(1-O209)*O209*C209</f>
        <v>-0.0906840560636722</v>
      </c>
      <c r="V209" s="26" t="n">
        <f aca="false">2*(O209-G209)*(1-O209)*O209*D209</f>
        <v>-0.0390639010735819</v>
      </c>
      <c r="W209" s="26" t="n">
        <f aca="false">2*(O209-G209)*(1-O209)*O209*E209</f>
        <v>-0.0641764089065988</v>
      </c>
      <c r="X209" s="26" t="n">
        <f aca="false">2*(O209-G209)*(1-O209)*O209*F209</f>
        <v>-0.0209270898608474</v>
      </c>
    </row>
    <row r="210" customFormat="false" ht="14.25" hidden="false" customHeight="true" outlineLevel="0" collapsed="false">
      <c r="A210" s="37"/>
      <c r="B210" s="34" t="n">
        <v>46</v>
      </c>
      <c r="C210" s="28" t="n">
        <v>5.7</v>
      </c>
      <c r="D210" s="28" t="n">
        <v>2.8</v>
      </c>
      <c r="E210" s="28" t="n">
        <v>4.5</v>
      </c>
      <c r="F210" s="28" t="n">
        <v>1.3</v>
      </c>
      <c r="G210" s="35" t="n">
        <v>1</v>
      </c>
      <c r="H210" s="1" t="n">
        <f aca="false">IF(G210=P210, 1, 0)</f>
        <v>1</v>
      </c>
      <c r="I210" s="34" t="n">
        <f aca="false">I209-0.1*T209</f>
        <v>0.289644526734026</v>
      </c>
      <c r="J210" s="36" t="n">
        <f aca="false">J209-0.1*U209</f>
        <v>-0.269363869868679</v>
      </c>
      <c r="K210" s="36" t="n">
        <f aca="false">K209-0.1*V209</f>
        <v>-0.258347778856076</v>
      </c>
      <c r="L210" s="36" t="n">
        <f aca="false">L209-0.1*W209</f>
        <v>0.784177946091781</v>
      </c>
      <c r="M210" s="36" t="n">
        <f aca="false">M209-0.1*X209</f>
        <v>0.684492982891918</v>
      </c>
      <c r="N210" s="31" t="n">
        <f aca="false">I210+J210*C210+K210*D210+L210*E210+F210*M210</f>
        <v>2.44953832285805</v>
      </c>
      <c r="O210" s="31" t="n">
        <f aca="false">1/(1+EXP(-N210))</f>
        <v>0.920527682703535</v>
      </c>
      <c r="P210" s="32" t="n">
        <f aca="false">IF(O210&gt;0.5,1,0)</f>
        <v>1</v>
      </c>
      <c r="Q210" s="32" t="n">
        <f aca="false">O210-G210</f>
        <v>-0.0794723172964648</v>
      </c>
      <c r="R210" s="33" t="n">
        <f aca="false">Q210^2</f>
        <v>0.00631584921646997</v>
      </c>
      <c r="T210" s="26" t="n">
        <f aca="false">2*(O210-G210)*(1-O210)*O210</f>
        <v>-0.0116278280870841</v>
      </c>
      <c r="U210" s="26" t="n">
        <f aca="false">2*(O210-G210)*(1-O210)*O210*C210</f>
        <v>-0.0662786200963793</v>
      </c>
      <c r="V210" s="26" t="n">
        <f aca="false">2*(O210-G210)*(1-O210)*O210*D210</f>
        <v>-0.0325579186438354</v>
      </c>
      <c r="W210" s="26" t="n">
        <f aca="false">2*(O210-G210)*(1-O210)*O210*E210</f>
        <v>-0.0523252263918784</v>
      </c>
      <c r="X210" s="26" t="n">
        <f aca="false">2*(O210-G210)*(1-O210)*O210*F210</f>
        <v>-0.0151161765132093</v>
      </c>
    </row>
    <row r="211" customFormat="false" ht="14.25" hidden="false" customHeight="true" outlineLevel="0" collapsed="false">
      <c r="A211" s="37"/>
      <c r="B211" s="34" t="n">
        <v>47</v>
      </c>
      <c r="C211" s="28" t="n">
        <v>6.3</v>
      </c>
      <c r="D211" s="28" t="n">
        <v>3.3</v>
      </c>
      <c r="E211" s="28" t="n">
        <v>4.7</v>
      </c>
      <c r="F211" s="28" t="n">
        <v>1.6</v>
      </c>
      <c r="G211" s="35" t="n">
        <v>1</v>
      </c>
      <c r="H211" s="1" t="n">
        <f aca="false">IF(G211=P211, 1, 0)</f>
        <v>1</v>
      </c>
      <c r="I211" s="34" t="n">
        <f aca="false">I210-0.1*T210</f>
        <v>0.290807309542735</v>
      </c>
      <c r="J211" s="36" t="n">
        <f aca="false">J210-0.1*U210</f>
        <v>-0.262736007859041</v>
      </c>
      <c r="K211" s="36" t="n">
        <f aca="false">K210-0.1*V210</f>
        <v>-0.255091986991692</v>
      </c>
      <c r="L211" s="36" t="n">
        <f aca="false">L210-0.1*W210</f>
        <v>0.789410468730968</v>
      </c>
      <c r="M211" s="36" t="n">
        <f aca="false">M210-0.1*X210</f>
        <v>0.686004600543239</v>
      </c>
      <c r="N211" s="31" t="n">
        <f aca="false">I211+J211*C211+K211*D211+L211*E211+F211*M211</f>
        <v>2.60160346686293</v>
      </c>
      <c r="O211" s="31" t="n">
        <f aca="false">1/(1+EXP(-N211))</f>
        <v>0.930964704788347</v>
      </c>
      <c r="P211" s="32" t="n">
        <f aca="false">IF(O211&gt;0.5,1,0)</f>
        <v>1</v>
      </c>
      <c r="Q211" s="32" t="n">
        <f aca="false">O211-G211</f>
        <v>-0.069035295211653</v>
      </c>
      <c r="R211" s="33" t="n">
        <f aca="false">Q211^2</f>
        <v>0.00476587198496008</v>
      </c>
      <c r="T211" s="26" t="n">
        <f aca="false">2*(O211-G211)*(1-O211)*O211</f>
        <v>-0.00887371721107482</v>
      </c>
      <c r="U211" s="26" t="n">
        <f aca="false">2*(O211-G211)*(1-O211)*O211*C211</f>
        <v>-0.0559044184297714</v>
      </c>
      <c r="V211" s="26" t="n">
        <f aca="false">2*(O211-G211)*(1-O211)*O211*D211</f>
        <v>-0.0292832667965469</v>
      </c>
      <c r="W211" s="26" t="n">
        <f aca="false">2*(O211-G211)*(1-O211)*O211*E211</f>
        <v>-0.0417064708920517</v>
      </c>
      <c r="X211" s="26" t="n">
        <f aca="false">2*(O211-G211)*(1-O211)*O211*F211</f>
        <v>-0.0141979475377197</v>
      </c>
    </row>
    <row r="212" customFormat="false" ht="14.25" hidden="false" customHeight="true" outlineLevel="0" collapsed="false">
      <c r="A212" s="37"/>
      <c r="B212" s="34" t="n">
        <v>48</v>
      </c>
      <c r="C212" s="28" t="n">
        <v>4.9</v>
      </c>
      <c r="D212" s="28" t="n">
        <v>2.4</v>
      </c>
      <c r="E212" s="28" t="n">
        <v>3.3</v>
      </c>
      <c r="F212" s="28" t="n">
        <v>1</v>
      </c>
      <c r="G212" s="35" t="n">
        <v>1</v>
      </c>
      <c r="H212" s="1" t="n">
        <f aca="false">IF(G212=P212, 1, 0)</f>
        <v>1</v>
      </c>
      <c r="I212" s="34" t="n">
        <f aca="false">I211-0.1*T211</f>
        <v>0.291694681263842</v>
      </c>
      <c r="J212" s="36" t="n">
        <f aca="false">J211-0.1*U211</f>
        <v>-0.257145566016064</v>
      </c>
      <c r="K212" s="36" t="n">
        <f aca="false">K211-0.1*V211</f>
        <v>-0.252163660312037</v>
      </c>
      <c r="L212" s="36" t="n">
        <f aca="false">L211-0.1*W211</f>
        <v>0.793581115820174</v>
      </c>
      <c r="M212" s="36" t="n">
        <f aca="false">M211-0.1*X211</f>
        <v>0.687424395297011</v>
      </c>
      <c r="N212" s="31" t="n">
        <f aca="false">I212+J212*C212+K212*D212+L212*E212+F212*M212</f>
        <v>1.73273070053982</v>
      </c>
      <c r="O212" s="31" t="n">
        <f aca="false">1/(1+EXP(-N212))</f>
        <v>0.849761373615803</v>
      </c>
      <c r="P212" s="32" t="n">
        <f aca="false">IF(O212&gt;0.5,1,0)</f>
        <v>1</v>
      </c>
      <c r="Q212" s="32" t="n">
        <f aca="false">O212-G212</f>
        <v>-0.150238626384197</v>
      </c>
      <c r="R212" s="33" t="n">
        <f aca="false">Q212^2</f>
        <v>0.0225716448578104</v>
      </c>
      <c r="T212" s="26" t="n">
        <f aca="false">2*(O212-G212)*(1-O212)*O212</f>
        <v>-0.038361023878282</v>
      </c>
      <c r="U212" s="26" t="n">
        <f aca="false">2*(O212-G212)*(1-O212)*O212*C212</f>
        <v>-0.187969017003582</v>
      </c>
      <c r="V212" s="26" t="n">
        <f aca="false">2*(O212-G212)*(1-O212)*O212*D212</f>
        <v>-0.0920664573078768</v>
      </c>
      <c r="W212" s="26" t="n">
        <f aca="false">2*(O212-G212)*(1-O212)*O212*E212</f>
        <v>-0.126591378798331</v>
      </c>
      <c r="X212" s="26" t="n">
        <f aca="false">2*(O212-G212)*(1-O212)*O212*F212</f>
        <v>-0.038361023878282</v>
      </c>
    </row>
    <row r="213" customFormat="false" ht="14.25" hidden="false" customHeight="true" outlineLevel="0" collapsed="false">
      <c r="A213" s="37"/>
      <c r="B213" s="34" t="n">
        <v>49</v>
      </c>
      <c r="C213" s="28" t="n">
        <v>6.6</v>
      </c>
      <c r="D213" s="28" t="n">
        <v>2.9</v>
      </c>
      <c r="E213" s="28" t="n">
        <v>4.6</v>
      </c>
      <c r="F213" s="28" t="n">
        <v>1.3</v>
      </c>
      <c r="G213" s="35" t="n">
        <v>1</v>
      </c>
      <c r="H213" s="1" t="n">
        <f aca="false">IF(G213=P213, 1, 0)</f>
        <v>1</v>
      </c>
      <c r="I213" s="34" t="n">
        <f aca="false">I212-0.1*T212</f>
        <v>0.29553078365167</v>
      </c>
      <c r="J213" s="36" t="n">
        <f aca="false">J212-0.1*U212</f>
        <v>-0.238348664315706</v>
      </c>
      <c r="K213" s="36" t="n">
        <f aca="false">K212-0.1*V212</f>
        <v>-0.24295701458125</v>
      </c>
      <c r="L213" s="36" t="n">
        <f aca="false">L212-0.1*W212</f>
        <v>0.806240253700007</v>
      </c>
      <c r="M213" s="36" t="n">
        <f aca="false">M212-0.1*X212</f>
        <v>0.691260497684839</v>
      </c>
      <c r="N213" s="31" t="n">
        <f aca="false">I213+J213*C213+K213*D213+L213*E213+F213*M213</f>
        <v>2.62519807089271</v>
      </c>
      <c r="O213" s="31" t="n">
        <f aca="false">1/(1+EXP(-N213))</f>
        <v>0.932465783115806</v>
      </c>
      <c r="P213" s="32" t="n">
        <f aca="false">IF(O213&gt;0.5,1,0)</f>
        <v>1</v>
      </c>
      <c r="Q213" s="32" t="n">
        <f aca="false">O213-G213</f>
        <v>-0.0675342168841939</v>
      </c>
      <c r="R213" s="33" t="n">
        <f aca="false">Q213^2</f>
        <v>0.00456087045016134</v>
      </c>
      <c r="T213" s="26" t="n">
        <f aca="false">2*(O213-G213)*(1-O213)*O213</f>
        <v>-0.00850571127199887</v>
      </c>
      <c r="U213" s="26" t="n">
        <f aca="false">2*(O213-G213)*(1-O213)*O213*C213</f>
        <v>-0.0561376943951925</v>
      </c>
      <c r="V213" s="26" t="n">
        <f aca="false">2*(O213-G213)*(1-O213)*O213*D213</f>
        <v>-0.0246665626887967</v>
      </c>
      <c r="W213" s="26" t="n">
        <f aca="false">2*(O213-G213)*(1-O213)*O213*E213</f>
        <v>-0.0391262718511948</v>
      </c>
      <c r="X213" s="26" t="n">
        <f aca="false">2*(O213-G213)*(1-O213)*O213*F213</f>
        <v>-0.0110574246535985</v>
      </c>
    </row>
    <row r="214" customFormat="false" ht="14.25" hidden="false" customHeight="true" outlineLevel="0" collapsed="false">
      <c r="A214" s="37"/>
      <c r="B214" s="34" t="n">
        <v>50</v>
      </c>
      <c r="C214" s="28" t="n">
        <v>5.2</v>
      </c>
      <c r="D214" s="28" t="n">
        <v>2.7</v>
      </c>
      <c r="E214" s="28" t="n">
        <v>3.9</v>
      </c>
      <c r="F214" s="28" t="n">
        <v>1.4</v>
      </c>
      <c r="G214" s="35" t="n">
        <v>1</v>
      </c>
      <c r="H214" s="1" t="n">
        <f aca="false">IF(G214=P214, 1, 0)</f>
        <v>1</v>
      </c>
      <c r="I214" s="34" t="n">
        <f aca="false">I213-0.1*T213</f>
        <v>0.29638135477887</v>
      </c>
      <c r="J214" s="36" t="n">
        <f aca="false">J213-0.1*U213</f>
        <v>-0.232734894876186</v>
      </c>
      <c r="K214" s="36" t="n">
        <f aca="false">K213-0.1*V213</f>
        <v>-0.24049035831237</v>
      </c>
      <c r="L214" s="36" t="n">
        <f aca="false">L213-0.1*W213</f>
        <v>0.810152880885126</v>
      </c>
      <c r="M214" s="36" t="n">
        <f aca="false">M213-0.1*X213</f>
        <v>0.692366240150199</v>
      </c>
      <c r="N214" s="31" t="n">
        <f aca="false">I214+J214*C214+K214*D214+L214*E214+F214*M214</f>
        <v>2.56574490564157</v>
      </c>
      <c r="O214" s="31" t="n">
        <f aca="false">1/(1+EXP(-N214))</f>
        <v>0.928624176534986</v>
      </c>
      <c r="P214" s="32" t="n">
        <f aca="false">IF(O214&gt;0.5,1,0)</f>
        <v>1</v>
      </c>
      <c r="Q214" s="32" t="n">
        <f aca="false">O214-G214</f>
        <v>-0.0713758234650137</v>
      </c>
      <c r="R214" s="33" t="n">
        <f aca="false">Q214^2</f>
        <v>0.0050945081753088</v>
      </c>
      <c r="T214" s="26" t="n">
        <f aca="false">2*(O214-G214)*(1-O214)*O214</f>
        <v>-0.00946176691829378</v>
      </c>
      <c r="U214" s="26" t="n">
        <f aca="false">2*(O214-G214)*(1-O214)*O214*C214</f>
        <v>-0.0492011879751277</v>
      </c>
      <c r="V214" s="26" t="n">
        <f aca="false">2*(O214-G214)*(1-O214)*O214*D214</f>
        <v>-0.0255467706793932</v>
      </c>
      <c r="W214" s="26" t="n">
        <f aca="false">2*(O214-G214)*(1-O214)*O214*E214</f>
        <v>-0.0369008909813457</v>
      </c>
      <c r="X214" s="26" t="n">
        <f aca="false">2*(O214-G214)*(1-O214)*O214*F214</f>
        <v>-0.0132464736856113</v>
      </c>
    </row>
    <row r="215" customFormat="false" ht="14.25" hidden="false" customHeight="true" outlineLevel="0" collapsed="false">
      <c r="A215" s="37"/>
      <c r="B215" s="34" t="n">
        <v>51</v>
      </c>
      <c r="C215" s="28" t="n">
        <v>5</v>
      </c>
      <c r="D215" s="28" t="n">
        <v>2</v>
      </c>
      <c r="E215" s="28" t="n">
        <v>3.5</v>
      </c>
      <c r="F215" s="28" t="n">
        <v>1</v>
      </c>
      <c r="G215" s="35" t="n">
        <v>1</v>
      </c>
      <c r="H215" s="1" t="n">
        <f aca="false">IF(G215=P215, 1, 0)</f>
        <v>1</v>
      </c>
      <c r="I215" s="34" t="n">
        <f aca="false">I214-0.1*T214</f>
        <v>0.2973275314707</v>
      </c>
      <c r="J215" s="36" t="n">
        <f aca="false">J214-0.1*U214</f>
        <v>-0.227814776078674</v>
      </c>
      <c r="K215" s="36" t="n">
        <f aca="false">K214-0.1*V214</f>
        <v>-0.237935681244431</v>
      </c>
      <c r="L215" s="36" t="n">
        <f aca="false">L214-0.1*W214</f>
        <v>0.813842969983261</v>
      </c>
      <c r="M215" s="36" t="n">
        <f aca="false">M214-0.1*X214</f>
        <v>0.69369088751876</v>
      </c>
      <c r="N215" s="31" t="n">
        <f aca="false">I215+J215*C215+K215*D215+L215*E215+F215*M215</f>
        <v>2.22452357104864</v>
      </c>
      <c r="O215" s="31" t="n">
        <f aca="false">1/(1+EXP(-N215))</f>
        <v>0.902430221471867</v>
      </c>
      <c r="P215" s="32" t="n">
        <f aca="false">IF(O215&gt;0.5,1,0)</f>
        <v>1</v>
      </c>
      <c r="Q215" s="32" t="n">
        <f aca="false">O215-G215</f>
        <v>-0.0975697785281328</v>
      </c>
      <c r="R215" s="33" t="n">
        <f aca="false">Q215^2</f>
        <v>0.00951986168202888</v>
      </c>
      <c r="T215" s="26" t="n">
        <f aca="false">2*(O215-G215)*(1-O215)*O215</f>
        <v>-0.0171820217721897</v>
      </c>
      <c r="U215" s="26" t="n">
        <f aca="false">2*(O215-G215)*(1-O215)*O215*C215</f>
        <v>-0.0859101088609486</v>
      </c>
      <c r="V215" s="26" t="n">
        <f aca="false">2*(O215-G215)*(1-O215)*O215*D215</f>
        <v>-0.0343640435443794</v>
      </c>
      <c r="W215" s="26" t="n">
        <f aca="false">2*(O215-G215)*(1-O215)*O215*E215</f>
        <v>-0.060137076202664</v>
      </c>
      <c r="X215" s="26" t="n">
        <f aca="false">2*(O215-G215)*(1-O215)*O215*F215</f>
        <v>-0.0171820217721897</v>
      </c>
    </row>
    <row r="216" customFormat="false" ht="14.25" hidden="false" customHeight="true" outlineLevel="0" collapsed="false">
      <c r="A216" s="37"/>
      <c r="B216" s="34" t="n">
        <v>52</v>
      </c>
      <c r="C216" s="28" t="n">
        <v>5.9</v>
      </c>
      <c r="D216" s="28" t="n">
        <v>3</v>
      </c>
      <c r="E216" s="28" t="n">
        <v>4.2</v>
      </c>
      <c r="F216" s="28" t="n">
        <v>1.5</v>
      </c>
      <c r="G216" s="35" t="n">
        <v>1</v>
      </c>
      <c r="H216" s="1" t="n">
        <f aca="false">IF(G216=P216, 1, 0)</f>
        <v>1</v>
      </c>
      <c r="I216" s="34" t="n">
        <f aca="false">I215-0.1*T215</f>
        <v>0.299045733647919</v>
      </c>
      <c r="J216" s="36" t="n">
        <f aca="false">J215-0.1*U215</f>
        <v>-0.219223765192579</v>
      </c>
      <c r="K216" s="36" t="n">
        <f aca="false">K215-0.1*V215</f>
        <v>-0.234499276889993</v>
      </c>
      <c r="L216" s="36" t="n">
        <f aca="false">L215-0.1*W215</f>
        <v>0.819856677603527</v>
      </c>
      <c r="M216" s="36" t="n">
        <f aca="false">M215-0.1*X215</f>
        <v>0.695409089695979</v>
      </c>
      <c r="N216" s="31" t="n">
        <f aca="false">I216+J216*C216+K216*D216+L216*E216+F216*M216</f>
        <v>2.78863936882051</v>
      </c>
      <c r="O216" s="31" t="n">
        <f aca="false">1/(1+EXP(-N216))</f>
        <v>0.942058820688279</v>
      </c>
      <c r="P216" s="32" t="n">
        <f aca="false">IF(O216&gt;0.5,1,0)</f>
        <v>1</v>
      </c>
      <c r="Q216" s="32" t="n">
        <f aca="false">O216-G216</f>
        <v>-0.0579411793117214</v>
      </c>
      <c r="R216" s="33" t="n">
        <f aca="false">Q216^2</f>
        <v>0.00335718026003305</v>
      </c>
      <c r="T216" s="26" t="n">
        <f aca="false">2*(O216-G216)*(1-O216)*O216</f>
        <v>-0.00632532255320941</v>
      </c>
      <c r="U216" s="26" t="n">
        <f aca="false">2*(O216-G216)*(1-O216)*O216*C216</f>
        <v>-0.0373194030639355</v>
      </c>
      <c r="V216" s="26" t="n">
        <f aca="false">2*(O216-G216)*(1-O216)*O216*D216</f>
        <v>-0.0189759676596282</v>
      </c>
      <c r="W216" s="26" t="n">
        <f aca="false">2*(O216-G216)*(1-O216)*O216*E216</f>
        <v>-0.0265663547234795</v>
      </c>
      <c r="X216" s="26" t="n">
        <f aca="false">2*(O216-G216)*(1-O216)*O216*F216</f>
        <v>-0.00948798382981411</v>
      </c>
    </row>
    <row r="217" customFormat="false" ht="14.25" hidden="false" customHeight="true" outlineLevel="0" collapsed="false">
      <c r="A217" s="37"/>
      <c r="B217" s="34" t="n">
        <v>53</v>
      </c>
      <c r="C217" s="28" t="n">
        <v>6</v>
      </c>
      <c r="D217" s="28" t="n">
        <v>2.2</v>
      </c>
      <c r="E217" s="28" t="n">
        <v>4</v>
      </c>
      <c r="F217" s="28" t="n">
        <v>1</v>
      </c>
      <c r="G217" s="35" t="n">
        <v>1</v>
      </c>
      <c r="H217" s="1" t="n">
        <f aca="false">IF(G217=P217, 1, 0)</f>
        <v>1</v>
      </c>
      <c r="I217" s="34" t="n">
        <f aca="false">I216-0.1*T216</f>
        <v>0.29967826590324</v>
      </c>
      <c r="J217" s="36" t="n">
        <f aca="false">J216-0.1*U216</f>
        <v>-0.215491824886185</v>
      </c>
      <c r="K217" s="36" t="n">
        <f aca="false">K216-0.1*V216</f>
        <v>-0.23260168012403</v>
      </c>
      <c r="L217" s="36" t="n">
        <f aca="false">L216-0.1*W216</f>
        <v>0.822513313075875</v>
      </c>
      <c r="M217" s="36" t="n">
        <f aca="false">M216-0.1*X216</f>
        <v>0.696357888078961</v>
      </c>
      <c r="N217" s="31" t="n">
        <f aca="false">I217+J217*C217+K217*D217+L217*E217+F217*M217</f>
        <v>2.48141476069572</v>
      </c>
      <c r="O217" s="31" t="n">
        <f aca="false">1/(1+EXP(-N217))</f>
        <v>0.922828611701863</v>
      </c>
      <c r="P217" s="32" t="n">
        <f aca="false">IF(O217&gt;0.5,1,0)</f>
        <v>1</v>
      </c>
      <c r="Q217" s="32" t="n">
        <f aca="false">O217-G217</f>
        <v>-0.0771713882981372</v>
      </c>
      <c r="R217" s="33" t="n">
        <f aca="false">Q217^2</f>
        <v>0.00595542317186187</v>
      </c>
      <c r="T217" s="26" t="n">
        <f aca="false">2*(O217-G217)*(1-O217)*O217</f>
        <v>-0.0109916697955728</v>
      </c>
      <c r="U217" s="26" t="n">
        <f aca="false">2*(O217-G217)*(1-O217)*O217*C217</f>
        <v>-0.0659500187734367</v>
      </c>
      <c r="V217" s="26" t="n">
        <f aca="false">2*(O217-G217)*(1-O217)*O217*D217</f>
        <v>-0.0241816735502601</v>
      </c>
      <c r="W217" s="26" t="n">
        <f aca="false">2*(O217-G217)*(1-O217)*O217*E217</f>
        <v>-0.0439666791822911</v>
      </c>
      <c r="X217" s="26" t="n">
        <f aca="false">2*(O217-G217)*(1-O217)*O217*F217</f>
        <v>-0.0109916697955728</v>
      </c>
    </row>
    <row r="218" customFormat="false" ht="14.25" hidden="false" customHeight="true" outlineLevel="0" collapsed="false">
      <c r="A218" s="37"/>
      <c r="B218" s="34" t="n">
        <v>54</v>
      </c>
      <c r="C218" s="28" t="n">
        <v>6.1</v>
      </c>
      <c r="D218" s="28" t="n">
        <v>2.9</v>
      </c>
      <c r="E218" s="28" t="n">
        <v>4.7</v>
      </c>
      <c r="F218" s="28" t="n">
        <v>1.4</v>
      </c>
      <c r="G218" s="35" t="n">
        <v>1</v>
      </c>
      <c r="H218" s="1" t="n">
        <f aca="false">IF(G218=P218, 1, 0)</f>
        <v>1</v>
      </c>
      <c r="I218" s="34" t="n">
        <f aca="false">I217-0.1*T217</f>
        <v>0.300777432882797</v>
      </c>
      <c r="J218" s="36" t="n">
        <f aca="false">J217-0.1*U217</f>
        <v>-0.208896823008842</v>
      </c>
      <c r="K218" s="36" t="n">
        <f aca="false">K217-0.1*V217</f>
        <v>-0.230183512769004</v>
      </c>
      <c r="L218" s="36" t="n">
        <f aca="false">L217-0.1*W217</f>
        <v>0.826909980994104</v>
      </c>
      <c r="M218" s="36" t="n">
        <f aca="false">M217-0.1*X217</f>
        <v>0.697457055058518</v>
      </c>
      <c r="N218" s="31" t="n">
        <f aca="false">I218+J218*C218+K218*D218+L218*E218+F218*M218</f>
        <v>3.22189141325297</v>
      </c>
      <c r="O218" s="31" t="n">
        <f aca="false">1/(1+EXP(-N218))</f>
        <v>0.961649829689837</v>
      </c>
      <c r="P218" s="32" t="n">
        <f aca="false">IF(O218&gt;0.5,1,0)</f>
        <v>1</v>
      </c>
      <c r="Q218" s="32" t="n">
        <f aca="false">O218-G218</f>
        <v>-0.0383501703101627</v>
      </c>
      <c r="R218" s="33" t="n">
        <f aca="false">Q218^2</f>
        <v>0.00147073556281849</v>
      </c>
      <c r="T218" s="26" t="n">
        <f aca="false">2*(O218-G218)*(1-O218)*O218</f>
        <v>-0.00282866520700637</v>
      </c>
      <c r="U218" s="26" t="n">
        <f aca="false">2*(O218-G218)*(1-O218)*O218*C218</f>
        <v>-0.0172548577627389</v>
      </c>
      <c r="V218" s="26" t="n">
        <f aca="false">2*(O218-G218)*(1-O218)*O218*D218</f>
        <v>-0.00820312910031848</v>
      </c>
      <c r="W218" s="26" t="n">
        <f aca="false">2*(O218-G218)*(1-O218)*O218*E218</f>
        <v>-0.01329472647293</v>
      </c>
      <c r="X218" s="26" t="n">
        <f aca="false">2*(O218-G218)*(1-O218)*O218*F218</f>
        <v>-0.00396013128980892</v>
      </c>
    </row>
    <row r="219" customFormat="false" ht="14.25" hidden="false" customHeight="true" outlineLevel="0" collapsed="false">
      <c r="A219" s="37"/>
      <c r="B219" s="34" t="n">
        <v>55</v>
      </c>
      <c r="C219" s="28" t="n">
        <v>5.6</v>
      </c>
      <c r="D219" s="28" t="n">
        <v>2.9</v>
      </c>
      <c r="E219" s="28" t="n">
        <v>3.6</v>
      </c>
      <c r="F219" s="28" t="n">
        <v>1.3</v>
      </c>
      <c r="G219" s="35" t="n">
        <v>1</v>
      </c>
      <c r="H219" s="1" t="n">
        <f aca="false">IF(G219=P219, 1, 0)</f>
        <v>1</v>
      </c>
      <c r="I219" s="34" t="n">
        <f aca="false">I218-0.1*T218</f>
        <v>0.301060299403497</v>
      </c>
      <c r="J219" s="36" t="n">
        <f aca="false">J218-0.1*U218</f>
        <v>-0.207171337232568</v>
      </c>
      <c r="K219" s="36" t="n">
        <f aca="false">K218-0.1*V218</f>
        <v>-0.229363199858972</v>
      </c>
      <c r="L219" s="36" t="n">
        <f aca="false">L218-0.1*W218</f>
        <v>0.828239453641397</v>
      </c>
      <c r="M219" s="36" t="n">
        <f aca="false">M218-0.1*X218</f>
        <v>0.697853068187499</v>
      </c>
      <c r="N219" s="31" t="n">
        <f aca="false">I219+J219*C219+K219*D219+L219*E219+F219*M219</f>
        <v>2.36461855306288</v>
      </c>
      <c r="O219" s="31" t="n">
        <f aca="false">1/(1+EXP(-N219))</f>
        <v>0.914089195449193</v>
      </c>
      <c r="P219" s="32" t="n">
        <f aca="false">IF(O219&gt;0.5,1,0)</f>
        <v>1</v>
      </c>
      <c r="Q219" s="32" t="n">
        <f aca="false">O219-G219</f>
        <v>-0.0859108045508071</v>
      </c>
      <c r="R219" s="33" t="n">
        <f aca="false">Q219^2</f>
        <v>0.00738066633856698</v>
      </c>
      <c r="T219" s="26" t="n">
        <f aca="false">2*(O219-G219)*(1-O219)*O219</f>
        <v>-0.0134931747105993</v>
      </c>
      <c r="U219" s="26" t="n">
        <f aca="false">2*(O219-G219)*(1-O219)*O219*C219</f>
        <v>-0.0755617783793559</v>
      </c>
      <c r="V219" s="26" t="n">
        <f aca="false">2*(O219-G219)*(1-O219)*O219*D219</f>
        <v>-0.0391302066607379</v>
      </c>
      <c r="W219" s="26" t="n">
        <f aca="false">2*(O219-G219)*(1-O219)*O219*E219</f>
        <v>-0.0485754289581574</v>
      </c>
      <c r="X219" s="26" t="n">
        <f aca="false">2*(O219-G219)*(1-O219)*O219*F219</f>
        <v>-0.017541127123779</v>
      </c>
    </row>
    <row r="220" customFormat="false" ht="14.25" hidden="false" customHeight="true" outlineLevel="0" collapsed="false">
      <c r="A220" s="37"/>
      <c r="B220" s="34" t="n">
        <v>56</v>
      </c>
      <c r="C220" s="28" t="n">
        <v>6.7</v>
      </c>
      <c r="D220" s="28" t="n">
        <v>3.1</v>
      </c>
      <c r="E220" s="28" t="n">
        <v>4.4</v>
      </c>
      <c r="F220" s="28" t="n">
        <v>1.4</v>
      </c>
      <c r="G220" s="35" t="n">
        <v>1</v>
      </c>
      <c r="H220" s="1" t="n">
        <f aca="false">IF(G220=P220, 1, 0)</f>
        <v>1</v>
      </c>
      <c r="I220" s="34" t="n">
        <f aca="false">I219-0.1*T219</f>
        <v>0.302409616874557</v>
      </c>
      <c r="J220" s="36" t="n">
        <f aca="false">J219-0.1*U219</f>
        <v>-0.199615159394632</v>
      </c>
      <c r="K220" s="36" t="n">
        <f aca="false">K219-0.1*V219</f>
        <v>-0.225450179192898</v>
      </c>
      <c r="L220" s="36" t="n">
        <f aca="false">L219-0.1*W219</f>
        <v>0.833096996537213</v>
      </c>
      <c r="M220" s="36" t="n">
        <f aca="false">M219-0.1*X219</f>
        <v>0.699607180899877</v>
      </c>
      <c r="N220" s="31" t="n">
        <f aca="false">I220+J220*C220+K220*D220+L220*E220+F220*M220</f>
        <v>2.9111693314561</v>
      </c>
      <c r="O220" s="31" t="n">
        <f aca="false">1/(1+EXP(-N220))</f>
        <v>0.948395823017523</v>
      </c>
      <c r="P220" s="32" t="n">
        <f aca="false">IF(O220&gt;0.5,1,0)</f>
        <v>1</v>
      </c>
      <c r="Q220" s="32" t="n">
        <f aca="false">O220-G220</f>
        <v>-0.0516041769824775</v>
      </c>
      <c r="R220" s="33" t="n">
        <f aca="false">Q220^2</f>
        <v>0.00266299108203887</v>
      </c>
      <c r="T220" s="26" t="n">
        <f aca="false">2*(O220-G220)*(1-O220)*O220</f>
        <v>-0.00505113923787715</v>
      </c>
      <c r="U220" s="26" t="n">
        <f aca="false">2*(O220-G220)*(1-O220)*O220*C220</f>
        <v>-0.0338426328937769</v>
      </c>
      <c r="V220" s="26" t="n">
        <f aca="false">2*(O220-G220)*(1-O220)*O220*D220</f>
        <v>-0.0156585316374192</v>
      </c>
      <c r="W220" s="26" t="n">
        <f aca="false">2*(O220-G220)*(1-O220)*O220*E220</f>
        <v>-0.0222250126466594</v>
      </c>
      <c r="X220" s="26" t="n">
        <f aca="false">2*(O220-G220)*(1-O220)*O220*F220</f>
        <v>-0.007071594933028</v>
      </c>
    </row>
    <row r="221" customFormat="false" ht="14.25" hidden="false" customHeight="true" outlineLevel="0" collapsed="false">
      <c r="A221" s="37"/>
      <c r="B221" s="34" t="n">
        <v>57</v>
      </c>
      <c r="C221" s="28" t="n">
        <v>5.6</v>
      </c>
      <c r="D221" s="28" t="n">
        <v>3</v>
      </c>
      <c r="E221" s="28" t="n">
        <v>4.5</v>
      </c>
      <c r="F221" s="28" t="n">
        <v>1.5</v>
      </c>
      <c r="G221" s="35" t="n">
        <v>1</v>
      </c>
      <c r="H221" s="1" t="n">
        <f aca="false">IF(G221=P221, 1, 0)</f>
        <v>1</v>
      </c>
      <c r="I221" s="34" t="n">
        <f aca="false">I220-0.1*T220</f>
        <v>0.302914730798345</v>
      </c>
      <c r="J221" s="36" t="n">
        <f aca="false">J220-0.1*U220</f>
        <v>-0.196230896105254</v>
      </c>
      <c r="K221" s="36" t="n">
        <f aca="false">K220-0.1*V220</f>
        <v>-0.223884326029156</v>
      </c>
      <c r="L221" s="36" t="n">
        <f aca="false">L220-0.1*W220</f>
        <v>0.835319497801879</v>
      </c>
      <c r="M221" s="36" t="n">
        <f aca="false">M220-0.1*X220</f>
        <v>0.700314340393179</v>
      </c>
      <c r="N221" s="31" t="n">
        <f aca="false">I221+J221*C221+K221*D221+L221*E221+F221*M221</f>
        <v>3.34177798521968</v>
      </c>
      <c r="O221" s="31" t="n">
        <f aca="false">1/(1+EXP(-N221))</f>
        <v>0.965834561169492</v>
      </c>
      <c r="P221" s="32" t="n">
        <f aca="false">IF(O221&gt;0.5,1,0)</f>
        <v>1</v>
      </c>
      <c r="Q221" s="32" t="n">
        <f aca="false">O221-G221</f>
        <v>-0.0341654388305085</v>
      </c>
      <c r="R221" s="33" t="n">
        <f aca="false">Q221^2</f>
        <v>0.00116727721048122</v>
      </c>
      <c r="T221" s="26" t="n">
        <f aca="false">2*(O221-G221)*(1-O221)*O221</f>
        <v>-0.00225479334469655</v>
      </c>
      <c r="U221" s="26" t="n">
        <f aca="false">2*(O221-G221)*(1-O221)*O221*C221</f>
        <v>-0.0126268427303007</v>
      </c>
      <c r="V221" s="26" t="n">
        <f aca="false">2*(O221-G221)*(1-O221)*O221*D221</f>
        <v>-0.00676438003408965</v>
      </c>
      <c r="W221" s="26" t="n">
        <f aca="false">2*(O221-G221)*(1-O221)*O221*E221</f>
        <v>-0.0101465700511345</v>
      </c>
      <c r="X221" s="26" t="n">
        <f aca="false">2*(O221-G221)*(1-O221)*O221*F221</f>
        <v>-0.00338219001704482</v>
      </c>
    </row>
    <row r="222" customFormat="false" ht="14.25" hidden="false" customHeight="true" outlineLevel="0" collapsed="false">
      <c r="A222" s="37"/>
      <c r="B222" s="34" t="n">
        <v>58</v>
      </c>
      <c r="C222" s="28" t="n">
        <v>5.8</v>
      </c>
      <c r="D222" s="28" t="n">
        <v>2.7</v>
      </c>
      <c r="E222" s="28" t="n">
        <v>4.1</v>
      </c>
      <c r="F222" s="28" t="n">
        <v>1</v>
      </c>
      <c r="G222" s="35" t="n">
        <v>1</v>
      </c>
      <c r="H222" s="1" t="n">
        <f aca="false">IF(G222=P222, 1, 0)</f>
        <v>1</v>
      </c>
      <c r="I222" s="34" t="n">
        <f aca="false">I221-0.1*T221</f>
        <v>0.303140210132815</v>
      </c>
      <c r="J222" s="36" t="n">
        <f aca="false">J221-0.1*U221</f>
        <v>-0.194968211832224</v>
      </c>
      <c r="K222" s="36" t="n">
        <f aca="false">K221-0.1*V221</f>
        <v>-0.223207888025747</v>
      </c>
      <c r="L222" s="36" t="n">
        <f aca="false">L221-0.1*W221</f>
        <v>0.836334154806993</v>
      </c>
      <c r="M222" s="36" t="n">
        <f aca="false">M221-0.1*X221</f>
        <v>0.700652559394884</v>
      </c>
      <c r="N222" s="31" t="n">
        <f aca="false">I222+J222*C222+K222*D222+L222*E222+F222*M222</f>
        <v>2.69928587793995</v>
      </c>
      <c r="O222" s="31" t="n">
        <f aca="false">1/(1+EXP(-N222))</f>
        <v>0.936984492080407</v>
      </c>
      <c r="P222" s="32" t="n">
        <f aca="false">IF(O222&gt;0.5,1,0)</f>
        <v>1</v>
      </c>
      <c r="Q222" s="32" t="n">
        <f aca="false">O222-G222</f>
        <v>-0.0630155079195933</v>
      </c>
      <c r="R222" s="33" t="n">
        <f aca="false">Q222^2</f>
        <v>0.00397095423836433</v>
      </c>
      <c r="T222" s="26" t="n">
        <f aca="false">2*(O222-G222)*(1-O222)*O222</f>
        <v>-0.00744144508021668</v>
      </c>
      <c r="U222" s="26" t="n">
        <f aca="false">2*(O222-G222)*(1-O222)*O222*C222</f>
        <v>-0.0431603814652567</v>
      </c>
      <c r="V222" s="26" t="n">
        <f aca="false">2*(O222-G222)*(1-O222)*O222*D222</f>
        <v>-0.020091901716585</v>
      </c>
      <c r="W222" s="26" t="n">
        <f aca="false">2*(O222-G222)*(1-O222)*O222*E222</f>
        <v>-0.0305099248288884</v>
      </c>
      <c r="X222" s="26" t="n">
        <f aca="false">2*(O222-G222)*(1-O222)*O222*F222</f>
        <v>-0.00744144508021668</v>
      </c>
    </row>
    <row r="223" customFormat="false" ht="14.25" hidden="false" customHeight="true" outlineLevel="0" collapsed="false">
      <c r="A223" s="37"/>
      <c r="B223" s="34" t="n">
        <v>59</v>
      </c>
      <c r="C223" s="28" t="n">
        <v>6.2</v>
      </c>
      <c r="D223" s="28" t="n">
        <v>2.2</v>
      </c>
      <c r="E223" s="28" t="n">
        <v>4.5</v>
      </c>
      <c r="F223" s="28" t="n">
        <v>1.5</v>
      </c>
      <c r="G223" s="35" t="n">
        <v>1</v>
      </c>
      <c r="H223" s="1" t="n">
        <f aca="false">IF(G223=P223, 1, 0)</f>
        <v>1</v>
      </c>
      <c r="I223" s="34" t="n">
        <f aca="false">I222-0.1*T222</f>
        <v>0.303884354640836</v>
      </c>
      <c r="J223" s="36" t="n">
        <f aca="false">J222-0.1*U222</f>
        <v>-0.190652173685699</v>
      </c>
      <c r="K223" s="36" t="n">
        <f aca="false">K222-0.1*V222</f>
        <v>-0.221198697854089</v>
      </c>
      <c r="L223" s="36" t="n">
        <f aca="false">L222-0.1*W222</f>
        <v>0.839385147289881</v>
      </c>
      <c r="M223" s="36" t="n">
        <f aca="false">M222-0.1*X222</f>
        <v>0.701396703902906</v>
      </c>
      <c r="N223" s="31" t="n">
        <f aca="false">I223+J223*C223+K223*D223+L223*E223+F223*M223</f>
        <v>3.46453196116933</v>
      </c>
      <c r="O223" s="31" t="n">
        <f aca="false">1/(1+EXP(-N223))</f>
        <v>0.969661572152529</v>
      </c>
      <c r="P223" s="32" t="n">
        <f aca="false">IF(O223&gt;0.5,1,0)</f>
        <v>1</v>
      </c>
      <c r="Q223" s="32" t="n">
        <f aca="false">O223-G223</f>
        <v>-0.0303384278474708</v>
      </c>
      <c r="R223" s="33" t="n">
        <f aca="false">Q223^2</f>
        <v>0.000920420204256189</v>
      </c>
      <c r="T223" s="26" t="n">
        <f aca="false">2*(O223-G223)*(1-O223)*O223</f>
        <v>-0.00178499220460002</v>
      </c>
      <c r="U223" s="26" t="n">
        <f aca="false">2*(O223-G223)*(1-O223)*O223*C223</f>
        <v>-0.0110669516685201</v>
      </c>
      <c r="V223" s="26" t="n">
        <f aca="false">2*(O223-G223)*(1-O223)*O223*D223</f>
        <v>-0.00392698285012004</v>
      </c>
      <c r="W223" s="26" t="n">
        <f aca="false">2*(O223-G223)*(1-O223)*O223*E223</f>
        <v>-0.00803246492070008</v>
      </c>
      <c r="X223" s="26" t="n">
        <f aca="false">2*(O223-G223)*(1-O223)*O223*F223</f>
        <v>-0.00267748830690003</v>
      </c>
    </row>
    <row r="224" customFormat="false" ht="14.25" hidden="false" customHeight="true" outlineLevel="0" collapsed="false">
      <c r="A224" s="37"/>
      <c r="B224" s="34" t="n">
        <v>60</v>
      </c>
      <c r="C224" s="28" t="n">
        <v>5.6</v>
      </c>
      <c r="D224" s="28" t="n">
        <v>2.5</v>
      </c>
      <c r="E224" s="28" t="n">
        <v>3.9</v>
      </c>
      <c r="F224" s="28" t="n">
        <v>1.1</v>
      </c>
      <c r="G224" s="35" t="n">
        <v>1</v>
      </c>
      <c r="H224" s="1" t="n">
        <f aca="false">IF(G224=P224, 1, 0)</f>
        <v>1</v>
      </c>
      <c r="I224" s="34" t="n">
        <f aca="false">I223-0.1*T223</f>
        <v>0.304062853861296</v>
      </c>
      <c r="J224" s="36" t="n">
        <f aca="false">J223-0.1*U223</f>
        <v>-0.189545478518847</v>
      </c>
      <c r="K224" s="36" t="n">
        <f aca="false">K223-0.1*V223</f>
        <v>-0.220805999569077</v>
      </c>
      <c r="L224" s="36" t="n">
        <f aca="false">L223-0.1*W223</f>
        <v>0.840188393781951</v>
      </c>
      <c r="M224" s="36" t="n">
        <f aca="false">M223-0.1*X223</f>
        <v>0.701664452733596</v>
      </c>
      <c r="N224" s="31" t="n">
        <f aca="false">I224+J224*C224+K224*D224+L224*E224+F224*M224</f>
        <v>2.73915880898963</v>
      </c>
      <c r="O224" s="31" t="n">
        <f aca="false">1/(1+EXP(-N224))</f>
        <v>0.939298152104125</v>
      </c>
      <c r="P224" s="32" t="n">
        <f aca="false">IF(O224&gt;0.5,1,0)</f>
        <v>1</v>
      </c>
      <c r="Q224" s="32" t="n">
        <f aca="false">O224-G224</f>
        <v>-0.0607018478958751</v>
      </c>
      <c r="R224" s="33" t="n">
        <f aca="false">Q224^2</f>
        <v>0.00368471433797395</v>
      </c>
      <c r="T224" s="26" t="n">
        <f aca="false">2*(O224-G224)*(1-O224)*O224</f>
        <v>-0.00692209073738102</v>
      </c>
      <c r="U224" s="26" t="n">
        <f aca="false">2*(O224-G224)*(1-O224)*O224*C224</f>
        <v>-0.0387637081293337</v>
      </c>
      <c r="V224" s="26" t="n">
        <f aca="false">2*(O224-G224)*(1-O224)*O224*D224</f>
        <v>-0.0173052268434525</v>
      </c>
      <c r="W224" s="26" t="n">
        <f aca="false">2*(O224-G224)*(1-O224)*O224*E224</f>
        <v>-0.026996153875786</v>
      </c>
      <c r="X224" s="26" t="n">
        <f aca="false">2*(O224-G224)*(1-O224)*O224*F224</f>
        <v>-0.00761429981111912</v>
      </c>
    </row>
    <row r="225" customFormat="false" ht="14.25" hidden="false" customHeight="true" outlineLevel="0" collapsed="false">
      <c r="A225" s="37"/>
      <c r="B225" s="34" t="n">
        <v>61</v>
      </c>
      <c r="C225" s="28" t="n">
        <v>5.9</v>
      </c>
      <c r="D225" s="28" t="n">
        <v>3.2</v>
      </c>
      <c r="E225" s="28" t="n">
        <v>4.8</v>
      </c>
      <c r="F225" s="28" t="n">
        <v>1.8</v>
      </c>
      <c r="G225" s="35" t="n">
        <v>1</v>
      </c>
      <c r="H225" s="1" t="n">
        <f aca="false">IF(G225=P225, 1, 0)</f>
        <v>1</v>
      </c>
      <c r="I225" s="34" t="n">
        <f aca="false">I224-0.1*T224</f>
        <v>0.304755062935034</v>
      </c>
      <c r="J225" s="36" t="n">
        <f aca="false">J224-0.1*U224</f>
        <v>-0.185669107705913</v>
      </c>
      <c r="K225" s="36" t="n">
        <f aca="false">K224-0.1*V224</f>
        <v>-0.219075476884732</v>
      </c>
      <c r="L225" s="36" t="n">
        <f aca="false">L224-0.1*W224</f>
        <v>0.84288800916953</v>
      </c>
      <c r="M225" s="36" t="n">
        <f aca="false">M224-0.1*X224</f>
        <v>0.702425882714708</v>
      </c>
      <c r="N225" s="31" t="n">
        <f aca="false">I225+J225*C225+K225*D225+L225*E225+F225*M225</f>
        <v>3.81849483433922</v>
      </c>
      <c r="O225" s="31" t="n">
        <f aca="false">1/(1+EXP(-N225))</f>
        <v>0.978511083733821</v>
      </c>
      <c r="P225" s="32" t="n">
        <f aca="false">IF(O225&gt;0.5,1,0)</f>
        <v>1</v>
      </c>
      <c r="Q225" s="32" t="n">
        <f aca="false">O225-G225</f>
        <v>-0.0214889162661787</v>
      </c>
      <c r="R225" s="33" t="n">
        <f aca="false">Q225^2</f>
        <v>0.000461773522294838</v>
      </c>
      <c r="T225" s="26" t="n">
        <f aca="false">2*(O225-G225)*(1-O225)*O225</f>
        <v>-0.000903701019480611</v>
      </c>
      <c r="U225" s="26" t="n">
        <f aca="false">2*(O225-G225)*(1-O225)*O225*C225</f>
        <v>-0.00533183601493561</v>
      </c>
      <c r="V225" s="26" t="n">
        <f aca="false">2*(O225-G225)*(1-O225)*O225*D225</f>
        <v>-0.00289184326233796</v>
      </c>
      <c r="W225" s="26" t="n">
        <f aca="false">2*(O225-G225)*(1-O225)*O225*E225</f>
        <v>-0.00433776489350693</v>
      </c>
      <c r="X225" s="26" t="n">
        <f aca="false">2*(O225-G225)*(1-O225)*O225*F225</f>
        <v>-0.0016266618350651</v>
      </c>
    </row>
    <row r="226" customFormat="false" ht="14.25" hidden="false" customHeight="true" outlineLevel="0" collapsed="false">
      <c r="A226" s="37"/>
      <c r="B226" s="34" t="n">
        <v>62</v>
      </c>
      <c r="C226" s="28" t="n">
        <v>6.1</v>
      </c>
      <c r="D226" s="28" t="n">
        <v>2.8</v>
      </c>
      <c r="E226" s="28" t="n">
        <v>4</v>
      </c>
      <c r="F226" s="28" t="n">
        <v>1.3</v>
      </c>
      <c r="G226" s="35" t="n">
        <v>1</v>
      </c>
      <c r="H226" s="1" t="n">
        <f aca="false">IF(G226=P226, 1, 0)</f>
        <v>1</v>
      </c>
      <c r="I226" s="34" t="n">
        <f aca="false">I225-0.1*T225</f>
        <v>0.304845433036983</v>
      </c>
      <c r="J226" s="36" t="n">
        <f aca="false">J225-0.1*U225</f>
        <v>-0.18513592410442</v>
      </c>
      <c r="K226" s="36" t="n">
        <f aca="false">K225-0.1*V225</f>
        <v>-0.218786292558498</v>
      </c>
      <c r="L226" s="36" t="n">
        <f aca="false">L225-0.1*W225</f>
        <v>0.843321785658881</v>
      </c>
      <c r="M226" s="36" t="n">
        <f aca="false">M225-0.1*X225</f>
        <v>0.702588548898214</v>
      </c>
      <c r="N226" s="31" t="n">
        <f aca="false">I226+J226*C226+K226*D226+L226*E226+F226*M226</f>
        <v>2.84956693303943</v>
      </c>
      <c r="O226" s="31" t="n">
        <f aca="false">1/(1+EXP(-N226))</f>
        <v>0.945296292684898</v>
      </c>
      <c r="P226" s="32" t="n">
        <f aca="false">IF(O226&gt;0.5,1,0)</f>
        <v>1</v>
      </c>
      <c r="Q226" s="32" t="n">
        <f aca="false">O226-G226</f>
        <v>-0.054703707315102</v>
      </c>
      <c r="R226" s="33" t="n">
        <f aca="false">Q226^2</f>
        <v>0.00299249559401634</v>
      </c>
      <c r="T226" s="26" t="n">
        <f aca="false">2*(O226-G226)*(1-O226)*O226</f>
        <v>-0.00565758998179908</v>
      </c>
      <c r="U226" s="26" t="n">
        <f aca="false">2*(O226-G226)*(1-O226)*O226*C226</f>
        <v>-0.0345112988889744</v>
      </c>
      <c r="V226" s="26" t="n">
        <f aca="false">2*(O226-G226)*(1-O226)*O226*D226</f>
        <v>-0.0158412519490374</v>
      </c>
      <c r="W226" s="26" t="n">
        <f aca="false">2*(O226-G226)*(1-O226)*O226*E226</f>
        <v>-0.0226303599271963</v>
      </c>
      <c r="X226" s="26" t="n">
        <f aca="false">2*(O226-G226)*(1-O226)*O226*F226</f>
        <v>-0.00735486697633881</v>
      </c>
    </row>
    <row r="227" customFormat="false" ht="14.25" hidden="false" customHeight="true" outlineLevel="0" collapsed="false">
      <c r="A227" s="37"/>
      <c r="B227" s="34" t="n">
        <v>63</v>
      </c>
      <c r="C227" s="28" t="n">
        <v>6.3</v>
      </c>
      <c r="D227" s="28" t="n">
        <v>2.5</v>
      </c>
      <c r="E227" s="28" t="n">
        <v>4.9</v>
      </c>
      <c r="F227" s="28" t="n">
        <v>1.5</v>
      </c>
      <c r="G227" s="35" t="n">
        <v>1</v>
      </c>
      <c r="H227" s="1" t="n">
        <f aca="false">IF(G227=P227, 1, 0)</f>
        <v>1</v>
      </c>
      <c r="I227" s="34" t="n">
        <f aca="false">I226-0.1*T226</f>
        <v>0.305411192035162</v>
      </c>
      <c r="J227" s="36" t="n">
        <f aca="false">J226-0.1*U226</f>
        <v>-0.181684794215522</v>
      </c>
      <c r="K227" s="36" t="n">
        <f aca="false">K226-0.1*V226</f>
        <v>-0.217202167363594</v>
      </c>
      <c r="L227" s="36" t="n">
        <f aca="false">L226-0.1*W226</f>
        <v>0.8455848216516</v>
      </c>
      <c r="M227" s="36" t="n">
        <f aca="false">M226-0.1*X226</f>
        <v>0.703324035595848</v>
      </c>
      <c r="N227" s="31" t="n">
        <f aca="false">I227+J227*C227+K227*D227+L227*E227+F227*M227</f>
        <v>3.816143249555</v>
      </c>
      <c r="O227" s="31" t="n">
        <f aca="false">1/(1+EXP(-N227))</f>
        <v>0.978461580944223</v>
      </c>
      <c r="P227" s="32" t="n">
        <f aca="false">IF(O227&gt;0.5,1,0)</f>
        <v>1</v>
      </c>
      <c r="Q227" s="32" t="n">
        <f aca="false">O227-G227</f>
        <v>-0.0215384190557769</v>
      </c>
      <c r="R227" s="33" t="n">
        <f aca="false">Q227^2</f>
        <v>0.000463903495422254</v>
      </c>
      <c r="T227" s="26" t="n">
        <f aca="false">2*(O227-G227)*(1-O227)*O227</f>
        <v>-0.00090782349507282</v>
      </c>
      <c r="U227" s="26" t="n">
        <f aca="false">2*(O227-G227)*(1-O227)*O227*C227</f>
        <v>-0.00571928801895877</v>
      </c>
      <c r="V227" s="26" t="n">
        <f aca="false">2*(O227-G227)*(1-O227)*O227*D227</f>
        <v>-0.00226955873768205</v>
      </c>
      <c r="W227" s="26" t="n">
        <f aca="false">2*(O227-G227)*(1-O227)*O227*E227</f>
        <v>-0.00444833512585682</v>
      </c>
      <c r="X227" s="26" t="n">
        <f aca="false">2*(O227-G227)*(1-O227)*O227*F227</f>
        <v>-0.00136173524260923</v>
      </c>
    </row>
    <row r="228" customFormat="false" ht="14.25" hidden="false" customHeight="true" outlineLevel="0" collapsed="false">
      <c r="A228" s="37"/>
      <c r="B228" s="34" t="n">
        <v>64</v>
      </c>
      <c r="C228" s="28" t="n">
        <v>6.1</v>
      </c>
      <c r="D228" s="28" t="n">
        <v>2.8</v>
      </c>
      <c r="E228" s="28" t="n">
        <v>4.7</v>
      </c>
      <c r="F228" s="28" t="n">
        <v>1.2</v>
      </c>
      <c r="G228" s="35" t="n">
        <v>1</v>
      </c>
      <c r="H228" s="1" t="n">
        <f aca="false">IF(G228=P228, 1, 0)</f>
        <v>1</v>
      </c>
      <c r="I228" s="34" t="n">
        <f aca="false">I227-0.1*T227</f>
        <v>0.30550197438467</v>
      </c>
      <c r="J228" s="36" t="n">
        <f aca="false">J227-0.1*U227</f>
        <v>-0.181112865413626</v>
      </c>
      <c r="K228" s="36" t="n">
        <f aca="false">K227-0.1*V227</f>
        <v>-0.216975211489826</v>
      </c>
      <c r="L228" s="36" t="n">
        <f aca="false">L227-0.1*W227</f>
        <v>0.846029655164186</v>
      </c>
      <c r="M228" s="36" t="n">
        <f aca="false">M227-0.1*X227</f>
        <v>0.703460209120109</v>
      </c>
      <c r="N228" s="31" t="n">
        <f aca="false">I228+J228*C228+K228*D228+L228*E228+F228*M228</f>
        <v>3.41367453340584</v>
      </c>
      <c r="O228" s="31" t="n">
        <f aca="false">1/(1+EXP(-N228))</f>
        <v>0.968129175749535</v>
      </c>
      <c r="P228" s="32" t="n">
        <f aca="false">IF(O228&gt;0.5,1,0)</f>
        <v>1</v>
      </c>
      <c r="Q228" s="32" t="n">
        <f aca="false">O228-G228</f>
        <v>-0.0318708242504652</v>
      </c>
      <c r="R228" s="33" t="n">
        <f aca="false">Q228^2</f>
        <v>0.00101574943840404</v>
      </c>
      <c r="T228" s="26" t="n">
        <f aca="false">2*(O228-G228)*(1-O228)*O228</f>
        <v>-0.00196675333314031</v>
      </c>
      <c r="U228" s="26" t="n">
        <f aca="false">2*(O228-G228)*(1-O228)*O228*C228</f>
        <v>-0.0119971953321559</v>
      </c>
      <c r="V228" s="26" t="n">
        <f aca="false">2*(O228-G228)*(1-O228)*O228*D228</f>
        <v>-0.00550690933279287</v>
      </c>
      <c r="W228" s="26" t="n">
        <f aca="false">2*(O228-G228)*(1-O228)*O228*E228</f>
        <v>-0.00924374066575946</v>
      </c>
      <c r="X228" s="26" t="n">
        <f aca="false">2*(O228-G228)*(1-O228)*O228*F228</f>
        <v>-0.00236010399976837</v>
      </c>
    </row>
    <row r="229" customFormat="false" ht="14.25" hidden="false" customHeight="true" outlineLevel="0" collapsed="false">
      <c r="A229" s="37"/>
      <c r="B229" s="34" t="n">
        <v>65</v>
      </c>
      <c r="C229" s="28" t="n">
        <v>6.4</v>
      </c>
      <c r="D229" s="28" t="n">
        <v>2.9</v>
      </c>
      <c r="E229" s="28" t="n">
        <v>4.3</v>
      </c>
      <c r="F229" s="28" t="n">
        <v>1.3</v>
      </c>
      <c r="G229" s="35" t="n">
        <v>1</v>
      </c>
      <c r="H229" s="1" t="n">
        <f aca="false">IF(G229=P229, 1, 0)</f>
        <v>1</v>
      </c>
      <c r="I229" s="34" t="n">
        <f aca="false">I228-0.1*T228</f>
        <v>0.305698649717984</v>
      </c>
      <c r="J229" s="36" t="n">
        <f aca="false">J228-0.1*U228</f>
        <v>-0.179913145880411</v>
      </c>
      <c r="K229" s="36" t="n">
        <f aca="false">K228-0.1*V228</f>
        <v>-0.216424520556547</v>
      </c>
      <c r="L229" s="36" t="n">
        <f aca="false">L228-0.1*W228</f>
        <v>0.846954029230762</v>
      </c>
      <c r="M229" s="36" t="n">
        <f aca="false">M228-0.1*X228</f>
        <v>0.703696219520086</v>
      </c>
      <c r="N229" s="31" t="n">
        <f aca="false">I229+J229*C229+K229*D229+L229*E229+F229*M229</f>
        <v>3.08333081753776</v>
      </c>
      <c r="O229" s="31" t="n">
        <f aca="false">1/(1+EXP(-N229))</f>
        <v>0.95619989691798</v>
      </c>
      <c r="P229" s="32" t="n">
        <f aca="false">IF(O229&gt;0.5,1,0)</f>
        <v>1</v>
      </c>
      <c r="Q229" s="32" t="n">
        <f aca="false">O229-G229</f>
        <v>-0.0438001030820202</v>
      </c>
      <c r="R229" s="33" t="n">
        <f aca="false">Q229^2</f>
        <v>0.0019184490299956</v>
      </c>
      <c r="T229" s="26" t="n">
        <f aca="false">2*(O229-G229)*(1-O229)*O229</f>
        <v>-0.00366884152944837</v>
      </c>
      <c r="U229" s="26" t="n">
        <f aca="false">2*(O229-G229)*(1-O229)*O229*C229</f>
        <v>-0.0234805857884696</v>
      </c>
      <c r="V229" s="26" t="n">
        <f aca="false">2*(O229-G229)*(1-O229)*O229*D229</f>
        <v>-0.0106396404354003</v>
      </c>
      <c r="W229" s="26" t="n">
        <f aca="false">2*(O229-G229)*(1-O229)*O229*E229</f>
        <v>-0.015776018576628</v>
      </c>
      <c r="X229" s="26" t="n">
        <f aca="false">2*(O229-G229)*(1-O229)*O229*F229</f>
        <v>-0.00476949398828289</v>
      </c>
    </row>
    <row r="230" customFormat="false" ht="14.25" hidden="false" customHeight="true" outlineLevel="0" collapsed="false">
      <c r="A230" s="37"/>
      <c r="B230" s="34" t="n">
        <v>66</v>
      </c>
      <c r="C230" s="28" t="n">
        <v>6.6</v>
      </c>
      <c r="D230" s="28" t="n">
        <v>3</v>
      </c>
      <c r="E230" s="28" t="n">
        <v>4.4</v>
      </c>
      <c r="F230" s="28" t="n">
        <v>1.4</v>
      </c>
      <c r="G230" s="35" t="n">
        <v>1</v>
      </c>
      <c r="H230" s="1" t="n">
        <f aca="false">IF(G230=P230, 1, 0)</f>
        <v>1</v>
      </c>
      <c r="I230" s="34" t="n">
        <f aca="false">I229-0.1*T229</f>
        <v>0.306065533870929</v>
      </c>
      <c r="J230" s="36" t="n">
        <f aca="false">J229-0.1*U229</f>
        <v>-0.177565087301564</v>
      </c>
      <c r="K230" s="36" t="n">
        <f aca="false">K229-0.1*V229</f>
        <v>-0.215360556513007</v>
      </c>
      <c r="L230" s="36" t="n">
        <f aca="false">L229-0.1*W229</f>
        <v>0.848531631088425</v>
      </c>
      <c r="M230" s="36" t="n">
        <f aca="false">M229-0.1*X229</f>
        <v>0.704173168918914</v>
      </c>
      <c r="N230" s="31" t="n">
        <f aca="false">I230+J230*C230+K230*D230+L230*E230+F230*M230</f>
        <v>3.20743590141714</v>
      </c>
      <c r="O230" s="31" t="n">
        <f aca="false">1/(1+EXP(-N230))</f>
        <v>0.961113146436093</v>
      </c>
      <c r="P230" s="32" t="n">
        <f aca="false">IF(O230&gt;0.5,1,0)</f>
        <v>1</v>
      </c>
      <c r="Q230" s="32" t="n">
        <f aca="false">O230-G230</f>
        <v>-0.0388868535639068</v>
      </c>
      <c r="R230" s="33" t="n">
        <f aca="false">Q230^2</f>
        <v>0.00151218738010073</v>
      </c>
      <c r="T230" s="26" t="n">
        <f aca="false">2*(O230-G230)*(1-O230)*O230</f>
        <v>-0.00290676634177913</v>
      </c>
      <c r="U230" s="26" t="n">
        <f aca="false">2*(O230-G230)*(1-O230)*O230*C230</f>
        <v>-0.0191846578557422</v>
      </c>
      <c r="V230" s="26" t="n">
        <f aca="false">2*(O230-G230)*(1-O230)*O230*D230</f>
        <v>-0.00872029902533738</v>
      </c>
      <c r="W230" s="26" t="n">
        <f aca="false">2*(O230-G230)*(1-O230)*O230*E230</f>
        <v>-0.0127897719038282</v>
      </c>
      <c r="X230" s="26" t="n">
        <f aca="false">2*(O230-G230)*(1-O230)*O230*F230</f>
        <v>-0.00406947287849078</v>
      </c>
    </row>
    <row r="231" customFormat="false" ht="14.25" hidden="false" customHeight="true" outlineLevel="0" collapsed="false">
      <c r="A231" s="37"/>
      <c r="B231" s="34" t="n">
        <v>67</v>
      </c>
      <c r="C231" s="28" t="n">
        <v>6.8</v>
      </c>
      <c r="D231" s="28" t="n">
        <v>2.8</v>
      </c>
      <c r="E231" s="28" t="n">
        <v>4.8</v>
      </c>
      <c r="F231" s="28" t="n">
        <v>1.4</v>
      </c>
      <c r="G231" s="35" t="n">
        <v>1</v>
      </c>
      <c r="H231" s="1" t="n">
        <f aca="false">IF(G231=P231, 1, 0)</f>
        <v>1</v>
      </c>
      <c r="I231" s="34" t="n">
        <f aca="false">I230-0.1*T230</f>
        <v>0.306356210505107</v>
      </c>
      <c r="J231" s="36" t="n">
        <f aca="false">J230-0.1*U230</f>
        <v>-0.17564662151599</v>
      </c>
      <c r="K231" s="36" t="n">
        <f aca="false">K230-0.1*V230</f>
        <v>-0.214488526610473</v>
      </c>
      <c r="L231" s="36" t="n">
        <f aca="false">L230-0.1*W230</f>
        <v>0.849810608278808</v>
      </c>
      <c r="M231" s="36" t="n">
        <f aca="false">M230-0.1*X230</f>
        <v>0.704580116206763</v>
      </c>
      <c r="N231" s="31" t="n">
        <f aca="false">I231+J231*C231+K231*D231+L231*E231+F231*M231</f>
        <v>3.5768943921148</v>
      </c>
      <c r="O231" s="31" t="n">
        <f aca="false">1/(1+EXP(-N231))</f>
        <v>0.972798223255112</v>
      </c>
      <c r="P231" s="32" t="n">
        <f aca="false">IF(O231&gt;0.5,1,0)</f>
        <v>1</v>
      </c>
      <c r="Q231" s="32" t="n">
        <f aca="false">O231-G231</f>
        <v>-0.0272017767448879</v>
      </c>
      <c r="R231" s="33" t="n">
        <f aca="false">Q231^2</f>
        <v>0.000739936658078723</v>
      </c>
      <c r="T231" s="26" t="n">
        <f aca="false">2*(O231-G231)*(1-O231)*O231</f>
        <v>-0.00143961813260061</v>
      </c>
      <c r="U231" s="26" t="n">
        <f aca="false">2*(O231-G231)*(1-O231)*O231*C231</f>
        <v>-0.00978940330168418</v>
      </c>
      <c r="V231" s="26" t="n">
        <f aca="false">2*(O231-G231)*(1-O231)*O231*D231</f>
        <v>-0.00403093077128172</v>
      </c>
      <c r="W231" s="26" t="n">
        <f aca="false">2*(O231-G231)*(1-O231)*O231*E231</f>
        <v>-0.00691016703648295</v>
      </c>
      <c r="X231" s="26" t="n">
        <f aca="false">2*(O231-G231)*(1-O231)*O231*F231</f>
        <v>-0.00201546538564086</v>
      </c>
    </row>
    <row r="232" customFormat="false" ht="14.25" hidden="false" customHeight="true" outlineLevel="0" collapsed="false">
      <c r="A232" s="37"/>
      <c r="B232" s="34" t="n">
        <v>68</v>
      </c>
      <c r="C232" s="28" t="n">
        <v>6.7</v>
      </c>
      <c r="D232" s="28" t="n">
        <v>3</v>
      </c>
      <c r="E232" s="28" t="n">
        <v>5</v>
      </c>
      <c r="F232" s="28" t="n">
        <v>1.7</v>
      </c>
      <c r="G232" s="35" t="n">
        <v>1</v>
      </c>
      <c r="H232" s="1" t="n">
        <f aca="false">IF(G232=P232, 1, 0)</f>
        <v>1</v>
      </c>
      <c r="I232" s="34" t="n">
        <f aca="false">I231-0.1*T231</f>
        <v>0.306500172318367</v>
      </c>
      <c r="J232" s="36" t="n">
        <f aca="false">J231-0.1*U231</f>
        <v>-0.174667681185821</v>
      </c>
      <c r="K232" s="36" t="n">
        <f aca="false">K231-0.1*V231</f>
        <v>-0.214085433533345</v>
      </c>
      <c r="L232" s="36" t="n">
        <f aca="false">L231-0.1*W231</f>
        <v>0.850501624982456</v>
      </c>
      <c r="M232" s="36" t="n">
        <f aca="false">M231-0.1*X231</f>
        <v>0.704781662745327</v>
      </c>
      <c r="N232" s="31" t="n">
        <f aca="false">I232+J232*C232+K232*D232+L232*E232+F232*M232</f>
        <v>3.94460735935267</v>
      </c>
      <c r="O232" s="31" t="n">
        <f aca="false">1/(1+EXP(-N232))</f>
        <v>0.98100883061684</v>
      </c>
      <c r="P232" s="32" t="n">
        <f aca="false">IF(O232&gt;0.5,1,0)</f>
        <v>1</v>
      </c>
      <c r="Q232" s="32" t="n">
        <f aca="false">O232-G232</f>
        <v>-0.0189911693831599</v>
      </c>
      <c r="R232" s="33" t="n">
        <f aca="false">Q232^2</f>
        <v>0.000360664514539871</v>
      </c>
      <c r="T232" s="26" t="n">
        <f aca="false">2*(O232-G232)*(1-O232)*O232</f>
        <v>-0.000707630147307498</v>
      </c>
      <c r="U232" s="26" t="n">
        <f aca="false">2*(O232-G232)*(1-O232)*O232*C232</f>
        <v>-0.00474112198696024</v>
      </c>
      <c r="V232" s="26" t="n">
        <f aca="false">2*(O232-G232)*(1-O232)*O232*D232</f>
        <v>-0.00212289044192249</v>
      </c>
      <c r="W232" s="26" t="n">
        <f aca="false">2*(O232-G232)*(1-O232)*O232*E232</f>
        <v>-0.00353815073653749</v>
      </c>
      <c r="X232" s="26" t="n">
        <f aca="false">2*(O232-G232)*(1-O232)*O232*F232</f>
        <v>-0.00120297125042275</v>
      </c>
    </row>
    <row r="233" customFormat="false" ht="14.25" hidden="false" customHeight="true" outlineLevel="0" collapsed="false">
      <c r="A233" s="37"/>
      <c r="B233" s="34" t="n">
        <v>69</v>
      </c>
      <c r="C233" s="28" t="n">
        <v>6</v>
      </c>
      <c r="D233" s="28" t="n">
        <v>2.9</v>
      </c>
      <c r="E233" s="28" t="n">
        <v>4.5</v>
      </c>
      <c r="F233" s="28" t="n">
        <v>1.5</v>
      </c>
      <c r="G233" s="35" t="n">
        <v>1</v>
      </c>
      <c r="H233" s="1" t="n">
        <f aca="false">IF(G233=P233, 1, 0)</f>
        <v>1</v>
      </c>
      <c r="I233" s="34" t="n">
        <f aca="false">I232-0.1*T232</f>
        <v>0.306570935333097</v>
      </c>
      <c r="J233" s="36" t="n">
        <f aca="false">J232-0.1*U232</f>
        <v>-0.174193568987125</v>
      </c>
      <c r="K233" s="36" t="n">
        <f aca="false">K232-0.1*V232</f>
        <v>-0.213873144489153</v>
      </c>
      <c r="L233" s="36" t="n">
        <f aca="false">L232-0.1*W232</f>
        <v>0.85085544005611</v>
      </c>
      <c r="M233" s="36" t="n">
        <f aca="false">M232-0.1*X232</f>
        <v>0.704901959870369</v>
      </c>
      <c r="N233" s="31" t="n">
        <f aca="false">I233+J233*C233+K233*D233+L233*E233+F233*M233</f>
        <v>3.52737982244985</v>
      </c>
      <c r="O233" s="31" t="n">
        <f aca="false">1/(1+EXP(-N233))</f>
        <v>0.97145684855361</v>
      </c>
      <c r="P233" s="32" t="n">
        <f aca="false">IF(O233&gt;0.5,1,0)</f>
        <v>1</v>
      </c>
      <c r="Q233" s="32" t="n">
        <f aca="false">O233-G233</f>
        <v>-0.02854315144639</v>
      </c>
      <c r="R233" s="33" t="n">
        <f aca="false">Q233^2</f>
        <v>0.000814711494491554</v>
      </c>
      <c r="T233" s="26" t="n">
        <f aca="false">2*(O233-G233)*(1-O233)*O233</f>
        <v>-0.00158291412183833</v>
      </c>
      <c r="U233" s="26" t="n">
        <f aca="false">2*(O233-G233)*(1-O233)*O233*C233</f>
        <v>-0.00949748473103</v>
      </c>
      <c r="V233" s="26" t="n">
        <f aca="false">2*(O233-G233)*(1-O233)*O233*D233</f>
        <v>-0.00459045095333117</v>
      </c>
      <c r="W233" s="26" t="n">
        <f aca="false">2*(O233-G233)*(1-O233)*O233*E233</f>
        <v>-0.0071231135482725</v>
      </c>
      <c r="X233" s="26" t="n">
        <f aca="false">2*(O233-G233)*(1-O233)*O233*F233</f>
        <v>-0.0023743711827575</v>
      </c>
    </row>
    <row r="234" customFormat="false" ht="14.25" hidden="false" customHeight="true" outlineLevel="0" collapsed="false">
      <c r="A234" s="37"/>
      <c r="B234" s="34" t="n">
        <v>70</v>
      </c>
      <c r="C234" s="28" t="n">
        <v>5.7</v>
      </c>
      <c r="D234" s="28" t="n">
        <v>2.6</v>
      </c>
      <c r="E234" s="28" t="n">
        <v>3.5</v>
      </c>
      <c r="F234" s="28" t="n">
        <v>1</v>
      </c>
      <c r="G234" s="35" t="n">
        <v>1</v>
      </c>
      <c r="H234" s="1" t="n">
        <f aca="false">IF(G234=P234, 1, 0)</f>
        <v>1</v>
      </c>
      <c r="I234" s="34" t="n">
        <f aca="false">I233-0.1*T233</f>
        <v>0.306729226745281</v>
      </c>
      <c r="J234" s="36" t="n">
        <f aca="false">J233-0.1*U233</f>
        <v>-0.173243820514022</v>
      </c>
      <c r="K234" s="36" t="n">
        <f aca="false">K233-0.1*V233</f>
        <v>-0.213414099393819</v>
      </c>
      <c r="L234" s="36" t="n">
        <f aca="false">L233-0.1*W233</f>
        <v>0.851567751410937</v>
      </c>
      <c r="M234" s="36" t="n">
        <f aca="false">M233-0.1*X233</f>
        <v>0.705139396988645</v>
      </c>
      <c r="N234" s="31" t="n">
        <f aca="false">I234+J234*C234+K234*D234+L234*E234+F234*M234</f>
        <v>2.44998931831835</v>
      </c>
      <c r="O234" s="31" t="n">
        <f aca="false">1/(1+EXP(-N234))</f>
        <v>0.920560669681791</v>
      </c>
      <c r="P234" s="32" t="n">
        <f aca="false">IF(O234&gt;0.5,1,0)</f>
        <v>1</v>
      </c>
      <c r="Q234" s="32" t="n">
        <f aca="false">O234-G234</f>
        <v>-0.0794393303182093</v>
      </c>
      <c r="R234" s="33" t="n">
        <f aca="false">Q234^2</f>
        <v>0.00631060720140556</v>
      </c>
      <c r="T234" s="26" t="n">
        <f aca="false">2*(O234-G234)*(1-O234)*O234</f>
        <v>-0.0116185935828493</v>
      </c>
      <c r="U234" s="26" t="n">
        <f aca="false">2*(O234-G234)*(1-O234)*O234*C234</f>
        <v>-0.0662259834222408</v>
      </c>
      <c r="V234" s="26" t="n">
        <f aca="false">2*(O234-G234)*(1-O234)*O234*D234</f>
        <v>-0.0302083433154081</v>
      </c>
      <c r="W234" s="26" t="n">
        <f aca="false">2*(O234-G234)*(1-O234)*O234*E234</f>
        <v>-0.0406650775399725</v>
      </c>
      <c r="X234" s="26" t="n">
        <f aca="false">2*(O234-G234)*(1-O234)*O234*F234</f>
        <v>-0.0116185935828493</v>
      </c>
    </row>
    <row r="235" customFormat="false" ht="14.25" hidden="false" customHeight="true" outlineLevel="0" collapsed="false">
      <c r="A235" s="37"/>
      <c r="B235" s="34" t="n">
        <v>71</v>
      </c>
      <c r="C235" s="28" t="n">
        <v>5.5</v>
      </c>
      <c r="D235" s="28" t="n">
        <v>2.4</v>
      </c>
      <c r="E235" s="28" t="n">
        <v>3.8</v>
      </c>
      <c r="F235" s="28" t="n">
        <v>1.1</v>
      </c>
      <c r="G235" s="35" t="n">
        <v>1</v>
      </c>
      <c r="H235" s="1" t="n">
        <f aca="false">IF(G235=P235, 1, 0)</f>
        <v>1</v>
      </c>
      <c r="I235" s="34" t="n">
        <f aca="false">I234-0.1*T234</f>
        <v>0.307891086103566</v>
      </c>
      <c r="J235" s="36" t="n">
        <f aca="false">J234-0.1*U234</f>
        <v>-0.166621222171798</v>
      </c>
      <c r="K235" s="36" t="n">
        <f aca="false">K234-0.1*V234</f>
        <v>-0.210393265062279</v>
      </c>
      <c r="L235" s="36" t="n">
        <f aca="false">L234-0.1*W234</f>
        <v>0.855634259164934</v>
      </c>
      <c r="M235" s="36" t="n">
        <f aca="false">M234-0.1*X234</f>
        <v>0.70630125634693</v>
      </c>
      <c r="N235" s="31" t="n">
        <f aca="false">I235+J235*C235+K235*D235+L235*E235+F235*M235</f>
        <v>2.91487209481758</v>
      </c>
      <c r="O235" s="31" t="n">
        <f aca="false">1/(1+EXP(-N235))</f>
        <v>0.94857674006361</v>
      </c>
      <c r="P235" s="32" t="n">
        <f aca="false">IF(O235&gt;0.5,1,0)</f>
        <v>1</v>
      </c>
      <c r="Q235" s="32" t="n">
        <f aca="false">O235-G235</f>
        <v>-0.0514232599363899</v>
      </c>
      <c r="R235" s="33" t="n">
        <f aca="false">Q235^2</f>
        <v>0.00264435166248552</v>
      </c>
      <c r="T235" s="26" t="n">
        <f aca="false">2*(O235-G235)*(1-O235)*O235</f>
        <v>-0.0050167409591646</v>
      </c>
      <c r="U235" s="26" t="n">
        <f aca="false">2*(O235-G235)*(1-O235)*O235*C235</f>
        <v>-0.0275920752754053</v>
      </c>
      <c r="V235" s="26" t="n">
        <f aca="false">2*(O235-G235)*(1-O235)*O235*D235</f>
        <v>-0.012040178301995</v>
      </c>
      <c r="W235" s="26" t="n">
        <f aca="false">2*(O235-G235)*(1-O235)*O235*E235</f>
        <v>-0.0190636156448255</v>
      </c>
      <c r="X235" s="26" t="n">
        <f aca="false">2*(O235-G235)*(1-O235)*O235*F235</f>
        <v>-0.00551841505508106</v>
      </c>
    </row>
    <row r="236" customFormat="false" ht="14.25" hidden="false" customHeight="true" outlineLevel="0" collapsed="false">
      <c r="A236" s="37"/>
      <c r="B236" s="34" t="n">
        <v>72</v>
      </c>
      <c r="C236" s="28" t="n">
        <v>5.5</v>
      </c>
      <c r="D236" s="28" t="n">
        <v>2.4</v>
      </c>
      <c r="E236" s="28" t="n">
        <v>3.7</v>
      </c>
      <c r="F236" s="28" t="n">
        <v>1</v>
      </c>
      <c r="G236" s="35" t="n">
        <v>1</v>
      </c>
      <c r="H236" s="1" t="n">
        <f aca="false">IF(G236=P236, 1, 0)</f>
        <v>1</v>
      </c>
      <c r="I236" s="34" t="n">
        <f aca="false">I235-0.1*T235</f>
        <v>0.308392760199483</v>
      </c>
      <c r="J236" s="36" t="n">
        <f aca="false">J235-0.1*U235</f>
        <v>-0.163862014644258</v>
      </c>
      <c r="K236" s="36" t="n">
        <f aca="false">K235-0.1*V235</f>
        <v>-0.209189247232079</v>
      </c>
      <c r="L236" s="36" t="n">
        <f aca="false">L235-0.1*W235</f>
        <v>0.857540620729417</v>
      </c>
      <c r="M236" s="36" t="n">
        <f aca="false">M235-0.1*X235</f>
        <v>0.706853097852438</v>
      </c>
      <c r="N236" s="31" t="n">
        <f aca="false">I236+J236*C236+K236*D236+L236*E236+F236*M236</f>
        <v>2.78485088085036</v>
      </c>
      <c r="O236" s="31" t="n">
        <f aca="false">1/(1+EXP(-N236))</f>
        <v>0.941851683211973</v>
      </c>
      <c r="P236" s="32" t="n">
        <f aca="false">IF(O236&gt;0.5,1,0)</f>
        <v>1</v>
      </c>
      <c r="Q236" s="32" t="n">
        <f aca="false">O236-G236</f>
        <v>-0.058148316788027</v>
      </c>
      <c r="R236" s="33" t="n">
        <f aca="false">Q236^2</f>
        <v>0.00338122674528074</v>
      </c>
      <c r="T236" s="26" t="n">
        <f aca="false">2*(O236-G236)*(1-O236)*O236</f>
        <v>-0.00636922820272802</v>
      </c>
      <c r="U236" s="26" t="n">
        <f aca="false">2*(O236-G236)*(1-O236)*O236*C236</f>
        <v>-0.0350307551150041</v>
      </c>
      <c r="V236" s="26" t="n">
        <f aca="false">2*(O236-G236)*(1-O236)*O236*D236</f>
        <v>-0.0152861476865472</v>
      </c>
      <c r="W236" s="26" t="n">
        <f aca="false">2*(O236-G236)*(1-O236)*O236*E236</f>
        <v>-0.0235661443500937</v>
      </c>
      <c r="X236" s="26" t="n">
        <f aca="false">2*(O236-G236)*(1-O236)*O236*F236</f>
        <v>-0.00636922820272802</v>
      </c>
    </row>
    <row r="237" customFormat="false" ht="14.25" hidden="false" customHeight="true" outlineLevel="0" collapsed="false">
      <c r="A237" s="37"/>
      <c r="B237" s="34" t="n">
        <v>73</v>
      </c>
      <c r="C237" s="28" t="n">
        <v>5.8</v>
      </c>
      <c r="D237" s="28" t="n">
        <v>2.7</v>
      </c>
      <c r="E237" s="28" t="n">
        <v>3.9</v>
      </c>
      <c r="F237" s="28" t="n">
        <v>1.2</v>
      </c>
      <c r="G237" s="35" t="n">
        <v>1</v>
      </c>
      <c r="H237" s="1" t="n">
        <f aca="false">IF(G237=P237, 1, 0)</f>
        <v>1</v>
      </c>
      <c r="I237" s="34" t="n">
        <f aca="false">I236-0.1*T236</f>
        <v>0.309029683019755</v>
      </c>
      <c r="J237" s="36" t="n">
        <f aca="false">J236-0.1*U236</f>
        <v>-0.160358939132757</v>
      </c>
      <c r="K237" s="36" t="n">
        <f aca="false">K236-0.1*V236</f>
        <v>-0.207660632463424</v>
      </c>
      <c r="L237" s="36" t="n">
        <f aca="false">L236-0.1*W236</f>
        <v>0.859897235164426</v>
      </c>
      <c r="M237" s="36" t="n">
        <f aca="false">M236-0.1*X236</f>
        <v>0.707490020672711</v>
      </c>
      <c r="N237" s="31" t="n">
        <f aca="false">I237+J237*C237+K237*D237+L237*E237+F237*M237</f>
        <v>3.02085137034703</v>
      </c>
      <c r="O237" s="31" t="n">
        <f aca="false">1/(1+EXP(-N237))</f>
        <v>0.953507282283219</v>
      </c>
      <c r="P237" s="32" t="n">
        <f aca="false">IF(O237&gt;0.5,1,0)</f>
        <v>1</v>
      </c>
      <c r="Q237" s="32" t="n">
        <f aca="false">O237-G237</f>
        <v>-0.0464927177167808</v>
      </c>
      <c r="R237" s="33" t="n">
        <f aca="false">Q237^2</f>
        <v>0.00216157280069226</v>
      </c>
      <c r="T237" s="26" t="n">
        <f aca="false">2*(O237-G237)*(1-O237)*O237</f>
        <v>-0.00412215081329081</v>
      </c>
      <c r="U237" s="26" t="n">
        <f aca="false">2*(O237-G237)*(1-O237)*O237*C237</f>
        <v>-0.0239084747170867</v>
      </c>
      <c r="V237" s="26" t="n">
        <f aca="false">2*(O237-G237)*(1-O237)*O237*D237</f>
        <v>-0.0111298071958852</v>
      </c>
      <c r="W237" s="26" t="n">
        <f aca="false">2*(O237-G237)*(1-O237)*O237*E237</f>
        <v>-0.0160763881718341</v>
      </c>
      <c r="X237" s="26" t="n">
        <f aca="false">2*(O237-G237)*(1-O237)*O237*F237</f>
        <v>-0.00494658097594897</v>
      </c>
    </row>
    <row r="238" customFormat="false" ht="14.25" hidden="false" customHeight="true" outlineLevel="0" collapsed="false">
      <c r="A238" s="37"/>
      <c r="B238" s="34" t="n">
        <v>74</v>
      </c>
      <c r="C238" s="28" t="n">
        <v>6</v>
      </c>
      <c r="D238" s="28" t="n">
        <v>2.7</v>
      </c>
      <c r="E238" s="28" t="n">
        <v>5.1</v>
      </c>
      <c r="F238" s="28" t="n">
        <v>1.6</v>
      </c>
      <c r="G238" s="35" t="n">
        <v>1</v>
      </c>
      <c r="H238" s="1" t="n">
        <f aca="false">IF(G238=P238, 1, 0)</f>
        <v>1</v>
      </c>
      <c r="I238" s="34" t="n">
        <f aca="false">I237-0.1*T237</f>
        <v>0.309441898101084</v>
      </c>
      <c r="J238" s="36" t="n">
        <f aca="false">J237-0.1*U237</f>
        <v>-0.157968091661048</v>
      </c>
      <c r="K238" s="36" t="n">
        <f aca="false">K237-0.1*V237</f>
        <v>-0.206547651743836</v>
      </c>
      <c r="L238" s="36" t="n">
        <f aca="false">L237-0.1*W237</f>
        <v>0.861504873981609</v>
      </c>
      <c r="M238" s="36" t="n">
        <f aca="false">M237-0.1*X237</f>
        <v>0.707984678770306</v>
      </c>
      <c r="N238" s="31" t="n">
        <f aca="false">I238+J238*C238+K238*D238+L238*E238+F238*M238</f>
        <v>4.33040503176513</v>
      </c>
      <c r="O238" s="31" t="n">
        <f aca="false">1/(1+EXP(-N238))</f>
        <v>0.987008777966348</v>
      </c>
      <c r="P238" s="32" t="n">
        <f aca="false">IF(O238&gt;0.5,1,0)</f>
        <v>1</v>
      </c>
      <c r="Q238" s="32" t="n">
        <f aca="false">O238-G238</f>
        <v>-0.0129912220336522</v>
      </c>
      <c r="R238" s="33" t="n">
        <f aca="false">Q238^2</f>
        <v>0.000168771849927651</v>
      </c>
      <c r="T238" s="26" t="n">
        <f aca="false">2*(O238-G238)*(1-O238)*O238</f>
        <v>-0.000333158594704421</v>
      </c>
      <c r="U238" s="26" t="n">
        <f aca="false">2*(O238-G238)*(1-O238)*O238*C238</f>
        <v>-0.00199895156822653</v>
      </c>
      <c r="V238" s="26" t="n">
        <f aca="false">2*(O238-G238)*(1-O238)*O238*D238</f>
        <v>-0.000899528205701937</v>
      </c>
      <c r="W238" s="26" t="n">
        <f aca="false">2*(O238-G238)*(1-O238)*O238*E238</f>
        <v>-0.00169910883299255</v>
      </c>
      <c r="X238" s="26" t="n">
        <f aca="false">2*(O238-G238)*(1-O238)*O238*F238</f>
        <v>-0.000533053751527074</v>
      </c>
    </row>
    <row r="239" customFormat="false" ht="14.25" hidden="false" customHeight="true" outlineLevel="0" collapsed="false">
      <c r="A239" s="37"/>
      <c r="B239" s="34" t="n">
        <v>75</v>
      </c>
      <c r="C239" s="28" t="n">
        <v>5.4</v>
      </c>
      <c r="D239" s="28" t="n">
        <v>3</v>
      </c>
      <c r="E239" s="28" t="n">
        <v>4.5</v>
      </c>
      <c r="F239" s="28" t="n">
        <v>1.5</v>
      </c>
      <c r="G239" s="35" t="n">
        <v>1</v>
      </c>
      <c r="H239" s="1" t="n">
        <f aca="false">IF(G239=P239, 1, 0)</f>
        <v>1</v>
      </c>
      <c r="I239" s="34" t="n">
        <f aca="false">I238-0.1*T238</f>
        <v>0.309475213960555</v>
      </c>
      <c r="J239" s="36" t="n">
        <f aca="false">J238-0.1*U238</f>
        <v>-0.157768196504226</v>
      </c>
      <c r="K239" s="36" t="n">
        <f aca="false">K238-0.1*V238</f>
        <v>-0.206457698923266</v>
      </c>
      <c r="L239" s="36" t="n">
        <f aca="false">L238-0.1*W238</f>
        <v>0.861674784864909</v>
      </c>
      <c r="M239" s="36" t="n">
        <f aca="false">M238-0.1*X238</f>
        <v>0.708037984145458</v>
      </c>
      <c r="N239" s="31" t="n">
        <f aca="false">I239+J239*C239+K239*D239+L239*E239+F239*M239</f>
        <v>3.77774736417821</v>
      </c>
      <c r="O239" s="31" t="n">
        <f aca="false">1/(1+EXP(-N239))</f>
        <v>0.977637365897374</v>
      </c>
      <c r="P239" s="32" t="n">
        <f aca="false">IF(O239&gt;0.5,1,0)</f>
        <v>1</v>
      </c>
      <c r="Q239" s="32" t="n">
        <f aca="false">O239-G239</f>
        <v>-0.0223626341026261</v>
      </c>
      <c r="R239" s="33" t="n">
        <f aca="false">Q239^2</f>
        <v>0.000500087404007934</v>
      </c>
      <c r="T239" s="26" t="n">
        <f aca="false">2*(O239-G239)*(1-O239)*O239</f>
        <v>-0.000977808264745546</v>
      </c>
      <c r="U239" s="26" t="n">
        <f aca="false">2*(O239-G239)*(1-O239)*O239*C239</f>
        <v>-0.00528016462962595</v>
      </c>
      <c r="V239" s="26" t="n">
        <f aca="false">2*(O239-G239)*(1-O239)*O239*D239</f>
        <v>-0.00293342479423664</v>
      </c>
      <c r="W239" s="26" t="n">
        <f aca="false">2*(O239-G239)*(1-O239)*O239*E239</f>
        <v>-0.00440013719135496</v>
      </c>
      <c r="X239" s="26" t="n">
        <f aca="false">2*(O239-G239)*(1-O239)*O239*F239</f>
        <v>-0.00146671239711832</v>
      </c>
    </row>
    <row r="240" customFormat="false" ht="14.25" hidden="false" customHeight="true" outlineLevel="0" collapsed="false">
      <c r="A240" s="37"/>
      <c r="B240" s="34" t="n">
        <v>76</v>
      </c>
      <c r="C240" s="28" t="n">
        <v>6</v>
      </c>
      <c r="D240" s="28" t="n">
        <v>3.4</v>
      </c>
      <c r="E240" s="28" t="n">
        <v>4.5</v>
      </c>
      <c r="F240" s="28" t="n">
        <v>1.6</v>
      </c>
      <c r="G240" s="35" t="n">
        <v>1</v>
      </c>
      <c r="H240" s="1" t="n">
        <f aca="false">IF(G240=P240, 1, 0)</f>
        <v>1</v>
      </c>
      <c r="I240" s="34" t="n">
        <f aca="false">I239-0.1*T239</f>
        <v>0.309572994787029</v>
      </c>
      <c r="J240" s="36" t="n">
        <f aca="false">J239-0.1*U239</f>
        <v>-0.157240180041263</v>
      </c>
      <c r="K240" s="36" t="n">
        <f aca="false">K239-0.1*V239</f>
        <v>-0.206164356443842</v>
      </c>
      <c r="L240" s="36" t="n">
        <f aca="false">L239-0.1*W239</f>
        <v>0.862114798584044</v>
      </c>
      <c r="M240" s="36" t="n">
        <f aca="false">M239-0.1*X239</f>
        <v>0.70818465538517</v>
      </c>
      <c r="N240" s="31" t="n">
        <f aca="false">I240+J240*C240+K240*D240+L240*E240+F240*M240</f>
        <v>3.67778514487486</v>
      </c>
      <c r="O240" s="31" t="n">
        <f aca="false">1/(1+EXP(-N240))</f>
        <v>0.975344365387965</v>
      </c>
      <c r="P240" s="32" t="n">
        <f aca="false">IF(O240&gt;0.5,1,0)</f>
        <v>1</v>
      </c>
      <c r="Q240" s="32" t="n">
        <f aca="false">O240-G240</f>
        <v>-0.0246556346120348</v>
      </c>
      <c r="R240" s="33" t="n">
        <f aca="false">Q240^2</f>
        <v>0.000607900318122168</v>
      </c>
      <c r="T240" s="26" t="n">
        <f aca="false">2*(O240-G240)*(1-O240)*O240</f>
        <v>-0.00118582429999602</v>
      </c>
      <c r="U240" s="26" t="n">
        <f aca="false">2*(O240-G240)*(1-O240)*O240*C240</f>
        <v>-0.0071149457999761</v>
      </c>
      <c r="V240" s="26" t="n">
        <f aca="false">2*(O240-G240)*(1-O240)*O240*D240</f>
        <v>-0.00403180261998646</v>
      </c>
      <c r="W240" s="26" t="n">
        <f aca="false">2*(O240-G240)*(1-O240)*O240*E240</f>
        <v>-0.00533620934998207</v>
      </c>
      <c r="X240" s="26" t="n">
        <f aca="false">2*(O240-G240)*(1-O240)*O240*F240</f>
        <v>-0.00189731887999363</v>
      </c>
    </row>
    <row r="241" customFormat="false" ht="14.25" hidden="false" customHeight="true" outlineLevel="0" collapsed="false">
      <c r="A241" s="37"/>
      <c r="B241" s="34" t="n">
        <v>77</v>
      </c>
      <c r="C241" s="28" t="n">
        <v>6.7</v>
      </c>
      <c r="D241" s="28" t="n">
        <v>3.1</v>
      </c>
      <c r="E241" s="28" t="n">
        <v>4.7</v>
      </c>
      <c r="F241" s="28" t="n">
        <v>1.5</v>
      </c>
      <c r="G241" s="35" t="n">
        <v>1</v>
      </c>
      <c r="H241" s="1" t="n">
        <f aca="false">IF(G241=P241, 1, 0)</f>
        <v>1</v>
      </c>
      <c r="I241" s="34" t="n">
        <f aca="false">I240-0.1*T240</f>
        <v>0.309691577217029</v>
      </c>
      <c r="J241" s="36" t="n">
        <f aca="false">J240-0.1*U240</f>
        <v>-0.156528685461266</v>
      </c>
      <c r="K241" s="36" t="n">
        <f aca="false">K240-0.1*V240</f>
        <v>-0.205761176181843</v>
      </c>
      <c r="L241" s="36" t="n">
        <f aca="false">L240-0.1*W240</f>
        <v>0.862648419519042</v>
      </c>
      <c r="M241" s="36" t="n">
        <f aca="false">M240-0.1*X240</f>
        <v>0.70837438727317</v>
      </c>
      <c r="N241" s="31" t="n">
        <f aca="false">I241+J241*C241+K241*D241+L241*E241+F241*M241</f>
        <v>3.74009889111209</v>
      </c>
      <c r="O241" s="31" t="n">
        <f aca="false">1/(1+EXP(-N241))</f>
        <v>0.976799303072401</v>
      </c>
      <c r="P241" s="32" t="n">
        <f aca="false">IF(O241&gt;0.5,1,0)</f>
        <v>1</v>
      </c>
      <c r="Q241" s="32" t="n">
        <f aca="false">O241-G241</f>
        <v>-0.0232006969275995</v>
      </c>
      <c r="R241" s="33" t="n">
        <f aca="false">Q241^2</f>
        <v>0.000538272337926326</v>
      </c>
      <c r="T241" s="26" t="n">
        <f aca="false">2*(O241-G241)*(1-O241)*O241</f>
        <v>-0.00105156808909917</v>
      </c>
      <c r="U241" s="26" t="n">
        <f aca="false">2*(O241-G241)*(1-O241)*O241*C241</f>
        <v>-0.00704550619696446</v>
      </c>
      <c r="V241" s="26" t="n">
        <f aca="false">2*(O241-G241)*(1-O241)*O241*D241</f>
        <v>-0.00325986107620744</v>
      </c>
      <c r="W241" s="26" t="n">
        <f aca="false">2*(O241-G241)*(1-O241)*O241*E241</f>
        <v>-0.00494237001876611</v>
      </c>
      <c r="X241" s="26" t="n">
        <f aca="false">2*(O241-G241)*(1-O241)*O241*F241</f>
        <v>-0.00157735213364876</v>
      </c>
    </row>
    <row r="242" customFormat="false" ht="14.25" hidden="false" customHeight="true" outlineLevel="0" collapsed="false">
      <c r="A242" s="37"/>
      <c r="B242" s="34" t="n">
        <v>78</v>
      </c>
      <c r="C242" s="28" t="n">
        <v>6.3</v>
      </c>
      <c r="D242" s="28" t="n">
        <v>2.3</v>
      </c>
      <c r="E242" s="28" t="n">
        <v>4.4</v>
      </c>
      <c r="F242" s="28" t="n">
        <v>1.3</v>
      </c>
      <c r="G242" s="35" t="n">
        <v>1</v>
      </c>
      <c r="H242" s="1" t="n">
        <f aca="false">IF(G242=P242, 1, 0)</f>
        <v>1</v>
      </c>
      <c r="I242" s="34" t="n">
        <f aca="false">I241-0.1*T241</f>
        <v>0.309796734025939</v>
      </c>
      <c r="J242" s="36" t="n">
        <f aca="false">J241-0.1*U241</f>
        <v>-0.155824134841569</v>
      </c>
      <c r="K242" s="36" t="n">
        <f aca="false">K241-0.1*V241</f>
        <v>-0.205435190074223</v>
      </c>
      <c r="L242" s="36" t="n">
        <f aca="false">L241-0.1*W241</f>
        <v>0.863142656520919</v>
      </c>
      <c r="M242" s="36" t="n">
        <f aca="false">M241-0.1*X241</f>
        <v>0.708532122486534</v>
      </c>
      <c r="N242" s="31" t="n">
        <f aca="false">I242+J242*C242+K242*D242+L242*E242+F242*M242</f>
        <v>3.57452319527788</v>
      </c>
      <c r="O242" s="31" t="n">
        <f aca="false">1/(1+EXP(-N242))</f>
        <v>0.972735406629461</v>
      </c>
      <c r="P242" s="32" t="n">
        <f aca="false">IF(O242&gt;0.5,1,0)</f>
        <v>1</v>
      </c>
      <c r="Q242" s="32" t="n">
        <f aca="false">O242-G242</f>
        <v>-0.0272645933705395</v>
      </c>
      <c r="R242" s="33" t="n">
        <f aca="false">Q242^2</f>
        <v>0.000743358051660869</v>
      </c>
      <c r="T242" s="26" t="n">
        <f aca="false">2*(O242-G242)*(1-O242)*O242</f>
        <v>-0.00144618139330724</v>
      </c>
      <c r="U242" s="26" t="n">
        <f aca="false">2*(O242-G242)*(1-O242)*O242*C242</f>
        <v>-0.0091109427778356</v>
      </c>
      <c r="V242" s="26" t="n">
        <f aca="false">2*(O242-G242)*(1-O242)*O242*D242</f>
        <v>-0.00332621720460665</v>
      </c>
      <c r="W242" s="26" t="n">
        <f aca="false">2*(O242-G242)*(1-O242)*O242*E242</f>
        <v>-0.00636319813055185</v>
      </c>
      <c r="X242" s="26" t="n">
        <f aca="false">2*(O242-G242)*(1-O242)*O242*F242</f>
        <v>-0.00188003581129941</v>
      </c>
    </row>
    <row r="243" customFormat="false" ht="14.25" hidden="false" customHeight="true" outlineLevel="0" collapsed="false">
      <c r="A243" s="37"/>
      <c r="B243" s="34" t="n">
        <v>79</v>
      </c>
      <c r="C243" s="28" t="n">
        <v>5.6</v>
      </c>
      <c r="D243" s="28" t="n">
        <v>3</v>
      </c>
      <c r="E243" s="28" t="n">
        <v>4.1</v>
      </c>
      <c r="F243" s="28" t="n">
        <v>1.3</v>
      </c>
      <c r="G243" s="35" t="n">
        <v>1</v>
      </c>
      <c r="H243" s="1" t="n">
        <f aca="false">IF(G243=P243, 1, 0)</f>
        <v>1</v>
      </c>
      <c r="I243" s="34" t="n">
        <f aca="false">I242-0.1*T242</f>
        <v>0.30994135216527</v>
      </c>
      <c r="J243" s="36" t="n">
        <f aca="false">J242-0.1*U242</f>
        <v>-0.154913040563786</v>
      </c>
      <c r="K243" s="36" t="n">
        <f aca="false">K242-0.1*V242</f>
        <v>-0.205102568353762</v>
      </c>
      <c r="L243" s="36" t="n">
        <f aca="false">L242-0.1*W242</f>
        <v>0.863778976333974</v>
      </c>
      <c r="M243" s="36" t="n">
        <f aca="false">M242-0.1*X242</f>
        <v>0.708720126067664</v>
      </c>
      <c r="N243" s="31" t="n">
        <f aca="false">I243+J243*C243+K243*D243+L243*E243+F243*M243</f>
        <v>3.28995058680404</v>
      </c>
      <c r="O243" s="31" t="n">
        <f aca="false">1/(1+EXP(-N243))</f>
        <v>0.964082443101724</v>
      </c>
      <c r="P243" s="32" t="n">
        <f aca="false">IF(O243&gt;0.5,1,0)</f>
        <v>1</v>
      </c>
      <c r="Q243" s="32" t="n">
        <f aca="false">O243-G243</f>
        <v>-0.035917556898276</v>
      </c>
      <c r="R243" s="33" t="n">
        <f aca="false">Q243^2</f>
        <v>0.0012900708935409</v>
      </c>
      <c r="T243" s="26" t="n">
        <f aca="false">2*(O243-G243)*(1-O243)*O243</f>
        <v>-0.00248746939763866</v>
      </c>
      <c r="U243" s="26" t="n">
        <f aca="false">2*(O243-G243)*(1-O243)*O243*C243</f>
        <v>-0.0139298286267765</v>
      </c>
      <c r="V243" s="26" t="n">
        <f aca="false">2*(O243-G243)*(1-O243)*O243*D243</f>
        <v>-0.00746240819291599</v>
      </c>
      <c r="W243" s="26" t="n">
        <f aca="false">2*(O243-G243)*(1-O243)*O243*E243</f>
        <v>-0.0101986245303185</v>
      </c>
      <c r="X243" s="26" t="n">
        <f aca="false">2*(O243-G243)*(1-O243)*O243*F243</f>
        <v>-0.00323371021693026</v>
      </c>
    </row>
    <row r="244" customFormat="false" ht="14.25" hidden="false" customHeight="true" outlineLevel="0" collapsed="false">
      <c r="A244" s="37"/>
      <c r="B244" s="34" t="n">
        <v>80</v>
      </c>
      <c r="C244" s="28" t="n">
        <v>5.5</v>
      </c>
      <c r="D244" s="28" t="n">
        <v>2.5</v>
      </c>
      <c r="E244" s="28" t="n">
        <v>4</v>
      </c>
      <c r="F244" s="28" t="n">
        <v>1.3</v>
      </c>
      <c r="G244" s="35" t="n">
        <v>1</v>
      </c>
      <c r="H244" s="1" t="n">
        <f aca="false">IF(G244=P244, 1, 0)</f>
        <v>1</v>
      </c>
      <c r="I244" s="34" t="n">
        <f aca="false">I243-0.1*T243</f>
        <v>0.310190099105033</v>
      </c>
      <c r="J244" s="36" t="n">
        <f aca="false">J243-0.1*U243</f>
        <v>-0.153520057701108</v>
      </c>
      <c r="K244" s="36" t="n">
        <f aca="false">K243-0.1*V243</f>
        <v>-0.20435632753447</v>
      </c>
      <c r="L244" s="36" t="n">
        <f aca="false">L243-0.1*W243</f>
        <v>0.864798838787006</v>
      </c>
      <c r="M244" s="36" t="n">
        <f aca="false">M243-0.1*X243</f>
        <v>0.709043497089357</v>
      </c>
      <c r="N244" s="31" t="n">
        <f aca="false">I244+J244*C244+K244*D244+L244*E244+F244*M244</f>
        <v>3.33589086427695</v>
      </c>
      <c r="O244" s="31" t="n">
        <f aca="false">1/(1+EXP(-N244))</f>
        <v>0.965639763345452</v>
      </c>
      <c r="P244" s="32" t="n">
        <f aca="false">IF(O244&gt;0.5,1,0)</f>
        <v>1</v>
      </c>
      <c r="Q244" s="32" t="n">
        <f aca="false">O244-G244</f>
        <v>-0.0343602366545476</v>
      </c>
      <c r="R244" s="33" t="n">
        <f aca="false">Q244^2</f>
        <v>0.00118062586295651</v>
      </c>
      <c r="S244" s="1" t="n">
        <f aca="false">AVERAGE(R165:R244)</f>
        <v>0.0243721949963938</v>
      </c>
      <c r="T244" s="26" t="n">
        <f aca="false">2*(O244-G244)*(1-O244)*O244</f>
        <v>-0.0022801185578097</v>
      </c>
      <c r="U244" s="26" t="n">
        <f aca="false">2*(O244-G244)*(1-O244)*O244*C244</f>
        <v>-0.0125406520679533</v>
      </c>
      <c r="V244" s="26" t="n">
        <f aca="false">2*(O244-G244)*(1-O244)*O244*D244</f>
        <v>-0.00570029639452425</v>
      </c>
      <c r="W244" s="26" t="n">
        <f aca="false">2*(O244-G244)*(1-O244)*O244*E244</f>
        <v>-0.00912047423123879</v>
      </c>
      <c r="X244" s="26" t="n">
        <f aca="false">2*(O244-G244)*(1-O244)*O244*F244</f>
        <v>-0.00296415412515261</v>
      </c>
    </row>
    <row r="245" customFormat="false" ht="14.25" hidden="false" customHeight="true" outlineLevel="0" collapsed="false">
      <c r="A245" s="37" t="s">
        <v>35</v>
      </c>
      <c r="B245" s="34" t="n">
        <v>1</v>
      </c>
      <c r="C245" s="28" t="n">
        <v>5.1</v>
      </c>
      <c r="D245" s="28" t="n">
        <v>3.5</v>
      </c>
      <c r="E245" s="28" t="n">
        <v>1.4</v>
      </c>
      <c r="F245" s="28" t="n">
        <v>0.2</v>
      </c>
      <c r="G245" s="35" t="n">
        <v>0</v>
      </c>
      <c r="H245" s="1" t="n">
        <f aca="false">IF(G245=P245, 1, 0)</f>
        <v>0</v>
      </c>
      <c r="I245" s="34" t="n">
        <f aca="false">I244-0.1*T244</f>
        <v>0.310418110960814</v>
      </c>
      <c r="J245" s="36" t="n">
        <f aca="false">J244-0.1*U244</f>
        <v>-0.152265992494313</v>
      </c>
      <c r="K245" s="36" t="n">
        <f aca="false">K244-0.1*V244</f>
        <v>-0.203786297895018</v>
      </c>
      <c r="L245" s="36" t="n">
        <f aca="false">L244-0.1*W244</f>
        <v>0.86571088621013</v>
      </c>
      <c r="M245" s="36" t="n">
        <f aca="false">M244-0.1*X244</f>
        <v>0.709339912501873</v>
      </c>
      <c r="N245" s="31" t="n">
        <f aca="false">I245+J245*C245+K245*D245+L245*E245+F245*M245</f>
        <v>0.174472729801814</v>
      </c>
      <c r="O245" s="31" t="n">
        <f aca="false">1/(1+EXP(-N245))</f>
        <v>0.543507870779663</v>
      </c>
      <c r="P245" s="32" t="n">
        <f aca="false">IF(O245&gt;0.5,1,0)</f>
        <v>1</v>
      </c>
      <c r="Q245" s="32" t="n">
        <f aca="false">O245-G245</f>
        <v>0.543507870779663</v>
      </c>
      <c r="R245" s="33" t="n">
        <f aca="false">Q245^2</f>
        <v>0.295400805599443</v>
      </c>
      <c r="T245" s="26" t="n">
        <f aca="false">2*(O245-G245)*(1-O245)*O245</f>
        <v>0.269696285442985</v>
      </c>
      <c r="U245" s="26" t="n">
        <f aca="false">2*(O245-G245)*(1-O245)*O245*C245</f>
        <v>1.37545105575922</v>
      </c>
      <c r="V245" s="26" t="n">
        <f aca="false">2*(O245-G245)*(1-O245)*O245*D245</f>
        <v>0.943936999050448</v>
      </c>
      <c r="W245" s="26" t="n">
        <f aca="false">2*(O245-G245)*(1-O245)*O245*E245</f>
        <v>0.377574799620179</v>
      </c>
      <c r="X245" s="26" t="n">
        <f aca="false">2*(O245-G245)*(1-O245)*O245*F245</f>
        <v>0.053939257088597</v>
      </c>
    </row>
    <row r="246" customFormat="false" ht="14.25" hidden="false" customHeight="true" outlineLevel="0" collapsed="false">
      <c r="A246" s="37"/>
      <c r="B246" s="34" t="n">
        <v>2</v>
      </c>
      <c r="C246" s="28" t="n">
        <v>4.9</v>
      </c>
      <c r="D246" s="28" t="n">
        <v>3</v>
      </c>
      <c r="E246" s="28" t="n">
        <v>1.4</v>
      </c>
      <c r="F246" s="28" t="n">
        <v>0.2</v>
      </c>
      <c r="G246" s="35" t="n">
        <v>0</v>
      </c>
      <c r="H246" s="1" t="n">
        <f aca="false">IF(G246=P246, 1, 0)</f>
        <v>1</v>
      </c>
      <c r="I246" s="34" t="n">
        <f aca="false">I245-0.1*T245</f>
        <v>0.283448482416516</v>
      </c>
      <c r="J246" s="36" t="n">
        <f aca="false">J245-0.1*U245</f>
        <v>-0.289811098070235</v>
      </c>
      <c r="K246" s="36" t="n">
        <f aca="false">K245-0.1*V245</f>
        <v>-0.298179997800063</v>
      </c>
      <c r="L246" s="36" t="n">
        <f aca="false">L245-0.1*W245</f>
        <v>0.827953406248112</v>
      </c>
      <c r="M246" s="36" t="n">
        <f aca="false">M245-0.1*X245</f>
        <v>0.703945986793013</v>
      </c>
      <c r="N246" s="31" t="n">
        <f aca="false">I246+J246*C246+K246*D246+L246*E246+F246*M246</f>
        <v>-0.731241925421864</v>
      </c>
      <c r="O246" s="31" t="n">
        <f aca="false">1/(1+EXP(-N246))</f>
        <v>0.324922254619966</v>
      </c>
      <c r="P246" s="32" t="n">
        <f aca="false">IF(O246&gt;0.5,1,0)</f>
        <v>0</v>
      </c>
      <c r="Q246" s="32" t="n">
        <f aca="false">O246-G246</f>
        <v>0.324922254619966</v>
      </c>
      <c r="R246" s="33" t="n">
        <f aca="false">Q246^2</f>
        <v>0.105574471547322</v>
      </c>
      <c r="T246" s="26" t="n">
        <f aca="false">2*(O246-G246)*(1-O246)*O246</f>
        <v>0.142541952443709</v>
      </c>
      <c r="U246" s="26" t="n">
        <f aca="false">2*(O246-G246)*(1-O246)*O246*C246</f>
        <v>0.698455566974175</v>
      </c>
      <c r="V246" s="26" t="n">
        <f aca="false">2*(O246-G246)*(1-O246)*O246*D246</f>
        <v>0.427625857331127</v>
      </c>
      <c r="W246" s="26" t="n">
        <f aca="false">2*(O246-G246)*(1-O246)*O246*E246</f>
        <v>0.199558733421193</v>
      </c>
      <c r="X246" s="26" t="n">
        <f aca="false">2*(O246-G246)*(1-O246)*O246*F246</f>
        <v>0.0285083904887418</v>
      </c>
    </row>
    <row r="247" customFormat="false" ht="14.25" hidden="false" customHeight="true" outlineLevel="0" collapsed="false">
      <c r="A247" s="37"/>
      <c r="B247" s="34" t="n">
        <v>3</v>
      </c>
      <c r="C247" s="28" t="n">
        <v>4.7</v>
      </c>
      <c r="D247" s="28" t="n">
        <v>3.2</v>
      </c>
      <c r="E247" s="28" t="n">
        <v>1.3</v>
      </c>
      <c r="F247" s="28" t="n">
        <v>0.2</v>
      </c>
      <c r="G247" s="35" t="n">
        <v>0</v>
      </c>
      <c r="H247" s="1" t="n">
        <f aca="false">IF(G247=P247, 1, 0)</f>
        <v>1</v>
      </c>
      <c r="I247" s="34" t="n">
        <f aca="false">I246-0.1*T246</f>
        <v>0.269194287172145</v>
      </c>
      <c r="J247" s="36" t="n">
        <f aca="false">J246-0.1*U246</f>
        <v>-0.359656654767652</v>
      </c>
      <c r="K247" s="36" t="n">
        <f aca="false">K246-0.1*V246</f>
        <v>-0.340942583533175</v>
      </c>
      <c r="L247" s="36" t="n">
        <f aca="false">L246-0.1*W246</f>
        <v>0.807997532905993</v>
      </c>
      <c r="M247" s="36" t="n">
        <f aca="false">M246-0.1*X246</f>
        <v>0.701095147744139</v>
      </c>
      <c r="N247" s="31" t="n">
        <f aca="false">I247+J247*C247+K247*D247+L247*E247+F247*M247</f>
        <v>-1.32159243521536</v>
      </c>
      <c r="O247" s="31" t="n">
        <f aca="false">1/(1+EXP(-N247))</f>
        <v>0.210553475761146</v>
      </c>
      <c r="P247" s="32" t="n">
        <f aca="false">IF(O247&gt;0.5,1,0)</f>
        <v>0</v>
      </c>
      <c r="Q247" s="32" t="n">
        <f aca="false">O247-G247</f>
        <v>0.210553475761146</v>
      </c>
      <c r="R247" s="33" t="n">
        <f aca="false">Q247^2</f>
        <v>0.0443327661550995</v>
      </c>
      <c r="T247" s="26" t="n">
        <f aca="false">2*(O247-G247)*(1-O247)*O247</f>
        <v>0.0699966963020744</v>
      </c>
      <c r="U247" s="26" t="n">
        <f aca="false">2*(O247-G247)*(1-O247)*O247*C247</f>
        <v>0.328984472619749</v>
      </c>
      <c r="V247" s="26" t="n">
        <f aca="false">2*(O247-G247)*(1-O247)*O247*D247</f>
        <v>0.223989428166638</v>
      </c>
      <c r="W247" s="26" t="n">
        <f aca="false">2*(O247-G247)*(1-O247)*O247*E247</f>
        <v>0.0909957051926967</v>
      </c>
      <c r="X247" s="26" t="n">
        <f aca="false">2*(O247-G247)*(1-O247)*O247*F247</f>
        <v>0.0139993392604149</v>
      </c>
    </row>
    <row r="248" customFormat="false" ht="14.25" hidden="false" customHeight="true" outlineLevel="0" collapsed="false">
      <c r="A248" s="37"/>
      <c r="B248" s="34" t="n">
        <v>4</v>
      </c>
      <c r="C248" s="28" t="n">
        <v>4.6</v>
      </c>
      <c r="D248" s="28" t="n">
        <v>3.1</v>
      </c>
      <c r="E248" s="28" t="n">
        <v>1.5</v>
      </c>
      <c r="F248" s="28" t="n">
        <v>0.2</v>
      </c>
      <c r="G248" s="35" t="n">
        <v>0</v>
      </c>
      <c r="H248" s="1" t="n">
        <f aca="false">IF(G248=P248, 1, 0)</f>
        <v>1</v>
      </c>
      <c r="I248" s="34" t="n">
        <f aca="false">I247-0.1*T247</f>
        <v>0.262194617541938</v>
      </c>
      <c r="J248" s="36" t="n">
        <f aca="false">J247-0.1*U247</f>
        <v>-0.392555102029627</v>
      </c>
      <c r="K248" s="36" t="n">
        <f aca="false">K247-0.1*V247</f>
        <v>-0.363341526349839</v>
      </c>
      <c r="L248" s="36" t="n">
        <f aca="false">L247-0.1*W247</f>
        <v>0.798897962386723</v>
      </c>
      <c r="M248" s="36" t="n">
        <f aca="false">M247-0.1*X247</f>
        <v>0.699695213818097</v>
      </c>
      <c r="N248" s="31" t="n">
        <f aca="false">I248+J248*C248+K248*D248+L248*E248+F248*M248</f>
        <v>-1.33163159713515</v>
      </c>
      <c r="O248" s="31" t="n">
        <f aca="false">1/(1+EXP(-N248))</f>
        <v>0.208889607985199</v>
      </c>
      <c r="P248" s="32" t="n">
        <f aca="false">IF(O248&gt;0.5,1,0)</f>
        <v>0</v>
      </c>
      <c r="Q248" s="32" t="n">
        <f aca="false">O248-G248</f>
        <v>0.208889607985199</v>
      </c>
      <c r="R248" s="33" t="n">
        <f aca="false">Q248^2</f>
        <v>0.0436348683242103</v>
      </c>
      <c r="T248" s="26" t="n">
        <f aca="false">2*(O248-G248)*(1-O248)*O248</f>
        <v>0.0690399955709604</v>
      </c>
      <c r="U248" s="26" t="n">
        <f aca="false">2*(O248-G248)*(1-O248)*O248*C248</f>
        <v>0.317583979626418</v>
      </c>
      <c r="V248" s="26" t="n">
        <f aca="false">2*(O248-G248)*(1-O248)*O248*D248</f>
        <v>0.214023986269977</v>
      </c>
      <c r="W248" s="26" t="n">
        <f aca="false">2*(O248-G248)*(1-O248)*O248*E248</f>
        <v>0.103559993356441</v>
      </c>
      <c r="X248" s="26" t="n">
        <f aca="false">2*(O248-G248)*(1-O248)*O248*F248</f>
        <v>0.0138079991141921</v>
      </c>
    </row>
    <row r="249" customFormat="false" ht="14.25" hidden="false" customHeight="true" outlineLevel="0" collapsed="false">
      <c r="A249" s="37"/>
      <c r="B249" s="34" t="n">
        <v>5</v>
      </c>
      <c r="C249" s="28" t="n">
        <v>5</v>
      </c>
      <c r="D249" s="28" t="n">
        <v>3.6</v>
      </c>
      <c r="E249" s="28" t="n">
        <v>1.4</v>
      </c>
      <c r="F249" s="28" t="n">
        <v>0.2</v>
      </c>
      <c r="G249" s="35" t="n">
        <v>0</v>
      </c>
      <c r="H249" s="1" t="n">
        <f aca="false">IF(G249=P249, 1, 0)</f>
        <v>1</v>
      </c>
      <c r="I249" s="34" t="n">
        <f aca="false">I248-0.1*T248</f>
        <v>0.255290617984842</v>
      </c>
      <c r="J249" s="36" t="n">
        <f aca="false">J248-0.1*U248</f>
        <v>-0.424313499992269</v>
      </c>
      <c r="K249" s="36" t="n">
        <f aca="false">K248-0.1*V248</f>
        <v>-0.384743924976837</v>
      </c>
      <c r="L249" s="36" t="n">
        <f aca="false">L248-0.1*W248</f>
        <v>0.788541963051079</v>
      </c>
      <c r="M249" s="36" t="n">
        <f aca="false">M248-0.1*X248</f>
        <v>0.698314413906678</v>
      </c>
      <c r="N249" s="31" t="n">
        <f aca="false">I249+J249*C249+K249*D249+L249*E249+F249*M249</f>
        <v>-2.00773338084027</v>
      </c>
      <c r="O249" s="31" t="n">
        <f aca="false">1/(1+EXP(-N249))</f>
        <v>0.118393354728391</v>
      </c>
      <c r="P249" s="32" t="n">
        <f aca="false">IF(O249&gt;0.5,1,0)</f>
        <v>0</v>
      </c>
      <c r="Q249" s="32" t="n">
        <f aca="false">O249-G249</f>
        <v>0.118393354728391</v>
      </c>
      <c r="R249" s="33" t="n">
        <f aca="false">Q249^2</f>
        <v>0.0140169864438426</v>
      </c>
      <c r="T249" s="26" t="n">
        <f aca="false">2*(O249-G249)*(1-O249)*O249</f>
        <v>0.0247149367911474</v>
      </c>
      <c r="U249" s="26" t="n">
        <f aca="false">2*(O249-G249)*(1-O249)*O249*C249</f>
        <v>0.123574683955737</v>
      </c>
      <c r="V249" s="26" t="n">
        <f aca="false">2*(O249-G249)*(1-O249)*O249*D249</f>
        <v>0.0889737724481308</v>
      </c>
      <c r="W249" s="26" t="n">
        <f aca="false">2*(O249-G249)*(1-O249)*O249*E249</f>
        <v>0.0346009115076064</v>
      </c>
      <c r="X249" s="26" t="n">
        <f aca="false">2*(O249-G249)*(1-O249)*O249*F249</f>
        <v>0.00494298735822949</v>
      </c>
    </row>
    <row r="250" customFormat="false" ht="14.25" hidden="false" customHeight="true" outlineLevel="0" collapsed="false">
      <c r="A250" s="37"/>
      <c r="B250" s="34" t="n">
        <v>6</v>
      </c>
      <c r="C250" s="28" t="n">
        <v>5.4</v>
      </c>
      <c r="D250" s="28" t="n">
        <v>3.9</v>
      </c>
      <c r="E250" s="28" t="n">
        <v>1.7</v>
      </c>
      <c r="F250" s="28" t="n">
        <v>0.4</v>
      </c>
      <c r="G250" s="35" t="n">
        <v>0</v>
      </c>
      <c r="H250" s="1" t="n">
        <f aca="false">IF(G250=P250, 1, 0)</f>
        <v>1</v>
      </c>
      <c r="I250" s="34" t="n">
        <f aca="false">I249-0.1*T249</f>
        <v>0.252819124305727</v>
      </c>
      <c r="J250" s="36" t="n">
        <f aca="false">J249-0.1*U249</f>
        <v>-0.436670968387843</v>
      </c>
      <c r="K250" s="36" t="n">
        <f aca="false">K249-0.1*V249</f>
        <v>-0.39364130222165</v>
      </c>
      <c r="L250" s="36" t="n">
        <f aca="false">L249-0.1*W249</f>
        <v>0.785081871900318</v>
      </c>
      <c r="M250" s="36" t="n">
        <f aca="false">M249-0.1*X249</f>
        <v>0.697820115170855</v>
      </c>
      <c r="N250" s="31" t="n">
        <f aca="false">I250+J250*C250+K250*D250+L250*E250+F250*M250</f>
        <v>-2.02663795535418</v>
      </c>
      <c r="O250" s="31" t="n">
        <f aca="false">1/(1+EXP(-N250))</f>
        <v>0.116434354683367</v>
      </c>
      <c r="P250" s="32" t="n">
        <f aca="false">IF(O250&gt;0.5,1,0)</f>
        <v>0</v>
      </c>
      <c r="Q250" s="32" t="n">
        <f aca="false">O250-G250</f>
        <v>0.116434354683367</v>
      </c>
      <c r="R250" s="33" t="n">
        <f aca="false">Q250^2</f>
        <v>0.0135569589505322</v>
      </c>
      <c r="T250" s="26" t="n">
        <f aca="false">2*(O250-G250)*(1-O250)*O250</f>
        <v>0.0239569263673162</v>
      </c>
      <c r="U250" s="26" t="n">
        <f aca="false">2*(O250-G250)*(1-O250)*O250*C250</f>
        <v>0.129367402383507</v>
      </c>
      <c r="V250" s="26" t="n">
        <f aca="false">2*(O250-G250)*(1-O250)*O250*D250</f>
        <v>0.0934320128325331</v>
      </c>
      <c r="W250" s="26" t="n">
        <f aca="false">2*(O250-G250)*(1-O250)*O250*E250</f>
        <v>0.0407267748244375</v>
      </c>
      <c r="X250" s="26" t="n">
        <f aca="false">2*(O250-G250)*(1-O250)*O250*F250</f>
        <v>0.00958277054692647</v>
      </c>
    </row>
    <row r="251" customFormat="false" ht="14.25" hidden="false" customHeight="true" outlineLevel="0" collapsed="false">
      <c r="A251" s="37"/>
      <c r="B251" s="34" t="n">
        <v>7</v>
      </c>
      <c r="C251" s="28" t="n">
        <v>4.6</v>
      </c>
      <c r="D251" s="28" t="n">
        <v>3.4</v>
      </c>
      <c r="E251" s="28" t="n">
        <v>1.4</v>
      </c>
      <c r="F251" s="28" t="n">
        <v>0.3</v>
      </c>
      <c r="G251" s="35" t="n">
        <v>0</v>
      </c>
      <c r="H251" s="1" t="n">
        <f aca="false">IF(G251=P251, 1, 0)</f>
        <v>1</v>
      </c>
      <c r="I251" s="34" t="n">
        <f aca="false">I250-0.1*T250</f>
        <v>0.250423431668995</v>
      </c>
      <c r="J251" s="36" t="n">
        <f aca="false">J250-0.1*U250</f>
        <v>-0.449607708626194</v>
      </c>
      <c r="K251" s="36" t="n">
        <f aca="false">K250-0.1*V250</f>
        <v>-0.402984503504903</v>
      </c>
      <c r="L251" s="36" t="n">
        <f aca="false">L250-0.1*W250</f>
        <v>0.781009194417875</v>
      </c>
      <c r="M251" s="36" t="n">
        <f aca="false">M250-0.1*X250</f>
        <v>0.696861838116162</v>
      </c>
      <c r="N251" s="31" t="n">
        <f aca="false">I251+J251*C251+K251*D251+L251*E251+F251*M251</f>
        <v>-1.88544791630829</v>
      </c>
      <c r="O251" s="31" t="n">
        <f aca="false">1/(1+EXP(-N251))</f>
        <v>0.131764366906987</v>
      </c>
      <c r="P251" s="32" t="n">
        <f aca="false">IF(O251&gt;0.5,1,0)</f>
        <v>0</v>
      </c>
      <c r="Q251" s="32" t="n">
        <f aca="false">O251-G251</f>
        <v>0.131764366906987</v>
      </c>
      <c r="R251" s="33" t="n">
        <f aca="false">Q251^2</f>
        <v>0.0173618483863991</v>
      </c>
      <c r="T251" s="26" t="n">
        <f aca="false">2*(O251-G251)*(1-O251)*O251</f>
        <v>0.0301483508508603</v>
      </c>
      <c r="U251" s="26" t="n">
        <f aca="false">2*(O251-G251)*(1-O251)*O251*C251</f>
        <v>0.138682413913957</v>
      </c>
      <c r="V251" s="26" t="n">
        <f aca="false">2*(O251-G251)*(1-O251)*O251*D251</f>
        <v>0.102504392892925</v>
      </c>
      <c r="W251" s="26" t="n">
        <f aca="false">2*(O251-G251)*(1-O251)*O251*E251</f>
        <v>0.0422076911912044</v>
      </c>
      <c r="X251" s="26" t="n">
        <f aca="false">2*(O251-G251)*(1-O251)*O251*F251</f>
        <v>0.00904450525525809</v>
      </c>
    </row>
    <row r="252" customFormat="false" ht="14.25" hidden="false" customHeight="true" outlineLevel="0" collapsed="false">
      <c r="A252" s="37"/>
      <c r="B252" s="34" t="n">
        <v>8</v>
      </c>
      <c r="C252" s="28" t="n">
        <v>5</v>
      </c>
      <c r="D252" s="28" t="n">
        <v>3.4</v>
      </c>
      <c r="E252" s="28" t="n">
        <v>1.5</v>
      </c>
      <c r="F252" s="28" t="n">
        <v>0.2</v>
      </c>
      <c r="G252" s="35" t="n">
        <v>0</v>
      </c>
      <c r="H252" s="1" t="n">
        <f aca="false">IF(G252=P252, 1, 0)</f>
        <v>1</v>
      </c>
      <c r="I252" s="34" t="n">
        <f aca="false">I251-0.1*T251</f>
        <v>0.247408596583909</v>
      </c>
      <c r="J252" s="36" t="n">
        <f aca="false">J251-0.1*U251</f>
        <v>-0.463475950017589</v>
      </c>
      <c r="K252" s="36" t="n">
        <f aca="false">K251-0.1*V251</f>
        <v>-0.413234942794196</v>
      </c>
      <c r="L252" s="36" t="n">
        <f aca="false">L251-0.1*W251</f>
        <v>0.776788425298754</v>
      </c>
      <c r="M252" s="36" t="n">
        <f aca="false">M251-0.1*X251</f>
        <v>0.695957387590637</v>
      </c>
      <c r="N252" s="31" t="n">
        <f aca="false">I252+J252*C252+K252*D252+L252*E252+F252*M252</f>
        <v>-2.17059584353805</v>
      </c>
      <c r="O252" s="31" t="n">
        <f aca="false">1/(1+EXP(-N252))</f>
        <v>0.102422243421358</v>
      </c>
      <c r="P252" s="32" t="n">
        <f aca="false">IF(O252&gt;0.5,1,0)</f>
        <v>0</v>
      </c>
      <c r="Q252" s="32" t="n">
        <f aca="false">O252-G252</f>
        <v>0.102422243421358</v>
      </c>
      <c r="R252" s="33" t="n">
        <f aca="false">Q252^2</f>
        <v>0.0104903159474639</v>
      </c>
      <c r="T252" s="26" t="n">
        <f aca="false">2*(O252-G252)*(1-O252)*O252</f>
        <v>0.0188317485078516</v>
      </c>
      <c r="U252" s="26" t="n">
        <f aca="false">2*(O252-G252)*(1-O252)*O252*C252</f>
        <v>0.0941587425392579</v>
      </c>
      <c r="V252" s="26" t="n">
        <f aca="false">2*(O252-G252)*(1-O252)*O252*D252</f>
        <v>0.0640279449266954</v>
      </c>
      <c r="W252" s="26" t="n">
        <f aca="false">2*(O252-G252)*(1-O252)*O252*E252</f>
        <v>0.0282476227617774</v>
      </c>
      <c r="X252" s="26" t="n">
        <f aca="false">2*(O252-G252)*(1-O252)*O252*F252</f>
        <v>0.00376634970157032</v>
      </c>
    </row>
    <row r="253" customFormat="false" ht="14.25" hidden="false" customHeight="true" outlineLevel="0" collapsed="false">
      <c r="A253" s="37"/>
      <c r="B253" s="34" t="n">
        <v>9</v>
      </c>
      <c r="C253" s="28" t="n">
        <v>4.4</v>
      </c>
      <c r="D253" s="28" t="n">
        <v>2.9</v>
      </c>
      <c r="E253" s="28" t="n">
        <v>1.4</v>
      </c>
      <c r="F253" s="28" t="n">
        <v>0.2</v>
      </c>
      <c r="G253" s="35" t="n">
        <v>0</v>
      </c>
      <c r="H253" s="1" t="n">
        <f aca="false">IF(G253=P253, 1, 0)</f>
        <v>1</v>
      </c>
      <c r="I253" s="34" t="n">
        <f aca="false">I252-0.1*T252</f>
        <v>0.245525421733124</v>
      </c>
      <c r="J253" s="36" t="n">
        <f aca="false">J252-0.1*U252</f>
        <v>-0.472891824271515</v>
      </c>
      <c r="K253" s="36" t="n">
        <f aca="false">K252-0.1*V252</f>
        <v>-0.419637737286865</v>
      </c>
      <c r="L253" s="36" t="n">
        <f aca="false">L252-0.1*W252</f>
        <v>0.773963663022576</v>
      </c>
      <c r="M253" s="36" t="n">
        <f aca="false">M252-0.1*X252</f>
        <v>0.69558075262048</v>
      </c>
      <c r="N253" s="31" t="n">
        <f aca="false">I253+J253*C253+K253*D253+L253*E253+F253*M253</f>
        <v>-1.82948276443775</v>
      </c>
      <c r="O253" s="31" t="n">
        <f aca="false">1/(1+EXP(-N253))</f>
        <v>0.138299902175263</v>
      </c>
      <c r="P253" s="32" t="n">
        <f aca="false">IF(O253&gt;0.5,1,0)</f>
        <v>0</v>
      </c>
      <c r="Q253" s="32" t="n">
        <f aca="false">O253-G253</f>
        <v>0.138299902175263</v>
      </c>
      <c r="R253" s="33" t="n">
        <f aca="false">Q253^2</f>
        <v>0.0191268629416874</v>
      </c>
      <c r="T253" s="26" t="n">
        <f aca="false">2*(O253-G253)*(1-O253)*O253</f>
        <v>0.0329632393358647</v>
      </c>
      <c r="U253" s="26" t="n">
        <f aca="false">2*(O253-G253)*(1-O253)*O253*C253</f>
        <v>0.145038253077805</v>
      </c>
      <c r="V253" s="26" t="n">
        <f aca="false">2*(O253-G253)*(1-O253)*O253*D253</f>
        <v>0.0955933940740077</v>
      </c>
      <c r="W253" s="26" t="n">
        <f aca="false">2*(O253-G253)*(1-O253)*O253*E253</f>
        <v>0.0461485350702106</v>
      </c>
      <c r="X253" s="26" t="n">
        <f aca="false">2*(O253-G253)*(1-O253)*O253*F253</f>
        <v>0.00659264786717295</v>
      </c>
    </row>
    <row r="254" customFormat="false" ht="14.25" hidden="false" customHeight="true" outlineLevel="0" collapsed="false">
      <c r="A254" s="37"/>
      <c r="B254" s="34" t="n">
        <v>10</v>
      </c>
      <c r="C254" s="28" t="n">
        <v>4.9</v>
      </c>
      <c r="D254" s="28" t="n">
        <v>3.1</v>
      </c>
      <c r="E254" s="28" t="n">
        <v>1.5</v>
      </c>
      <c r="F254" s="28" t="n">
        <v>0.1</v>
      </c>
      <c r="G254" s="35" t="n">
        <v>0</v>
      </c>
      <c r="H254" s="1" t="n">
        <f aca="false">IF(G254=P254, 1, 0)</f>
        <v>1</v>
      </c>
      <c r="I254" s="34" t="n">
        <f aca="false">I253-0.1*T253</f>
        <v>0.242229097799537</v>
      </c>
      <c r="J254" s="36" t="n">
        <f aca="false">J253-0.1*U253</f>
        <v>-0.487395649579296</v>
      </c>
      <c r="K254" s="36" t="n">
        <f aca="false">K253-0.1*V253</f>
        <v>-0.429197076694266</v>
      </c>
      <c r="L254" s="36" t="n">
        <f aca="false">L253-0.1*W253</f>
        <v>0.769348809515555</v>
      </c>
      <c r="M254" s="36" t="n">
        <f aca="false">M253-0.1*X253</f>
        <v>0.694921487833762</v>
      </c>
      <c r="N254" s="31" t="n">
        <f aca="false">I254+J254*C254+K254*D254+L254*E254+F254*M254</f>
        <v>-2.25300515983453</v>
      </c>
      <c r="O254" s="31" t="n">
        <f aca="false">1/(1+EXP(-N254))</f>
        <v>0.0950905610212595</v>
      </c>
      <c r="P254" s="32" t="n">
        <f aca="false">IF(O254&gt;0.5,1,0)</f>
        <v>0</v>
      </c>
      <c r="Q254" s="32" t="n">
        <f aca="false">O254-G254</f>
        <v>0.0950905610212595</v>
      </c>
      <c r="R254" s="33" t="n">
        <f aca="false">Q254^2</f>
        <v>0.00904221479533787</v>
      </c>
      <c r="T254" s="26" t="n">
        <f aca="false">2*(O254-G254)*(1-O254)*O254</f>
        <v>0.0163647710351489</v>
      </c>
      <c r="U254" s="26" t="n">
        <f aca="false">2*(O254-G254)*(1-O254)*O254*C254</f>
        <v>0.0801873780722297</v>
      </c>
      <c r="V254" s="26" t="n">
        <f aca="false">2*(O254-G254)*(1-O254)*O254*D254</f>
        <v>0.0507307902089617</v>
      </c>
      <c r="W254" s="26" t="n">
        <f aca="false">2*(O254-G254)*(1-O254)*O254*E254</f>
        <v>0.0245471565527234</v>
      </c>
      <c r="X254" s="26" t="n">
        <f aca="false">2*(O254-G254)*(1-O254)*O254*F254</f>
        <v>0.00163647710351489</v>
      </c>
    </row>
    <row r="255" customFormat="false" ht="14.25" hidden="false" customHeight="true" outlineLevel="0" collapsed="false">
      <c r="A255" s="37"/>
      <c r="B255" s="34" t="n">
        <v>11</v>
      </c>
      <c r="C255" s="28" t="n">
        <v>5.4</v>
      </c>
      <c r="D255" s="28" t="n">
        <v>3.7</v>
      </c>
      <c r="E255" s="28" t="n">
        <v>1.5</v>
      </c>
      <c r="F255" s="28" t="n">
        <v>0.2</v>
      </c>
      <c r="G255" s="35" t="n">
        <v>0</v>
      </c>
      <c r="H255" s="1" t="n">
        <f aca="false">IF(G255=P255, 1, 0)</f>
        <v>1</v>
      </c>
      <c r="I255" s="34" t="n">
        <f aca="false">I254-0.1*T254</f>
        <v>0.240592620696023</v>
      </c>
      <c r="J255" s="36" t="n">
        <f aca="false">J254-0.1*U254</f>
        <v>-0.495414387386519</v>
      </c>
      <c r="K255" s="36" t="n">
        <f aca="false">K254-0.1*V254</f>
        <v>-0.434270155715162</v>
      </c>
      <c r="L255" s="36" t="n">
        <f aca="false">L254-0.1*W254</f>
        <v>0.766894093860283</v>
      </c>
      <c r="M255" s="36" t="n">
        <f aca="false">M254-0.1*X254</f>
        <v>0.694757840123411</v>
      </c>
      <c r="N255" s="31" t="n">
        <f aca="false">I255+J255*C255+K255*D255+L255*E255+F255*M255</f>
        <v>-2.75215193852217</v>
      </c>
      <c r="O255" s="31" t="n">
        <f aca="false">1/(1+EXP(-N255))</f>
        <v>0.0599652317571702</v>
      </c>
      <c r="P255" s="32" t="n">
        <f aca="false">IF(O255&gt;0.5,1,0)</f>
        <v>0</v>
      </c>
      <c r="Q255" s="32" t="n">
        <f aca="false">O255-G255</f>
        <v>0.0599652317571702</v>
      </c>
      <c r="R255" s="33" t="n">
        <f aca="false">Q255^2</f>
        <v>0.00359582901969113</v>
      </c>
      <c r="T255" s="26" t="n">
        <f aca="false">2*(O255-G255)*(1-O255)*O255</f>
        <v>0.00676040859833239</v>
      </c>
      <c r="U255" s="26" t="n">
        <f aca="false">2*(O255-G255)*(1-O255)*O255*C255</f>
        <v>0.0365062064309949</v>
      </c>
      <c r="V255" s="26" t="n">
        <f aca="false">2*(O255-G255)*(1-O255)*O255*D255</f>
        <v>0.0250135118138299</v>
      </c>
      <c r="W255" s="26" t="n">
        <f aca="false">2*(O255-G255)*(1-O255)*O255*E255</f>
        <v>0.0101406128974986</v>
      </c>
      <c r="X255" s="26" t="n">
        <f aca="false">2*(O255-G255)*(1-O255)*O255*F255</f>
        <v>0.00135208171966648</v>
      </c>
    </row>
    <row r="256" customFormat="false" ht="14.25" hidden="false" customHeight="true" outlineLevel="0" collapsed="false">
      <c r="A256" s="37"/>
      <c r="B256" s="34" t="n">
        <v>12</v>
      </c>
      <c r="C256" s="28" t="n">
        <v>4.8</v>
      </c>
      <c r="D256" s="28" t="n">
        <v>3.4</v>
      </c>
      <c r="E256" s="28" t="n">
        <v>1.6</v>
      </c>
      <c r="F256" s="28" t="n">
        <v>0.2</v>
      </c>
      <c r="G256" s="35" t="n">
        <v>0</v>
      </c>
      <c r="H256" s="1" t="n">
        <f aca="false">IF(G256=P256, 1, 0)</f>
        <v>1</v>
      </c>
      <c r="I256" s="34" t="n">
        <f aca="false">I255-0.1*T255</f>
        <v>0.239916579836189</v>
      </c>
      <c r="J256" s="36" t="n">
        <f aca="false">J255-0.1*U255</f>
        <v>-0.499065008029618</v>
      </c>
      <c r="K256" s="36" t="n">
        <f aca="false">K255-0.1*V255</f>
        <v>-0.436771506896545</v>
      </c>
      <c r="L256" s="36" t="n">
        <f aca="false">L255-0.1*W255</f>
        <v>0.765880032570533</v>
      </c>
      <c r="M256" s="36" t="n">
        <f aca="false">M255-0.1*X255</f>
        <v>0.694622631951444</v>
      </c>
      <c r="N256" s="31" t="n">
        <f aca="false">I256+J256*C256+K256*D256+L256*E256+F256*M256</f>
        <v>-2.27628600365109</v>
      </c>
      <c r="O256" s="31" t="n">
        <f aca="false">1/(1+EXP(-N256))</f>
        <v>0.0931060795229141</v>
      </c>
      <c r="P256" s="32" t="n">
        <f aca="false">IF(O256&gt;0.5,1,0)</f>
        <v>0</v>
      </c>
      <c r="Q256" s="32" t="n">
        <f aca="false">O256-G256</f>
        <v>0.0931060795229141</v>
      </c>
      <c r="R256" s="33" t="n">
        <f aca="false">Q256^2</f>
        <v>0.0086687420441272</v>
      </c>
      <c r="T256" s="26" t="n">
        <f aca="false">2*(O256-G256)*(1-O256)*O256</f>
        <v>0.0157232589160061</v>
      </c>
      <c r="U256" s="26" t="n">
        <f aca="false">2*(O256-G256)*(1-O256)*O256*C256</f>
        <v>0.0754716427968294</v>
      </c>
      <c r="V256" s="26" t="n">
        <f aca="false">2*(O256-G256)*(1-O256)*O256*D256</f>
        <v>0.0534590803144209</v>
      </c>
      <c r="W256" s="26" t="n">
        <f aca="false">2*(O256-G256)*(1-O256)*O256*E256</f>
        <v>0.0251572142656098</v>
      </c>
      <c r="X256" s="26" t="n">
        <f aca="false">2*(O256-G256)*(1-O256)*O256*F256</f>
        <v>0.00314465178320123</v>
      </c>
    </row>
    <row r="257" customFormat="false" ht="14.25" hidden="false" customHeight="true" outlineLevel="0" collapsed="false">
      <c r="A257" s="37"/>
      <c r="B257" s="34" t="n">
        <v>13</v>
      </c>
      <c r="C257" s="28" t="n">
        <v>4.8</v>
      </c>
      <c r="D257" s="28" t="n">
        <v>3</v>
      </c>
      <c r="E257" s="28" t="n">
        <v>1.4</v>
      </c>
      <c r="F257" s="28" t="n">
        <v>0.1</v>
      </c>
      <c r="G257" s="35" t="n">
        <v>0</v>
      </c>
      <c r="H257" s="1" t="n">
        <f aca="false">IF(G257=P257, 1, 0)</f>
        <v>1</v>
      </c>
      <c r="I257" s="34" t="n">
        <f aca="false">I256-0.1*T256</f>
        <v>0.238344253944589</v>
      </c>
      <c r="J257" s="36" t="n">
        <f aca="false">J256-0.1*U256</f>
        <v>-0.506612172309301</v>
      </c>
      <c r="K257" s="36" t="n">
        <f aca="false">K256-0.1*V256</f>
        <v>-0.442117414927987</v>
      </c>
      <c r="L257" s="36" t="n">
        <f aca="false">L256-0.1*W256</f>
        <v>0.763364311143972</v>
      </c>
      <c r="M257" s="36" t="n">
        <f aca="false">M256-0.1*X256</f>
        <v>0.694308166773124</v>
      </c>
      <c r="N257" s="31" t="n">
        <f aca="false">I257+J257*C257+K257*D257+L257*E257+F257*M257</f>
        <v>-2.38160556564515</v>
      </c>
      <c r="O257" s="31" t="n">
        <f aca="false">1/(1+EXP(-N257))</f>
        <v>0.0845861616791008</v>
      </c>
      <c r="P257" s="32" t="n">
        <f aca="false">IF(O257&gt;0.5,1,0)</f>
        <v>0</v>
      </c>
      <c r="Q257" s="32" t="n">
        <f aca="false">O257-G257</f>
        <v>0.0845861616791008</v>
      </c>
      <c r="R257" s="33" t="n">
        <f aca="false">Q257^2</f>
        <v>0.00715481874760298</v>
      </c>
      <c r="T257" s="26" t="n">
        <f aca="false">2*(O257-G257)*(1-O257)*O257</f>
        <v>0.0130992401844671</v>
      </c>
      <c r="U257" s="26" t="n">
        <f aca="false">2*(O257-G257)*(1-O257)*O257*C257</f>
        <v>0.0628763528854423</v>
      </c>
      <c r="V257" s="26" t="n">
        <f aca="false">2*(O257-G257)*(1-O257)*O257*D257</f>
        <v>0.0392977205534014</v>
      </c>
      <c r="W257" s="26" t="n">
        <f aca="false">2*(O257-G257)*(1-O257)*O257*E257</f>
        <v>0.018338936258254</v>
      </c>
      <c r="X257" s="26" t="n">
        <f aca="false">2*(O257-G257)*(1-O257)*O257*F257</f>
        <v>0.00130992401844671</v>
      </c>
    </row>
    <row r="258" customFormat="false" ht="14.25" hidden="false" customHeight="true" outlineLevel="0" collapsed="false">
      <c r="A258" s="37"/>
      <c r="B258" s="34" t="n">
        <v>14</v>
      </c>
      <c r="C258" s="28" t="n">
        <v>4.3</v>
      </c>
      <c r="D258" s="28" t="n">
        <v>3</v>
      </c>
      <c r="E258" s="28" t="n">
        <v>1.1</v>
      </c>
      <c r="F258" s="28" t="n">
        <v>0.1</v>
      </c>
      <c r="G258" s="35" t="n">
        <v>0</v>
      </c>
      <c r="H258" s="1" t="n">
        <f aca="false">IF(G258=P258, 1, 0)</f>
        <v>1</v>
      </c>
      <c r="I258" s="34" t="n">
        <f aca="false">I257-0.1*T257</f>
        <v>0.237034329926142</v>
      </c>
      <c r="J258" s="36" t="n">
        <f aca="false">J257-0.1*U257</f>
        <v>-0.512899807597845</v>
      </c>
      <c r="K258" s="36" t="n">
        <f aca="false">K257-0.1*V257</f>
        <v>-0.446047186983328</v>
      </c>
      <c r="L258" s="36" t="n">
        <f aca="false">L257-0.1*W257</f>
        <v>0.761530417518147</v>
      </c>
      <c r="M258" s="36" t="n">
        <f aca="false">M257-0.1*X257</f>
        <v>0.694177174371279</v>
      </c>
      <c r="N258" s="31" t="n">
        <f aca="false">I258+J258*C258+K258*D258+L258*E258+F258*M258</f>
        <v>-2.39947522698749</v>
      </c>
      <c r="O258" s="31" t="n">
        <f aca="false">1/(1+EXP(-N258))</f>
        <v>0.0832127218137028</v>
      </c>
      <c r="P258" s="32" t="n">
        <f aca="false">IF(O258&gt;0.5,1,0)</f>
        <v>0</v>
      </c>
      <c r="Q258" s="32" t="n">
        <f aca="false">O258-G258</f>
        <v>0.0832127218137028</v>
      </c>
      <c r="R258" s="33" t="n">
        <f aca="false">Q258^2</f>
        <v>0.00692435707164468</v>
      </c>
      <c r="T258" s="26" t="n">
        <f aca="false">2*(O258-G258)*(1-O258)*O258</f>
        <v>0.0126963249458063</v>
      </c>
      <c r="U258" s="26" t="n">
        <f aca="false">2*(O258-G258)*(1-O258)*O258*C258</f>
        <v>0.0545941972669673</v>
      </c>
      <c r="V258" s="26" t="n">
        <f aca="false">2*(O258-G258)*(1-O258)*O258*D258</f>
        <v>0.038088974837419</v>
      </c>
      <c r="W258" s="26" t="n">
        <f aca="false">2*(O258-G258)*(1-O258)*O258*E258</f>
        <v>0.013965957440387</v>
      </c>
      <c r="X258" s="26" t="n">
        <f aca="false">2*(O258-G258)*(1-O258)*O258*F258</f>
        <v>0.00126963249458063</v>
      </c>
    </row>
    <row r="259" customFormat="false" ht="14.25" hidden="false" customHeight="true" outlineLevel="0" collapsed="false">
      <c r="A259" s="37"/>
      <c r="B259" s="34" t="n">
        <v>15</v>
      </c>
      <c r="C259" s="28" t="n">
        <v>5.8</v>
      </c>
      <c r="D259" s="28" t="n">
        <v>4</v>
      </c>
      <c r="E259" s="28" t="n">
        <v>1.2</v>
      </c>
      <c r="F259" s="28" t="n">
        <v>0.2</v>
      </c>
      <c r="G259" s="35" t="n">
        <v>0</v>
      </c>
      <c r="H259" s="1" t="n">
        <f aca="false">IF(G259=P259, 1, 0)</f>
        <v>1</v>
      </c>
      <c r="I259" s="34" t="n">
        <f aca="false">I258-0.1*T258</f>
        <v>0.235764697431561</v>
      </c>
      <c r="J259" s="36" t="n">
        <f aca="false">J258-0.1*U258</f>
        <v>-0.518359227324542</v>
      </c>
      <c r="K259" s="36" t="n">
        <f aca="false">K258-0.1*V258</f>
        <v>-0.449856084467069</v>
      </c>
      <c r="L259" s="36" t="n">
        <f aca="false">L258-0.1*W258</f>
        <v>0.760133821774108</v>
      </c>
      <c r="M259" s="36" t="n">
        <f aca="false">M258-0.1*X258</f>
        <v>0.694050211121821</v>
      </c>
      <c r="N259" s="31" t="n">
        <f aca="false">I259+J259*C259+K259*D259+L259*E259+F259*M259</f>
        <v>-3.51917253056577</v>
      </c>
      <c r="O259" s="31" t="n">
        <f aca="false">1/(1+EXP(-N259))</f>
        <v>0.0287716095563099</v>
      </c>
      <c r="P259" s="32" t="n">
        <f aca="false">IF(O259&gt;0.5,1,0)</f>
        <v>0</v>
      </c>
      <c r="Q259" s="32" t="n">
        <f aca="false">O259-G259</f>
        <v>0.0287716095563099</v>
      </c>
      <c r="R259" s="33" t="n">
        <f aca="false">Q259^2</f>
        <v>0.000827805516460746</v>
      </c>
      <c r="T259" s="26" t="n">
        <f aca="false">2*(O259-G259)*(1-O259)*O259</f>
        <v>0.00160797643870516</v>
      </c>
      <c r="U259" s="26" t="n">
        <f aca="false">2*(O259-G259)*(1-O259)*O259*C259</f>
        <v>0.0093262633444899</v>
      </c>
      <c r="V259" s="26" t="n">
        <f aca="false">2*(O259-G259)*(1-O259)*O259*D259</f>
        <v>0.00643190575482062</v>
      </c>
      <c r="W259" s="26" t="n">
        <f aca="false">2*(O259-G259)*(1-O259)*O259*E259</f>
        <v>0.00192957172644619</v>
      </c>
      <c r="X259" s="26" t="n">
        <f aca="false">2*(O259-G259)*(1-O259)*O259*F259</f>
        <v>0.000321595287741031</v>
      </c>
    </row>
    <row r="260" customFormat="false" ht="14.25" hidden="false" customHeight="true" outlineLevel="0" collapsed="false">
      <c r="A260" s="37"/>
      <c r="B260" s="34" t="n">
        <v>16</v>
      </c>
      <c r="C260" s="28" t="n">
        <v>5.7</v>
      </c>
      <c r="D260" s="28" t="n">
        <v>4.4</v>
      </c>
      <c r="E260" s="28" t="n">
        <v>1.5</v>
      </c>
      <c r="F260" s="28" t="n">
        <v>0.4</v>
      </c>
      <c r="G260" s="35" t="n">
        <v>0</v>
      </c>
      <c r="H260" s="1" t="n">
        <f aca="false">IF(G260=P260, 1, 0)</f>
        <v>1</v>
      </c>
      <c r="I260" s="34" t="n">
        <f aca="false">I259-0.1*T259</f>
        <v>0.235603899787691</v>
      </c>
      <c r="J260" s="36" t="n">
        <f aca="false">J259-0.1*U259</f>
        <v>-0.519291853658991</v>
      </c>
      <c r="K260" s="36" t="n">
        <f aca="false">K259-0.1*V259</f>
        <v>-0.450499275042552</v>
      </c>
      <c r="L260" s="36" t="n">
        <f aca="false">L259-0.1*W259</f>
        <v>0.759940864601463</v>
      </c>
      <c r="M260" s="36" t="n">
        <f aca="false">M259-0.1*X259</f>
        <v>0.694018051593047</v>
      </c>
      <c r="N260" s="31" t="n">
        <f aca="false">I260+J260*C260+K260*D260+L260*E260+F260*M260</f>
        <v>-3.28903795871637</v>
      </c>
      <c r="O260" s="31" t="n">
        <f aca="false">1/(1+EXP(-N260))</f>
        <v>0.0359491723026352</v>
      </c>
      <c r="P260" s="32" t="n">
        <f aca="false">IF(O260&gt;0.5,1,0)</f>
        <v>0</v>
      </c>
      <c r="Q260" s="32" t="n">
        <f aca="false">O260-G260</f>
        <v>0.0359491723026352</v>
      </c>
      <c r="R260" s="33" t="n">
        <f aca="false">Q260^2</f>
        <v>0.00129234298924455</v>
      </c>
      <c r="T260" s="26" t="n">
        <f aca="false">2*(O260-G260)*(1-O260)*O260</f>
        <v>0.00249176865690019</v>
      </c>
      <c r="U260" s="26" t="n">
        <f aca="false">2*(O260-G260)*(1-O260)*O260*C260</f>
        <v>0.0142030813443311</v>
      </c>
      <c r="V260" s="26" t="n">
        <f aca="false">2*(O260-G260)*(1-O260)*O260*D260</f>
        <v>0.0109637820903608</v>
      </c>
      <c r="W260" s="26" t="n">
        <f aca="false">2*(O260-G260)*(1-O260)*O260*E260</f>
        <v>0.00373765298535029</v>
      </c>
      <c r="X260" s="26" t="n">
        <f aca="false">2*(O260-G260)*(1-O260)*O260*F260</f>
        <v>0.000996707462760076</v>
      </c>
    </row>
    <row r="261" customFormat="false" ht="14.25" hidden="false" customHeight="true" outlineLevel="0" collapsed="false">
      <c r="A261" s="37"/>
      <c r="B261" s="34" t="n">
        <v>17</v>
      </c>
      <c r="C261" s="28" t="n">
        <v>5.4</v>
      </c>
      <c r="D261" s="28" t="n">
        <v>3.9</v>
      </c>
      <c r="E261" s="28" t="n">
        <v>1.3</v>
      </c>
      <c r="F261" s="28" t="n">
        <v>0.4</v>
      </c>
      <c r="G261" s="35" t="n">
        <v>0</v>
      </c>
      <c r="H261" s="1" t="n">
        <f aca="false">IF(G261=P261, 1, 0)</f>
        <v>1</v>
      </c>
      <c r="I261" s="34" t="n">
        <f aca="false">I260-0.1*T260</f>
        <v>0.235354722922001</v>
      </c>
      <c r="J261" s="36" t="n">
        <f aca="false">J260-0.1*U260</f>
        <v>-0.520712161793424</v>
      </c>
      <c r="K261" s="36" t="n">
        <f aca="false">K260-0.1*V260</f>
        <v>-0.451595653251588</v>
      </c>
      <c r="L261" s="36" t="n">
        <f aca="false">L260-0.1*W260</f>
        <v>0.759567099302928</v>
      </c>
      <c r="M261" s="36" t="n">
        <f aca="false">M260-0.1*X260</f>
        <v>0.693918380846771</v>
      </c>
      <c r="N261" s="31" t="n">
        <f aca="false">I261+J261*C261+K261*D261+L261*E261+F261*M261</f>
        <v>-3.07270941701117</v>
      </c>
      <c r="O261" s="31" t="n">
        <f aca="false">1/(1+EXP(-N261))</f>
        <v>0.0442471066497335</v>
      </c>
      <c r="P261" s="32" t="n">
        <f aca="false">IF(O261&gt;0.5,1,0)</f>
        <v>0</v>
      </c>
      <c r="Q261" s="32" t="n">
        <f aca="false">O261-G261</f>
        <v>0.0442471066497335</v>
      </c>
      <c r="R261" s="33" t="n">
        <f aca="false">Q261^2</f>
        <v>0.00195780644687289</v>
      </c>
      <c r="T261" s="26" t="n">
        <f aca="false">2*(O261-G261)*(1-O261)*O261</f>
        <v>0.00374235835243713</v>
      </c>
      <c r="U261" s="26" t="n">
        <f aca="false">2*(O261-G261)*(1-O261)*O261*C261</f>
        <v>0.0202087351031605</v>
      </c>
      <c r="V261" s="26" t="n">
        <f aca="false">2*(O261-G261)*(1-O261)*O261*D261</f>
        <v>0.0145951975745048</v>
      </c>
      <c r="W261" s="26" t="n">
        <f aca="false">2*(O261-G261)*(1-O261)*O261*E261</f>
        <v>0.00486506585816827</v>
      </c>
      <c r="X261" s="26" t="n">
        <f aca="false">2*(O261-G261)*(1-O261)*O261*F261</f>
        <v>0.00149694334097485</v>
      </c>
    </row>
    <row r="262" customFormat="false" ht="14.25" hidden="false" customHeight="true" outlineLevel="0" collapsed="false">
      <c r="A262" s="37"/>
      <c r="B262" s="34" t="n">
        <v>18</v>
      </c>
      <c r="C262" s="28" t="n">
        <v>5.1</v>
      </c>
      <c r="D262" s="28" t="n">
        <v>3.5</v>
      </c>
      <c r="E262" s="28" t="n">
        <v>1.4</v>
      </c>
      <c r="F262" s="28" t="n">
        <v>0.3</v>
      </c>
      <c r="G262" s="35" t="n">
        <v>0</v>
      </c>
      <c r="H262" s="1" t="n">
        <f aca="false">IF(G262=P262, 1, 0)</f>
        <v>1</v>
      </c>
      <c r="I262" s="34" t="n">
        <f aca="false">I261-0.1*T261</f>
        <v>0.234980487086757</v>
      </c>
      <c r="J262" s="36" t="n">
        <f aca="false">J261-0.1*U261</f>
        <v>-0.52273303530374</v>
      </c>
      <c r="K262" s="36" t="n">
        <f aca="false">K261-0.1*V261</f>
        <v>-0.453055173009038</v>
      </c>
      <c r="L262" s="36" t="n">
        <f aca="false">L261-0.1*W261</f>
        <v>0.759080592717111</v>
      </c>
      <c r="M262" s="36" t="n">
        <f aca="false">M261-0.1*X261</f>
        <v>0.693768686512674</v>
      </c>
      <c r="N262" s="31" t="n">
        <f aca="false">I262+J262*C262+K262*D262+L262*E262+F262*M262</f>
        <v>-2.74580766273619</v>
      </c>
      <c r="O262" s="31" t="n">
        <f aca="false">1/(1+EXP(-N262))</f>
        <v>0.0603238547596786</v>
      </c>
      <c r="P262" s="32" t="n">
        <f aca="false">IF(O262&gt;0.5,1,0)</f>
        <v>0</v>
      </c>
      <c r="Q262" s="32" t="n">
        <f aca="false">O262-G262</f>
        <v>0.0603238547596786</v>
      </c>
      <c r="R262" s="33" t="n">
        <f aca="false">Q262^2</f>
        <v>0.0036389674530668</v>
      </c>
      <c r="T262" s="26" t="n">
        <f aca="false">2*(O262-G262)*(1-O262)*O262</f>
        <v>0.00683890181790561</v>
      </c>
      <c r="U262" s="26" t="n">
        <f aca="false">2*(O262-G262)*(1-O262)*O262*C262</f>
        <v>0.0348783992713186</v>
      </c>
      <c r="V262" s="26" t="n">
        <f aca="false">2*(O262-G262)*(1-O262)*O262*D262</f>
        <v>0.0239361563626696</v>
      </c>
      <c r="W262" s="26" t="n">
        <f aca="false">2*(O262-G262)*(1-O262)*O262*E262</f>
        <v>0.00957446254506785</v>
      </c>
      <c r="X262" s="26" t="n">
        <f aca="false">2*(O262-G262)*(1-O262)*O262*F262</f>
        <v>0.00205167054537168</v>
      </c>
    </row>
    <row r="263" customFormat="false" ht="14.25" hidden="false" customHeight="true" outlineLevel="0" collapsed="false">
      <c r="A263" s="37"/>
      <c r="B263" s="34" t="n">
        <v>19</v>
      </c>
      <c r="C263" s="28" t="n">
        <v>5.7</v>
      </c>
      <c r="D263" s="28" t="n">
        <v>3.8</v>
      </c>
      <c r="E263" s="28" t="n">
        <v>1.7</v>
      </c>
      <c r="F263" s="28" t="n">
        <v>0.3</v>
      </c>
      <c r="G263" s="35" t="n">
        <v>0</v>
      </c>
      <c r="H263" s="1" t="n">
        <f aca="false">IF(G263=P263, 1, 0)</f>
        <v>1</v>
      </c>
      <c r="I263" s="34" t="n">
        <f aca="false">I262-0.1*T262</f>
        <v>0.234296596904967</v>
      </c>
      <c r="J263" s="36" t="n">
        <f aca="false">J262-0.1*U262</f>
        <v>-0.526220875230872</v>
      </c>
      <c r="K263" s="36" t="n">
        <f aca="false">K262-0.1*V262</f>
        <v>-0.455448788645305</v>
      </c>
      <c r="L263" s="36" t="n">
        <f aca="false">L262-0.1*W262</f>
        <v>0.758123146462605</v>
      </c>
      <c r="M263" s="36" t="n">
        <f aca="false">M262-0.1*X262</f>
        <v>0.693563519458136</v>
      </c>
      <c r="N263" s="31" t="n">
        <f aca="false">I263+J263*C263+K263*D263+L263*E263+F263*M263</f>
        <v>-2.99898938393929</v>
      </c>
      <c r="O263" s="31" t="n">
        <f aca="false">1/(1+EXP(-N263))</f>
        <v>0.0474715503233249</v>
      </c>
      <c r="P263" s="32" t="n">
        <f aca="false">IF(O263&gt;0.5,1,0)</f>
        <v>0</v>
      </c>
      <c r="Q263" s="32" t="n">
        <f aca="false">O263-G263</f>
        <v>0.0474715503233249</v>
      </c>
      <c r="R263" s="33" t="n">
        <f aca="false">Q263^2</f>
        <v>0.00225354809009997</v>
      </c>
      <c r="T263" s="26" t="n">
        <f aca="false">2*(O263-G263)*(1-O263)*O263</f>
        <v>0.00429313733706951</v>
      </c>
      <c r="U263" s="26" t="n">
        <f aca="false">2*(O263-G263)*(1-O263)*O263*C263</f>
        <v>0.0244708828212962</v>
      </c>
      <c r="V263" s="26" t="n">
        <f aca="false">2*(O263-G263)*(1-O263)*O263*D263</f>
        <v>0.0163139218808641</v>
      </c>
      <c r="W263" s="26" t="n">
        <f aca="false">2*(O263-G263)*(1-O263)*O263*E263</f>
        <v>0.00729833347301817</v>
      </c>
      <c r="X263" s="26" t="n">
        <f aca="false">2*(O263-G263)*(1-O263)*O263*F263</f>
        <v>0.00128794120112085</v>
      </c>
    </row>
    <row r="264" customFormat="false" ht="14.25" hidden="false" customHeight="true" outlineLevel="0" collapsed="false">
      <c r="A264" s="37"/>
      <c r="B264" s="34" t="n">
        <v>20</v>
      </c>
      <c r="C264" s="28" t="n">
        <v>5.1</v>
      </c>
      <c r="D264" s="28" t="n">
        <v>3.8</v>
      </c>
      <c r="E264" s="28" t="n">
        <v>1.5</v>
      </c>
      <c r="F264" s="28" t="n">
        <v>0.3</v>
      </c>
      <c r="G264" s="35" t="n">
        <v>0</v>
      </c>
      <c r="H264" s="1" t="n">
        <f aca="false">IF(G264=P264, 1, 0)</f>
        <v>1</v>
      </c>
      <c r="I264" s="34" t="n">
        <f aca="false">I263-0.1*T263</f>
        <v>0.23386728317126</v>
      </c>
      <c r="J264" s="36" t="n">
        <f aca="false">J263-0.1*U263</f>
        <v>-0.528667963513002</v>
      </c>
      <c r="K264" s="36" t="n">
        <f aca="false">K263-0.1*V263</f>
        <v>-0.457080180833391</v>
      </c>
      <c r="L264" s="36" t="n">
        <f aca="false">L263-0.1*W263</f>
        <v>0.757393313115303</v>
      </c>
      <c r="M264" s="36" t="n">
        <f aca="false">M263-0.1*X263</f>
        <v>0.693434725338024</v>
      </c>
      <c r="N264" s="31" t="n">
        <f aca="false">I264+J264*C264+K264*D264+L264*E264+F264*M264</f>
        <v>-2.85512363063757</v>
      </c>
      <c r="O264" s="31" t="n">
        <f aca="false">1/(1+EXP(-N264))</f>
        <v>0.0544170737261773</v>
      </c>
      <c r="P264" s="32" t="n">
        <f aca="false">IF(O264&gt;0.5,1,0)</f>
        <v>0</v>
      </c>
      <c r="Q264" s="32" t="n">
        <f aca="false">O264-G264</f>
        <v>0.0544170737261773</v>
      </c>
      <c r="R264" s="33" t="n">
        <f aca="false">Q264^2</f>
        <v>0.00296121791292021</v>
      </c>
      <c r="T264" s="26" t="n">
        <f aca="false">2*(O264-G264)*(1-O264)*O264</f>
        <v>0.00560015419886711</v>
      </c>
      <c r="U264" s="26" t="n">
        <f aca="false">2*(O264-G264)*(1-O264)*O264*C264</f>
        <v>0.0285607864142223</v>
      </c>
      <c r="V264" s="26" t="n">
        <f aca="false">2*(O264-G264)*(1-O264)*O264*D264</f>
        <v>0.021280585955695</v>
      </c>
      <c r="W264" s="26" t="n">
        <f aca="false">2*(O264-G264)*(1-O264)*O264*E264</f>
        <v>0.00840023129830067</v>
      </c>
      <c r="X264" s="26" t="n">
        <f aca="false">2*(O264-G264)*(1-O264)*O264*F264</f>
        <v>0.00168004625966013</v>
      </c>
    </row>
    <row r="265" customFormat="false" ht="14.25" hidden="false" customHeight="true" outlineLevel="0" collapsed="false">
      <c r="A265" s="37"/>
      <c r="B265" s="34" t="n">
        <v>21</v>
      </c>
      <c r="C265" s="28" t="n">
        <v>5.4</v>
      </c>
      <c r="D265" s="28" t="n">
        <v>3.4</v>
      </c>
      <c r="E265" s="28" t="n">
        <v>1.7</v>
      </c>
      <c r="F265" s="28" t="n">
        <v>0.2</v>
      </c>
      <c r="G265" s="35" t="n">
        <v>0</v>
      </c>
      <c r="H265" s="1" t="n">
        <f aca="false">IF(G265=P265, 1, 0)</f>
        <v>1</v>
      </c>
      <c r="I265" s="34" t="n">
        <f aca="false">I264-0.1*T264</f>
        <v>0.233307267751373</v>
      </c>
      <c r="J265" s="36" t="n">
        <f aca="false">J264-0.1*U264</f>
        <v>-0.531524042154424</v>
      </c>
      <c r="K265" s="36" t="n">
        <f aca="false">K264-0.1*V264</f>
        <v>-0.459208239428961</v>
      </c>
      <c r="L265" s="36" t="n">
        <f aca="false">L264-0.1*W264</f>
        <v>0.756553289985473</v>
      </c>
      <c r="M265" s="36" t="n">
        <f aca="false">M264-0.1*X264</f>
        <v>0.693266720712058</v>
      </c>
      <c r="N265" s="31" t="n">
        <f aca="false">I265+J265*C265+K265*D265+L265*E265+F265*M265</f>
        <v>-2.77343663682327</v>
      </c>
      <c r="O265" s="31" t="n">
        <f aca="false">1/(1+EXP(-N265))</f>
        <v>0.058776603600638</v>
      </c>
      <c r="P265" s="32" t="n">
        <f aca="false">IF(O265&gt;0.5,1,0)</f>
        <v>0</v>
      </c>
      <c r="Q265" s="32" t="n">
        <f aca="false">O265-G265</f>
        <v>0.058776603600638</v>
      </c>
      <c r="R265" s="33" t="n">
        <f aca="false">Q265^2</f>
        <v>0.00345468913082653</v>
      </c>
      <c r="T265" s="26" t="n">
        <f aca="false">2*(O265-G265)*(1-O265)*O265</f>
        <v>0.00650326847444101</v>
      </c>
      <c r="U265" s="26" t="n">
        <f aca="false">2*(O265-G265)*(1-O265)*O265*C265</f>
        <v>0.0351176497619815</v>
      </c>
      <c r="V265" s="26" t="n">
        <f aca="false">2*(O265-G265)*(1-O265)*O265*D265</f>
        <v>0.0221111128130994</v>
      </c>
      <c r="W265" s="26" t="n">
        <f aca="false">2*(O265-G265)*(1-O265)*O265*E265</f>
        <v>0.0110555564065497</v>
      </c>
      <c r="X265" s="26" t="n">
        <f aca="false">2*(O265-G265)*(1-O265)*O265*F265</f>
        <v>0.0013006536948882</v>
      </c>
    </row>
    <row r="266" customFormat="false" ht="14.25" hidden="false" customHeight="true" outlineLevel="0" collapsed="false">
      <c r="A266" s="37"/>
      <c r="B266" s="34" t="n">
        <v>22</v>
      </c>
      <c r="C266" s="28" t="n">
        <v>5.1</v>
      </c>
      <c r="D266" s="28" t="n">
        <v>3.7</v>
      </c>
      <c r="E266" s="28" t="n">
        <v>1.5</v>
      </c>
      <c r="F266" s="28" t="n">
        <v>0.4</v>
      </c>
      <c r="G266" s="35" t="n">
        <v>0</v>
      </c>
      <c r="H266" s="1" t="n">
        <f aca="false">IF(G266=P266, 1, 0)</f>
        <v>1</v>
      </c>
      <c r="I266" s="34" t="n">
        <f aca="false">I265-0.1*T265</f>
        <v>0.232656940903929</v>
      </c>
      <c r="J266" s="36" t="n">
        <f aca="false">J265-0.1*U265</f>
        <v>-0.535035807130622</v>
      </c>
      <c r="K266" s="36" t="n">
        <f aca="false">K265-0.1*V265</f>
        <v>-0.461419350710271</v>
      </c>
      <c r="L266" s="36" t="n">
        <f aca="false">L265-0.1*W265</f>
        <v>0.755447734344818</v>
      </c>
      <c r="M266" s="36" t="n">
        <f aca="false">M265-0.1*X265</f>
        <v>0.693136655342569</v>
      </c>
      <c r="N266" s="31" t="n">
        <f aca="false">I266+J266*C266+K266*D266+L266*E266+F266*M266</f>
        <v>-2.79285100943599</v>
      </c>
      <c r="O266" s="31" t="n">
        <f aca="false">1/(1+EXP(-N266))</f>
        <v>0.0577117186717259</v>
      </c>
      <c r="P266" s="32" t="n">
        <f aca="false">IF(O266&gt;0.5,1,0)</f>
        <v>0</v>
      </c>
      <c r="Q266" s="32" t="n">
        <f aca="false">O266-G266</f>
        <v>0.0577117186717259</v>
      </c>
      <c r="R266" s="33" t="n">
        <f aca="false">Q266^2</f>
        <v>0.00333064247204443</v>
      </c>
      <c r="T266" s="26" t="n">
        <f aca="false">2*(O266-G266)*(1-O266)*O266</f>
        <v>0.00627685074140341</v>
      </c>
      <c r="U266" s="26" t="n">
        <f aca="false">2*(O266-G266)*(1-O266)*O266*C266</f>
        <v>0.0320119387811574</v>
      </c>
      <c r="V266" s="26" t="n">
        <f aca="false">2*(O266-G266)*(1-O266)*O266*D266</f>
        <v>0.0232243477431926</v>
      </c>
      <c r="W266" s="26" t="n">
        <f aca="false">2*(O266-G266)*(1-O266)*O266*E266</f>
        <v>0.00941527611210511</v>
      </c>
      <c r="X266" s="26" t="n">
        <f aca="false">2*(O266-G266)*(1-O266)*O266*F266</f>
        <v>0.00251074029656136</v>
      </c>
    </row>
    <row r="267" customFormat="false" ht="14.25" hidden="false" customHeight="true" outlineLevel="0" collapsed="false">
      <c r="A267" s="37"/>
      <c r="B267" s="34" t="n">
        <v>23</v>
      </c>
      <c r="C267" s="28" t="n">
        <v>4.6</v>
      </c>
      <c r="D267" s="28" t="n">
        <v>3.6</v>
      </c>
      <c r="E267" s="28" t="n">
        <v>1</v>
      </c>
      <c r="F267" s="28" t="n">
        <v>0.2</v>
      </c>
      <c r="G267" s="35" t="n">
        <v>0</v>
      </c>
      <c r="H267" s="1" t="n">
        <f aca="false">IF(G267=P267, 1, 0)</f>
        <v>1</v>
      </c>
      <c r="I267" s="34" t="n">
        <f aca="false">I266-0.1*T266</f>
        <v>0.232029255829788</v>
      </c>
      <c r="J267" s="36" t="n">
        <f aca="false">J266-0.1*U266</f>
        <v>-0.538237001008738</v>
      </c>
      <c r="K267" s="36" t="n">
        <f aca="false">K266-0.1*V266</f>
        <v>-0.46374178548459</v>
      </c>
      <c r="L267" s="36" t="n">
        <f aca="false">L266-0.1*W266</f>
        <v>0.754506206733607</v>
      </c>
      <c r="M267" s="36" t="n">
        <f aca="false">M266-0.1*X266</f>
        <v>0.692885581312913</v>
      </c>
      <c r="N267" s="31" t="n">
        <f aca="false">I267+J267*C267+K267*D267+L267*E267+F267*M267</f>
        <v>-3.02024805355874</v>
      </c>
      <c r="O267" s="31" t="n">
        <f aca="false">1/(1+EXP(-N267))</f>
        <v>0.0465194707598028</v>
      </c>
      <c r="P267" s="32" t="n">
        <f aca="false">IF(O267&gt;0.5,1,0)</f>
        <v>0</v>
      </c>
      <c r="Q267" s="32" t="n">
        <f aca="false">O267-G267</f>
        <v>0.0465194707598028</v>
      </c>
      <c r="R267" s="33" t="n">
        <f aca="false">Q267^2</f>
        <v>0.00216406115977215</v>
      </c>
      <c r="T267" s="26" t="n">
        <f aca="false">2*(O267-G267)*(1-O267)*O267</f>
        <v>0.00412678035985541</v>
      </c>
      <c r="U267" s="26" t="n">
        <f aca="false">2*(O267-G267)*(1-O267)*O267*C267</f>
        <v>0.0189831896553349</v>
      </c>
      <c r="V267" s="26" t="n">
        <f aca="false">2*(O267-G267)*(1-O267)*O267*D267</f>
        <v>0.0148564092954795</v>
      </c>
      <c r="W267" s="26" t="n">
        <f aca="false">2*(O267-G267)*(1-O267)*O267*E267</f>
        <v>0.00412678035985541</v>
      </c>
      <c r="X267" s="26" t="n">
        <f aca="false">2*(O267-G267)*(1-O267)*O267*F267</f>
        <v>0.000825356071971082</v>
      </c>
    </row>
    <row r="268" customFormat="false" ht="14.25" hidden="false" customHeight="true" outlineLevel="0" collapsed="false">
      <c r="A268" s="37"/>
      <c r="B268" s="34" t="n">
        <v>24</v>
      </c>
      <c r="C268" s="28" t="n">
        <v>5.1</v>
      </c>
      <c r="D268" s="28" t="n">
        <v>3.3</v>
      </c>
      <c r="E268" s="28" t="n">
        <v>1.7</v>
      </c>
      <c r="F268" s="28" t="n">
        <v>0.5</v>
      </c>
      <c r="G268" s="35" t="n">
        <v>0</v>
      </c>
      <c r="H268" s="1" t="n">
        <f aca="false">IF(G268=P268, 1, 0)</f>
        <v>1</v>
      </c>
      <c r="I268" s="34" t="n">
        <f aca="false">I267-0.1*T267</f>
        <v>0.231616577793803</v>
      </c>
      <c r="J268" s="36" t="n">
        <f aca="false">J267-0.1*U267</f>
        <v>-0.540135319974271</v>
      </c>
      <c r="K268" s="36" t="n">
        <f aca="false">K267-0.1*V267</f>
        <v>-0.465227426414138</v>
      </c>
      <c r="L268" s="36" t="n">
        <f aca="false">L267-0.1*W267</f>
        <v>0.754093528697622</v>
      </c>
      <c r="M268" s="36" t="n">
        <f aca="false">M267-0.1*X267</f>
        <v>0.692803045705716</v>
      </c>
      <c r="N268" s="31" t="n">
        <f aca="false">I268+J268*C268+K268*D268+L268*E268+F268*M268</f>
        <v>-2.42996353960282</v>
      </c>
      <c r="O268" s="31" t="n">
        <f aca="false">1/(1+EXP(-N268))</f>
        <v>0.0809161786882226</v>
      </c>
      <c r="P268" s="32" t="n">
        <f aca="false">IF(O268&gt;0.5,1,0)</f>
        <v>0</v>
      </c>
      <c r="Q268" s="32" t="n">
        <f aca="false">O268-G268</f>
        <v>0.0809161786882226</v>
      </c>
      <c r="R268" s="33" t="n">
        <f aca="false">Q268^2</f>
        <v>0.00654742797350437</v>
      </c>
      <c r="T268" s="26" t="n">
        <f aca="false">2*(O268-G268)*(1-O268)*O268</f>
        <v>0.012035270243304</v>
      </c>
      <c r="U268" s="26" t="n">
        <f aca="false">2*(O268-G268)*(1-O268)*O268*C268</f>
        <v>0.0613798782408506</v>
      </c>
      <c r="V268" s="26" t="n">
        <f aca="false">2*(O268-G268)*(1-O268)*O268*D268</f>
        <v>0.0397163918029034</v>
      </c>
      <c r="W268" s="26" t="n">
        <f aca="false">2*(O268-G268)*(1-O268)*O268*E268</f>
        <v>0.0204599594136169</v>
      </c>
      <c r="X268" s="26" t="n">
        <f aca="false">2*(O268-G268)*(1-O268)*O268*F268</f>
        <v>0.00601763512165202</v>
      </c>
    </row>
    <row r="269" customFormat="false" ht="14.25" hidden="false" customHeight="true" outlineLevel="0" collapsed="false">
      <c r="A269" s="37"/>
      <c r="B269" s="34" t="n">
        <v>25</v>
      </c>
      <c r="C269" s="28" t="n">
        <v>4.8</v>
      </c>
      <c r="D269" s="28" t="n">
        <v>3.4</v>
      </c>
      <c r="E269" s="28" t="n">
        <v>1.9</v>
      </c>
      <c r="F269" s="28" t="n">
        <v>0.2</v>
      </c>
      <c r="G269" s="35" t="n">
        <v>0</v>
      </c>
      <c r="H269" s="1" t="n">
        <f aca="false">IF(G269=P269, 1, 0)</f>
        <v>1</v>
      </c>
      <c r="I269" s="34" t="n">
        <f aca="false">I268-0.1*T268</f>
        <v>0.230413050769473</v>
      </c>
      <c r="J269" s="36" t="n">
        <f aca="false">J268-0.1*U268</f>
        <v>-0.546273307798356</v>
      </c>
      <c r="K269" s="36" t="n">
        <f aca="false">K268-0.1*V268</f>
        <v>-0.469199065594428</v>
      </c>
      <c r="L269" s="36" t="n">
        <f aca="false">L268-0.1*W268</f>
        <v>0.75204753275626</v>
      </c>
      <c r="M269" s="36" t="n">
        <f aca="false">M268-0.1*X268</f>
        <v>0.692201282193551</v>
      </c>
      <c r="N269" s="31" t="n">
        <f aca="false">I269+J269*C269+K269*D269+L269*E269+F269*M269</f>
        <v>-2.41964508100809</v>
      </c>
      <c r="O269" s="31" t="n">
        <f aca="false">1/(1+EXP(-N269))</f>
        <v>0.081686875448456</v>
      </c>
      <c r="P269" s="32" t="n">
        <f aca="false">IF(O269&gt;0.5,1,0)</f>
        <v>0</v>
      </c>
      <c r="Q269" s="32" t="n">
        <f aca="false">O269-G269</f>
        <v>0.081686875448456</v>
      </c>
      <c r="R269" s="33" t="n">
        <f aca="false">Q269^2</f>
        <v>0.00667274562053156</v>
      </c>
      <c r="T269" s="26" t="n">
        <f aca="false">2*(O269-G269)*(1-O269)*O269</f>
        <v>0.0122553397602559</v>
      </c>
      <c r="U269" s="26" t="n">
        <f aca="false">2*(O269-G269)*(1-O269)*O269*C269</f>
        <v>0.0588256308492285</v>
      </c>
      <c r="V269" s="26" t="n">
        <f aca="false">2*(O269-G269)*(1-O269)*O269*D269</f>
        <v>0.0416681551848702</v>
      </c>
      <c r="W269" s="26" t="n">
        <f aca="false">2*(O269-G269)*(1-O269)*O269*E269</f>
        <v>0.0232851455444863</v>
      </c>
      <c r="X269" s="26" t="n">
        <f aca="false">2*(O269-G269)*(1-O269)*O269*F269</f>
        <v>0.00245106795205119</v>
      </c>
    </row>
    <row r="270" customFormat="false" ht="14.25" hidden="false" customHeight="true" outlineLevel="0" collapsed="false">
      <c r="A270" s="37"/>
      <c r="B270" s="34" t="n">
        <v>26</v>
      </c>
      <c r="C270" s="28" t="n">
        <v>5</v>
      </c>
      <c r="D270" s="28" t="n">
        <v>3</v>
      </c>
      <c r="E270" s="28" t="n">
        <v>1.6</v>
      </c>
      <c r="F270" s="28" t="n">
        <v>0.2</v>
      </c>
      <c r="G270" s="35" t="n">
        <v>0</v>
      </c>
      <c r="H270" s="1" t="n">
        <f aca="false">IF(G270=P270, 1, 0)</f>
        <v>1</v>
      </c>
      <c r="I270" s="34" t="n">
        <f aca="false">I269-0.1*T269</f>
        <v>0.229187516793447</v>
      </c>
      <c r="J270" s="36" t="n">
        <f aca="false">J269-0.1*U269</f>
        <v>-0.552155870883279</v>
      </c>
      <c r="K270" s="36" t="n">
        <f aca="false">K269-0.1*V269</f>
        <v>-0.473365881112915</v>
      </c>
      <c r="L270" s="36" t="n">
        <f aca="false">L269-0.1*W269</f>
        <v>0.749719018201811</v>
      </c>
      <c r="M270" s="36" t="n">
        <f aca="false">M269-0.1*X269</f>
        <v>0.691956175398346</v>
      </c>
      <c r="N270" s="31" t="n">
        <f aca="false">I270+J270*C270+K270*D270+L270*E270+F270*M270</f>
        <v>-2.61374781675913</v>
      </c>
      <c r="O270" s="31" t="n">
        <f aca="false">1/(1+EXP(-N270))</f>
        <v>0.0682588580969196</v>
      </c>
      <c r="P270" s="32" t="n">
        <f aca="false">IF(O270&gt;0.5,1,0)</f>
        <v>0</v>
      </c>
      <c r="Q270" s="32" t="n">
        <f aca="false">O270-G270</f>
        <v>0.0682588580969196</v>
      </c>
      <c r="R270" s="33" t="n">
        <f aca="false">Q270^2</f>
        <v>0.00465927170869541</v>
      </c>
      <c r="T270" s="26" t="n">
        <f aca="false">2*(O270-G270)*(1-O270)*O270</f>
        <v>0.00868247028459316</v>
      </c>
      <c r="U270" s="26" t="n">
        <f aca="false">2*(O270-G270)*(1-O270)*O270*C270</f>
        <v>0.0434123514229658</v>
      </c>
      <c r="V270" s="26" t="n">
        <f aca="false">2*(O270-G270)*(1-O270)*O270*D270</f>
        <v>0.0260474108537795</v>
      </c>
      <c r="W270" s="26" t="n">
        <f aca="false">2*(O270-G270)*(1-O270)*O270*E270</f>
        <v>0.0138919524553491</v>
      </c>
      <c r="X270" s="26" t="n">
        <f aca="false">2*(O270-G270)*(1-O270)*O270*F270</f>
        <v>0.00173649405691863</v>
      </c>
    </row>
    <row r="271" customFormat="false" ht="14.25" hidden="false" customHeight="true" outlineLevel="0" collapsed="false">
      <c r="A271" s="37"/>
      <c r="B271" s="34" t="n">
        <v>27</v>
      </c>
      <c r="C271" s="28" t="n">
        <v>5</v>
      </c>
      <c r="D271" s="28" t="n">
        <v>3.4</v>
      </c>
      <c r="E271" s="28" t="n">
        <v>1.6</v>
      </c>
      <c r="F271" s="28" t="n">
        <v>0.4</v>
      </c>
      <c r="G271" s="35" t="n">
        <v>0</v>
      </c>
      <c r="H271" s="1" t="n">
        <f aca="false">IF(G271=P271, 1, 0)</f>
        <v>1</v>
      </c>
      <c r="I271" s="34" t="n">
        <f aca="false">I270-0.1*T270</f>
        <v>0.228319269764988</v>
      </c>
      <c r="J271" s="36" t="n">
        <f aca="false">J270-0.1*U270</f>
        <v>-0.556497106025576</v>
      </c>
      <c r="K271" s="36" t="n">
        <f aca="false">K270-0.1*V270</f>
        <v>-0.475970622198293</v>
      </c>
      <c r="L271" s="36" t="n">
        <f aca="false">L270-0.1*W270</f>
        <v>0.748329822956277</v>
      </c>
      <c r="M271" s="36" t="n">
        <f aca="false">M270-0.1*X270</f>
        <v>0.691782525992654</v>
      </c>
      <c r="N271" s="31" t="n">
        <f aca="false">I271+J271*C271+K271*D271+L271*E271+F271*M271</f>
        <v>-2.69842564870998</v>
      </c>
      <c r="O271" s="31" t="n">
        <f aca="false">1/(1+EXP(-N271))</f>
        <v>0.0630663188675894</v>
      </c>
      <c r="P271" s="32" t="n">
        <f aca="false">IF(O271&gt;0.5,1,0)</f>
        <v>0</v>
      </c>
      <c r="Q271" s="32" t="n">
        <f aca="false">O271-G271</f>
        <v>0.0630663188675894</v>
      </c>
      <c r="R271" s="33" t="n">
        <f aca="false">Q271^2</f>
        <v>0.00397736057550846</v>
      </c>
      <c r="T271" s="26" t="n">
        <f aca="false">2*(O271-G271)*(1-O271)*O271</f>
        <v>0.00745304617040414</v>
      </c>
      <c r="U271" s="26" t="n">
        <f aca="false">2*(O271-G271)*(1-O271)*O271*C271</f>
        <v>0.0372652308520207</v>
      </c>
      <c r="V271" s="26" t="n">
        <f aca="false">2*(O271-G271)*(1-O271)*O271*D271</f>
        <v>0.0253403569793741</v>
      </c>
      <c r="W271" s="26" t="n">
        <f aca="false">2*(O271-G271)*(1-O271)*O271*E271</f>
        <v>0.0119248738726466</v>
      </c>
      <c r="X271" s="26" t="n">
        <f aca="false">2*(O271-G271)*(1-O271)*O271*F271</f>
        <v>0.00298121846816165</v>
      </c>
    </row>
    <row r="272" customFormat="false" ht="14.25" hidden="false" customHeight="true" outlineLevel="0" collapsed="false">
      <c r="A272" s="37"/>
      <c r="B272" s="34" t="n">
        <v>28</v>
      </c>
      <c r="C272" s="28" t="n">
        <v>5.2</v>
      </c>
      <c r="D272" s="28" t="n">
        <v>3.5</v>
      </c>
      <c r="E272" s="28" t="n">
        <v>1.5</v>
      </c>
      <c r="F272" s="28" t="n">
        <v>0.2</v>
      </c>
      <c r="G272" s="35" t="n">
        <v>0</v>
      </c>
      <c r="H272" s="1" t="n">
        <f aca="false">IF(G272=P272, 1, 0)</f>
        <v>1</v>
      </c>
      <c r="I272" s="34" t="n">
        <f aca="false">I271-0.1*T271</f>
        <v>0.227573965147947</v>
      </c>
      <c r="J272" s="36" t="n">
        <f aca="false">J271-0.1*U271</f>
        <v>-0.560223629110778</v>
      </c>
      <c r="K272" s="36" t="n">
        <f aca="false">K271-0.1*V271</f>
        <v>-0.478504657896231</v>
      </c>
      <c r="L272" s="36" t="n">
        <f aca="false">L271-0.1*W271</f>
        <v>0.747137335569012</v>
      </c>
      <c r="M272" s="36" t="n">
        <f aca="false">M271-0.1*X271</f>
        <v>0.691484404145838</v>
      </c>
      <c r="N272" s="31" t="n">
        <f aca="false">I272+J272*C272+K272*D272+L272*E272+F272*M272</f>
        <v>-3.10135232468222</v>
      </c>
      <c r="O272" s="31" t="n">
        <f aca="false">1/(1+EXP(-N272))</f>
        <v>0.0430515073270077</v>
      </c>
      <c r="P272" s="32" t="n">
        <f aca="false">IF(O272&gt;0.5,1,0)</f>
        <v>0</v>
      </c>
      <c r="Q272" s="32" t="n">
        <f aca="false">O272-G272</f>
        <v>0.0430515073270077</v>
      </c>
      <c r="R272" s="33" t="n">
        <f aca="false">Q272^2</f>
        <v>0.00185343228312739</v>
      </c>
      <c r="T272" s="26" t="n">
        <f aca="false">2*(O272-G272)*(1-O272)*O272</f>
        <v>0.00354727845922044</v>
      </c>
      <c r="U272" s="26" t="n">
        <f aca="false">2*(O272-G272)*(1-O272)*O272*C272</f>
        <v>0.0184458479879463</v>
      </c>
      <c r="V272" s="26" t="n">
        <f aca="false">2*(O272-G272)*(1-O272)*O272*D272</f>
        <v>0.0124154746072716</v>
      </c>
      <c r="W272" s="26" t="n">
        <f aca="false">2*(O272-G272)*(1-O272)*O272*E272</f>
        <v>0.00532091768883067</v>
      </c>
      <c r="X272" s="26" t="n">
        <f aca="false">2*(O272-G272)*(1-O272)*O272*F272</f>
        <v>0.000709455691844089</v>
      </c>
    </row>
    <row r="273" customFormat="false" ht="14.25" hidden="false" customHeight="true" outlineLevel="0" collapsed="false">
      <c r="A273" s="37"/>
      <c r="B273" s="34" t="n">
        <v>29</v>
      </c>
      <c r="C273" s="28" t="n">
        <v>5.2</v>
      </c>
      <c r="D273" s="28" t="n">
        <v>3.4</v>
      </c>
      <c r="E273" s="28" t="n">
        <v>1.4</v>
      </c>
      <c r="F273" s="28" t="n">
        <v>0.2</v>
      </c>
      <c r="G273" s="35" t="n">
        <v>0</v>
      </c>
      <c r="H273" s="1" t="n">
        <f aca="false">IF(G273=P273, 1, 0)</f>
        <v>1</v>
      </c>
      <c r="I273" s="34" t="n">
        <f aca="false">I272-0.1*T272</f>
        <v>0.227219237302025</v>
      </c>
      <c r="J273" s="36" t="n">
        <f aca="false">J272-0.1*U272</f>
        <v>-0.562068213909572</v>
      </c>
      <c r="K273" s="36" t="n">
        <f aca="false">K272-0.1*V272</f>
        <v>-0.479746205356958</v>
      </c>
      <c r="L273" s="36" t="n">
        <f aca="false">L272-0.1*W272</f>
        <v>0.746605243800129</v>
      </c>
      <c r="M273" s="36" t="n">
        <f aca="false">M272-0.1*X272</f>
        <v>0.691413458576653</v>
      </c>
      <c r="N273" s="31" t="n">
        <f aca="false">I273+J273*C273+K273*D273+L273*E273+F273*M273</f>
        <v>-3.1431425402059</v>
      </c>
      <c r="O273" s="31" t="n">
        <f aca="false">1/(1+EXP(-N273))</f>
        <v>0.0413623331484301</v>
      </c>
      <c r="P273" s="32" t="n">
        <f aca="false">IF(O273&gt;0.5,1,0)</f>
        <v>0</v>
      </c>
      <c r="Q273" s="32" t="n">
        <f aca="false">O273-G273</f>
        <v>0.0413623331484301</v>
      </c>
      <c r="R273" s="33" t="n">
        <f aca="false">Q273^2</f>
        <v>0.00171084260348172</v>
      </c>
      <c r="T273" s="26" t="n">
        <f aca="false">2*(O273-G273)*(1-O273)*O273</f>
        <v>0.00328015632350396</v>
      </c>
      <c r="U273" s="26" t="n">
        <f aca="false">2*(O273-G273)*(1-O273)*O273*C273</f>
        <v>0.0170568128822206</v>
      </c>
      <c r="V273" s="26" t="n">
        <f aca="false">2*(O273-G273)*(1-O273)*O273*D273</f>
        <v>0.0111525314999135</v>
      </c>
      <c r="W273" s="26" t="n">
        <f aca="false">2*(O273-G273)*(1-O273)*O273*E273</f>
        <v>0.00459221885290554</v>
      </c>
      <c r="X273" s="26" t="n">
        <f aca="false">2*(O273-G273)*(1-O273)*O273*F273</f>
        <v>0.000656031264700791</v>
      </c>
    </row>
    <row r="274" customFormat="false" ht="14.25" hidden="false" customHeight="true" outlineLevel="0" collapsed="false">
      <c r="A274" s="37"/>
      <c r="B274" s="34" t="n">
        <v>30</v>
      </c>
      <c r="C274" s="28" t="n">
        <v>4.7</v>
      </c>
      <c r="D274" s="28" t="n">
        <v>3.2</v>
      </c>
      <c r="E274" s="28" t="n">
        <v>1.6</v>
      </c>
      <c r="F274" s="28" t="n">
        <v>0.2</v>
      </c>
      <c r="G274" s="35" t="n">
        <v>0</v>
      </c>
      <c r="H274" s="1" t="n">
        <f aca="false">IF(G274=P274, 1, 0)</f>
        <v>1</v>
      </c>
      <c r="I274" s="34" t="n">
        <f aca="false">I273-0.1*T273</f>
        <v>0.226891221669675</v>
      </c>
      <c r="J274" s="36" t="n">
        <f aca="false">J273-0.1*U273</f>
        <v>-0.563773895197794</v>
      </c>
      <c r="K274" s="36" t="n">
        <f aca="false">K273-0.1*V273</f>
        <v>-0.480861458506949</v>
      </c>
      <c r="L274" s="36" t="n">
        <f aca="false">L273-0.1*W273</f>
        <v>0.746146021914838</v>
      </c>
      <c r="M274" s="36" t="n">
        <f aca="false">M273-0.1*X273</f>
        <v>0.691347855450183</v>
      </c>
      <c r="N274" s="31" t="n">
        <f aca="false">I274+J274*C274+K274*D274+L274*E274+F274*M274</f>
        <v>-2.62949954682842</v>
      </c>
      <c r="O274" s="31" t="n">
        <f aca="false">1/(1+EXP(-N274))</f>
        <v>0.0672638419294248</v>
      </c>
      <c r="P274" s="32" t="n">
        <f aca="false">IF(O274&gt;0.5,1,0)</f>
        <v>0</v>
      </c>
      <c r="Q274" s="32" t="n">
        <f aca="false">O274-G274</f>
        <v>0.0672638419294248</v>
      </c>
      <c r="R274" s="33" t="n">
        <f aca="false">Q274^2</f>
        <v>0.00452442443110665</v>
      </c>
      <c r="T274" s="26" t="n">
        <f aca="false">2*(O274-G274)*(1-O274)*O274</f>
        <v>0.00844018852270213</v>
      </c>
      <c r="U274" s="26" t="n">
        <f aca="false">2*(O274-G274)*(1-O274)*O274*C274</f>
        <v>0.0396688860567</v>
      </c>
      <c r="V274" s="26" t="n">
        <f aca="false">2*(O274-G274)*(1-O274)*O274*D274</f>
        <v>0.0270086032726468</v>
      </c>
      <c r="W274" s="26" t="n">
        <f aca="false">2*(O274-G274)*(1-O274)*O274*E274</f>
        <v>0.0135043016363234</v>
      </c>
      <c r="X274" s="26" t="n">
        <f aca="false">2*(O274-G274)*(1-O274)*O274*F274</f>
        <v>0.00168803770454043</v>
      </c>
    </row>
    <row r="275" customFormat="false" ht="14.25" hidden="false" customHeight="true" outlineLevel="0" collapsed="false">
      <c r="A275" s="37"/>
      <c r="B275" s="34" t="n">
        <v>31</v>
      </c>
      <c r="C275" s="28" t="n">
        <v>4.8</v>
      </c>
      <c r="D275" s="28" t="n">
        <v>3.1</v>
      </c>
      <c r="E275" s="28" t="n">
        <v>1.6</v>
      </c>
      <c r="F275" s="28" t="n">
        <v>0.2</v>
      </c>
      <c r="G275" s="35" t="n">
        <v>0</v>
      </c>
      <c r="H275" s="1" t="n">
        <f aca="false">IF(G275=P275, 1, 0)</f>
        <v>1</v>
      </c>
      <c r="I275" s="34" t="n">
        <f aca="false">I274-0.1*T274</f>
        <v>0.226047202817405</v>
      </c>
      <c r="J275" s="36" t="n">
        <f aca="false">J274-0.1*U274</f>
        <v>-0.567740783803464</v>
      </c>
      <c r="K275" s="36" t="n">
        <f aca="false">K274-0.1*V274</f>
        <v>-0.483562318834214</v>
      </c>
      <c r="L275" s="36" t="n">
        <f aca="false">L274-0.1*W274</f>
        <v>0.744795591751206</v>
      </c>
      <c r="M275" s="36" t="n">
        <f aca="false">M274-0.1*X274</f>
        <v>0.691179051679729</v>
      </c>
      <c r="N275" s="31" t="n">
        <f aca="false">I275+J275*C275+K275*D275+L275*E275+F275*M275</f>
        <v>-2.66824299068741</v>
      </c>
      <c r="O275" s="31" t="n">
        <f aca="false">1/(1+EXP(-N275))</f>
        <v>0.0648734759606787</v>
      </c>
      <c r="P275" s="32" t="n">
        <f aca="false">IF(O275&gt;0.5,1,0)</f>
        <v>0</v>
      </c>
      <c r="Q275" s="32" t="n">
        <f aca="false">O275-G275</f>
        <v>0.0648734759606787</v>
      </c>
      <c r="R275" s="33" t="n">
        <f aca="false">Q275^2</f>
        <v>0.00420856788322075</v>
      </c>
      <c r="T275" s="26" t="n">
        <f aca="false">2*(O275-G275)*(1-O275)*O275</f>
        <v>0.00787108691163949</v>
      </c>
      <c r="U275" s="26" t="n">
        <f aca="false">2*(O275-G275)*(1-O275)*O275*C275</f>
        <v>0.0377812171758696</v>
      </c>
      <c r="V275" s="26" t="n">
        <f aca="false">2*(O275-G275)*(1-O275)*O275*D275</f>
        <v>0.0244003694260824</v>
      </c>
      <c r="W275" s="26" t="n">
        <f aca="false">2*(O275-G275)*(1-O275)*O275*E275</f>
        <v>0.0125937390586232</v>
      </c>
      <c r="X275" s="26" t="n">
        <f aca="false">2*(O275-G275)*(1-O275)*O275*F275</f>
        <v>0.0015742173823279</v>
      </c>
    </row>
    <row r="276" customFormat="false" ht="14.25" hidden="false" customHeight="true" outlineLevel="0" collapsed="false">
      <c r="A276" s="37"/>
      <c r="B276" s="34" t="n">
        <v>32</v>
      </c>
      <c r="C276" s="28" t="n">
        <v>5.4</v>
      </c>
      <c r="D276" s="28" t="n">
        <v>3.4</v>
      </c>
      <c r="E276" s="28" t="n">
        <v>1.5</v>
      </c>
      <c r="F276" s="28" t="n">
        <v>0.4</v>
      </c>
      <c r="G276" s="35" t="n">
        <v>0</v>
      </c>
      <c r="H276" s="1" t="n">
        <f aca="false">IF(G276=P276, 1, 0)</f>
        <v>1</v>
      </c>
      <c r="I276" s="34" t="n">
        <f aca="false">I275-0.1*T275</f>
        <v>0.225260094126241</v>
      </c>
      <c r="J276" s="36" t="n">
        <f aca="false">J275-0.1*U275</f>
        <v>-0.571518905521051</v>
      </c>
      <c r="K276" s="36" t="n">
        <f aca="false">K275-0.1*V275</f>
        <v>-0.486002355776822</v>
      </c>
      <c r="L276" s="36" t="n">
        <f aca="false">L275-0.1*W275</f>
        <v>0.743536217845344</v>
      </c>
      <c r="M276" s="36" t="n">
        <f aca="false">M275-0.1*X275</f>
        <v>0.691021629941497</v>
      </c>
      <c r="N276" s="31" t="n">
        <f aca="false">I276+J276*C276+K276*D276+L276*E276+F276*M276</f>
        <v>-3.12163702658402</v>
      </c>
      <c r="O276" s="31" t="n">
        <f aca="false">1/(1+EXP(-N276))</f>
        <v>0.0422235197166819</v>
      </c>
      <c r="P276" s="32" t="n">
        <f aca="false">IF(O276&gt;0.5,1,0)</f>
        <v>0</v>
      </c>
      <c r="Q276" s="32" t="n">
        <f aca="false">O276-G276</f>
        <v>0.0422235197166819</v>
      </c>
      <c r="R276" s="33" t="n">
        <f aca="false">Q276^2</f>
        <v>0.00178282561726503</v>
      </c>
      <c r="T276" s="26" t="n">
        <f aca="false">2*(O276-G276)*(1-O276)*O276</f>
        <v>0.00341509688932606</v>
      </c>
      <c r="U276" s="26" t="n">
        <f aca="false">2*(O276-G276)*(1-O276)*O276*C276</f>
        <v>0.0184415232023607</v>
      </c>
      <c r="V276" s="26" t="n">
        <f aca="false">2*(O276-G276)*(1-O276)*O276*D276</f>
        <v>0.0116113294237086</v>
      </c>
      <c r="W276" s="26" t="n">
        <f aca="false">2*(O276-G276)*(1-O276)*O276*E276</f>
        <v>0.0051226453339891</v>
      </c>
      <c r="X276" s="26" t="n">
        <f aca="false">2*(O276-G276)*(1-O276)*O276*F276</f>
        <v>0.00136603875573043</v>
      </c>
    </row>
    <row r="277" customFormat="false" ht="14.25" hidden="false" customHeight="true" outlineLevel="0" collapsed="false">
      <c r="A277" s="37"/>
      <c r="B277" s="34" t="n">
        <v>33</v>
      </c>
      <c r="C277" s="28" t="n">
        <v>5.2</v>
      </c>
      <c r="D277" s="28" t="n">
        <v>4.1</v>
      </c>
      <c r="E277" s="28" t="n">
        <v>1.5</v>
      </c>
      <c r="F277" s="28" t="n">
        <v>0.1</v>
      </c>
      <c r="G277" s="35" t="n">
        <v>0</v>
      </c>
      <c r="H277" s="1" t="n">
        <f aca="false">IF(G277=P277, 1, 0)</f>
        <v>1</v>
      </c>
      <c r="I277" s="34" t="n">
        <f aca="false">I276-0.1*T276</f>
        <v>0.224918584437308</v>
      </c>
      <c r="J277" s="36" t="n">
        <f aca="false">J276-0.1*U276</f>
        <v>-0.573363057841287</v>
      </c>
      <c r="K277" s="36" t="n">
        <f aca="false">K276-0.1*V276</f>
        <v>-0.487163488719193</v>
      </c>
      <c r="L277" s="36" t="n">
        <f aca="false">L276-0.1*W276</f>
        <v>0.743023953311945</v>
      </c>
      <c r="M277" s="36" t="n">
        <f aca="false">M276-0.1*X276</f>
        <v>0.690885026065924</v>
      </c>
      <c r="N277" s="31" t="n">
        <f aca="false">I277+J277*C277+K277*D277+L277*E277+F277*M277</f>
        <v>-3.57031518751157</v>
      </c>
      <c r="O277" s="31" t="n">
        <f aca="false">1/(1+EXP(-N277))</f>
        <v>0.027376417218027</v>
      </c>
      <c r="P277" s="32" t="n">
        <f aca="false">IF(O277&gt;0.5,1,0)</f>
        <v>0</v>
      </c>
      <c r="Q277" s="32" t="n">
        <f aca="false">O277-G277</f>
        <v>0.027376417218027</v>
      </c>
      <c r="R277" s="33" t="n">
        <f aca="false">Q277^2</f>
        <v>0.000749468219695485</v>
      </c>
      <c r="T277" s="26" t="n">
        <f aca="false">2*(O277-G277)*(1-O277)*O277</f>
        <v>0.0014579009300429</v>
      </c>
      <c r="U277" s="26" t="n">
        <f aca="false">2*(O277-G277)*(1-O277)*O277*C277</f>
        <v>0.00758108483622308</v>
      </c>
      <c r="V277" s="26" t="n">
        <f aca="false">2*(O277-G277)*(1-O277)*O277*D277</f>
        <v>0.00597739381317589</v>
      </c>
      <c r="W277" s="26" t="n">
        <f aca="false">2*(O277-G277)*(1-O277)*O277*E277</f>
        <v>0.00218685139506435</v>
      </c>
      <c r="X277" s="26" t="n">
        <f aca="false">2*(O277-G277)*(1-O277)*O277*F277</f>
        <v>0.00014579009300429</v>
      </c>
    </row>
    <row r="278" customFormat="false" ht="14.25" hidden="false" customHeight="true" outlineLevel="0" collapsed="false">
      <c r="A278" s="37"/>
      <c r="B278" s="34" t="n">
        <v>34</v>
      </c>
      <c r="C278" s="28" t="n">
        <v>5.5</v>
      </c>
      <c r="D278" s="28" t="n">
        <v>4.2</v>
      </c>
      <c r="E278" s="28" t="n">
        <v>1.4</v>
      </c>
      <c r="F278" s="28" t="n">
        <v>0.2</v>
      </c>
      <c r="G278" s="35" t="n">
        <v>0</v>
      </c>
      <c r="H278" s="1" t="n">
        <f aca="false">IF(G278=P278, 1, 0)</f>
        <v>1</v>
      </c>
      <c r="I278" s="34" t="n">
        <f aca="false">I277-0.1*T277</f>
        <v>0.224772794344304</v>
      </c>
      <c r="J278" s="36" t="n">
        <f aca="false">J277-0.1*U277</f>
        <v>-0.57412116632491</v>
      </c>
      <c r="K278" s="36" t="n">
        <f aca="false">K277-0.1*V277</f>
        <v>-0.487761228100511</v>
      </c>
      <c r="L278" s="36" t="n">
        <f aca="false">L277-0.1*W277</f>
        <v>0.742805268172438</v>
      </c>
      <c r="M278" s="36" t="n">
        <f aca="false">M277-0.1*X277</f>
        <v>0.690870447056623</v>
      </c>
      <c r="N278" s="31" t="n">
        <f aca="false">I278+J278*C278+K278*D278+L278*E278+F278*M278</f>
        <v>-3.80338931361211</v>
      </c>
      <c r="O278" s="31" t="n">
        <f aca="false">1/(1+EXP(-N278))</f>
        <v>0.0218088486454604</v>
      </c>
      <c r="P278" s="32" t="n">
        <f aca="false">IF(O278&gt;0.5,1,0)</f>
        <v>0</v>
      </c>
      <c r="Q278" s="32" t="n">
        <f aca="false">O278-G278</f>
        <v>0.0218088486454604</v>
      </c>
      <c r="R278" s="33" t="n">
        <f aca="false">Q278^2</f>
        <v>0.000475625879240601</v>
      </c>
      <c r="T278" s="26" t="n">
        <f aca="false">2*(O278-G278)*(1-O278)*O278</f>
        <v>0.000930506052856756</v>
      </c>
      <c r="U278" s="26" t="n">
        <f aca="false">2*(O278-G278)*(1-O278)*O278*C278</f>
        <v>0.00511778329071216</v>
      </c>
      <c r="V278" s="26" t="n">
        <f aca="false">2*(O278-G278)*(1-O278)*O278*D278</f>
        <v>0.00390812542199838</v>
      </c>
      <c r="W278" s="26" t="n">
        <f aca="false">2*(O278-G278)*(1-O278)*O278*E278</f>
        <v>0.00130270847399946</v>
      </c>
      <c r="X278" s="26" t="n">
        <f aca="false">2*(O278-G278)*(1-O278)*O278*F278</f>
        <v>0.000186101210571351</v>
      </c>
    </row>
    <row r="279" customFormat="false" ht="14.25" hidden="false" customHeight="true" outlineLevel="0" collapsed="false">
      <c r="A279" s="37"/>
      <c r="B279" s="34" t="n">
        <v>35</v>
      </c>
      <c r="C279" s="28" t="n">
        <v>4.9</v>
      </c>
      <c r="D279" s="28" t="n">
        <v>3.1</v>
      </c>
      <c r="E279" s="28" t="n">
        <v>1.5</v>
      </c>
      <c r="F279" s="28" t="n">
        <v>0.1</v>
      </c>
      <c r="G279" s="35" t="n">
        <v>0</v>
      </c>
      <c r="H279" s="1" t="n">
        <f aca="false">IF(G279=P279, 1, 0)</f>
        <v>1</v>
      </c>
      <c r="I279" s="34" t="n">
        <f aca="false">I278-0.1*T278</f>
        <v>0.224679743739018</v>
      </c>
      <c r="J279" s="36" t="n">
        <f aca="false">J278-0.1*U278</f>
        <v>-0.574632944653981</v>
      </c>
      <c r="K279" s="36" t="n">
        <f aca="false">K278-0.1*V278</f>
        <v>-0.48815204064271</v>
      </c>
      <c r="L279" s="36" t="n">
        <f aca="false">L278-0.1*W278</f>
        <v>0.742674997325038</v>
      </c>
      <c r="M279" s="36" t="n">
        <f aca="false">M278-0.1*X278</f>
        <v>0.690851836935566</v>
      </c>
      <c r="N279" s="31" t="n">
        <f aca="false">I279+J279*C279+K279*D279+L279*E279+F279*M279</f>
        <v>-2.92119533137678</v>
      </c>
      <c r="O279" s="31" t="n">
        <f aca="false">1/(1+EXP(-N279))</f>
        <v>0.0511156927860185</v>
      </c>
      <c r="P279" s="32" t="n">
        <f aca="false">IF(O279&gt;0.5,1,0)</f>
        <v>0</v>
      </c>
      <c r="Q279" s="32" t="n">
        <f aca="false">O279-G279</f>
        <v>0.0511156927860185</v>
      </c>
      <c r="R279" s="33" t="n">
        <f aca="false">Q279^2</f>
        <v>0.00261281404899463</v>
      </c>
      <c r="T279" s="26" t="n">
        <f aca="false">2*(O279-G279)*(1-O279)*O279</f>
        <v>0.00495851649751845</v>
      </c>
      <c r="U279" s="26" t="n">
        <f aca="false">2*(O279-G279)*(1-O279)*O279*C279</f>
        <v>0.0242967308378404</v>
      </c>
      <c r="V279" s="26" t="n">
        <f aca="false">2*(O279-G279)*(1-O279)*O279*D279</f>
        <v>0.0153714011423072</v>
      </c>
      <c r="W279" s="26" t="n">
        <f aca="false">2*(O279-G279)*(1-O279)*O279*E279</f>
        <v>0.00743777474627767</v>
      </c>
      <c r="X279" s="26" t="n">
        <f aca="false">2*(O279-G279)*(1-O279)*O279*F279</f>
        <v>0.000495851649751845</v>
      </c>
    </row>
    <row r="280" customFormat="false" ht="14.25" hidden="false" customHeight="true" outlineLevel="0" collapsed="false">
      <c r="A280" s="37"/>
      <c r="B280" s="34" t="n">
        <v>36</v>
      </c>
      <c r="C280" s="28" t="n">
        <v>5</v>
      </c>
      <c r="D280" s="28" t="n">
        <v>3.2</v>
      </c>
      <c r="E280" s="28" t="n">
        <v>1.2</v>
      </c>
      <c r="F280" s="28" t="n">
        <v>0.2</v>
      </c>
      <c r="G280" s="35" t="n">
        <v>0</v>
      </c>
      <c r="H280" s="1" t="n">
        <f aca="false">IF(G280=P280, 1, 0)</f>
        <v>1</v>
      </c>
      <c r="I280" s="34" t="n">
        <f aca="false">I279-0.1*T279</f>
        <v>0.224183892089266</v>
      </c>
      <c r="J280" s="36" t="n">
        <f aca="false">J279-0.1*U279</f>
        <v>-0.577062617737765</v>
      </c>
      <c r="K280" s="36" t="n">
        <f aca="false">K279-0.1*V279</f>
        <v>-0.489689180756941</v>
      </c>
      <c r="L280" s="36" t="n">
        <f aca="false">L279-0.1*W279</f>
        <v>0.741931219850411</v>
      </c>
      <c r="M280" s="36" t="n">
        <f aca="false">M279-0.1*X279</f>
        <v>0.690802251770591</v>
      </c>
      <c r="N280" s="31" t="n">
        <f aca="false">I280+J280*C280+K280*D280+L280*E280+F280*M280</f>
        <v>-3.19965666084716</v>
      </c>
      <c r="O280" s="31" t="n">
        <f aca="false">1/(1+EXP(-N280))</f>
        <v>0.0391786453009404</v>
      </c>
      <c r="P280" s="32" t="n">
        <f aca="false">IF(O280&gt;0.5,1,0)</f>
        <v>0</v>
      </c>
      <c r="Q280" s="32" t="n">
        <f aca="false">O280-G280</f>
        <v>0.0391786453009404</v>
      </c>
      <c r="R280" s="33" t="n">
        <f aca="false">Q280^2</f>
        <v>0.0015349662476169</v>
      </c>
      <c r="T280" s="26" t="n">
        <f aca="false">2*(O280-G280)*(1-O280)*O280</f>
        <v>0.0029496566989052</v>
      </c>
      <c r="U280" s="26" t="n">
        <f aca="false">2*(O280-G280)*(1-O280)*O280*C280</f>
        <v>0.014748283494526</v>
      </c>
      <c r="V280" s="26" t="n">
        <f aca="false">2*(O280-G280)*(1-O280)*O280*D280</f>
        <v>0.00943890143649665</v>
      </c>
      <c r="W280" s="26" t="n">
        <f aca="false">2*(O280-G280)*(1-O280)*O280*E280</f>
        <v>0.00353958803868624</v>
      </c>
      <c r="X280" s="26" t="n">
        <f aca="false">2*(O280-G280)*(1-O280)*O280*F280</f>
        <v>0.000589931339781041</v>
      </c>
    </row>
    <row r="281" customFormat="false" ht="14.25" hidden="false" customHeight="true" outlineLevel="0" collapsed="false">
      <c r="A281" s="37"/>
      <c r="B281" s="34" t="n">
        <v>37</v>
      </c>
      <c r="C281" s="28" t="n">
        <v>5.5</v>
      </c>
      <c r="D281" s="28" t="n">
        <v>3.5</v>
      </c>
      <c r="E281" s="28" t="n">
        <v>1.3</v>
      </c>
      <c r="F281" s="28" t="n">
        <v>0.2</v>
      </c>
      <c r="G281" s="35" t="n">
        <v>0</v>
      </c>
      <c r="H281" s="1" t="n">
        <f aca="false">IF(G281=P281, 1, 0)</f>
        <v>1</v>
      </c>
      <c r="I281" s="34" t="n">
        <f aca="false">I280-0.1*T280</f>
        <v>0.223888926419376</v>
      </c>
      <c r="J281" s="36" t="n">
        <f aca="false">J280-0.1*U280</f>
        <v>-0.578537446087218</v>
      </c>
      <c r="K281" s="36" t="n">
        <f aca="false">K280-0.1*V280</f>
        <v>-0.490633070900591</v>
      </c>
      <c r="L281" s="36" t="n">
        <f aca="false">L280-0.1*W280</f>
        <v>0.741577261046542</v>
      </c>
      <c r="M281" s="36" t="n">
        <f aca="false">M280-0.1*X280</f>
        <v>0.690743258636613</v>
      </c>
      <c r="N281" s="31" t="n">
        <f aca="false">I281+J281*C281+K281*D281+L281*E281+F281*M281</f>
        <v>-3.57308368412456</v>
      </c>
      <c r="O281" s="31" t="n">
        <f aca="false">1/(1+EXP(-N281))</f>
        <v>0.0273027969758387</v>
      </c>
      <c r="P281" s="32" t="n">
        <f aca="false">IF(O281&gt;0.5,1,0)</f>
        <v>0</v>
      </c>
      <c r="Q281" s="32" t="n">
        <f aca="false">O281-G281</f>
        <v>0.0273027969758387</v>
      </c>
      <c r="R281" s="33" t="n">
        <f aca="false">Q281^2</f>
        <v>0.000745442722703867</v>
      </c>
      <c r="T281" s="26" t="n">
        <f aca="false">2*(O281-G281)*(1-O281)*O281</f>
        <v>0.00145018010277753</v>
      </c>
      <c r="U281" s="26" t="n">
        <f aca="false">2*(O281-G281)*(1-O281)*O281*C281</f>
        <v>0.00797599056527643</v>
      </c>
      <c r="V281" s="26" t="n">
        <f aca="false">2*(O281-G281)*(1-O281)*O281*D281</f>
        <v>0.00507563035972137</v>
      </c>
      <c r="W281" s="26" t="n">
        <f aca="false">2*(O281-G281)*(1-O281)*O281*E281</f>
        <v>0.00188523413361079</v>
      </c>
      <c r="X281" s="26" t="n">
        <f aca="false">2*(O281-G281)*(1-O281)*O281*F281</f>
        <v>0.000290036020555507</v>
      </c>
    </row>
    <row r="282" customFormat="false" ht="14.25" hidden="false" customHeight="true" outlineLevel="0" collapsed="false">
      <c r="A282" s="37"/>
      <c r="B282" s="34" t="n">
        <v>38</v>
      </c>
      <c r="C282" s="28" t="n">
        <v>4.9</v>
      </c>
      <c r="D282" s="28" t="n">
        <v>3.1</v>
      </c>
      <c r="E282" s="28" t="n">
        <v>1.5</v>
      </c>
      <c r="F282" s="28" t="n">
        <v>0.1</v>
      </c>
      <c r="G282" s="35" t="n">
        <v>0</v>
      </c>
      <c r="H282" s="1" t="n">
        <f aca="false">IF(G282=P282, 1, 0)</f>
        <v>1</v>
      </c>
      <c r="I282" s="34" t="n">
        <f aca="false">I281-0.1*T281</f>
        <v>0.223743908409098</v>
      </c>
      <c r="J282" s="36" t="n">
        <f aca="false">J281-0.1*U281</f>
        <v>-0.579335045143745</v>
      </c>
      <c r="K282" s="36" t="n">
        <f aca="false">K281-0.1*V281</f>
        <v>-0.491140633936563</v>
      </c>
      <c r="L282" s="36" t="n">
        <f aca="false">L281-0.1*W281</f>
        <v>0.741388737633181</v>
      </c>
      <c r="M282" s="36" t="n">
        <f aca="false">M281-0.1*X281</f>
        <v>0.690714255034557</v>
      </c>
      <c r="N282" s="31" t="n">
        <f aca="false">I282+J282*C282+K282*D282+L282*E282+F282*M282</f>
        <v>-2.95637924604537</v>
      </c>
      <c r="O282" s="31" t="n">
        <f aca="false">1/(1+EXP(-N282))</f>
        <v>0.0494358751361494</v>
      </c>
      <c r="P282" s="32" t="n">
        <f aca="false">IF(O282&gt;0.5,1,0)</f>
        <v>0</v>
      </c>
      <c r="Q282" s="32" t="n">
        <f aca="false">O282-G282</f>
        <v>0.0494358751361494</v>
      </c>
      <c r="R282" s="33" t="n">
        <f aca="false">Q282^2</f>
        <v>0.00244390575047695</v>
      </c>
      <c r="T282" s="26" t="n">
        <f aca="false">2*(O282-G282)*(1-O282)*O282</f>
        <v>0.00464617826190372</v>
      </c>
      <c r="U282" s="26" t="n">
        <f aca="false">2*(O282-G282)*(1-O282)*O282*C282</f>
        <v>0.0227662734833282</v>
      </c>
      <c r="V282" s="26" t="n">
        <f aca="false">2*(O282-G282)*(1-O282)*O282*D282</f>
        <v>0.0144031526119015</v>
      </c>
      <c r="W282" s="26" t="n">
        <f aca="false">2*(O282-G282)*(1-O282)*O282*E282</f>
        <v>0.00696926739285558</v>
      </c>
      <c r="X282" s="26" t="n">
        <f aca="false">2*(O282-G282)*(1-O282)*O282*F282</f>
        <v>0.000464617826190372</v>
      </c>
    </row>
    <row r="283" customFormat="false" ht="14.25" hidden="false" customHeight="true" outlineLevel="0" collapsed="false">
      <c r="A283" s="37"/>
      <c r="B283" s="34" t="n">
        <v>39</v>
      </c>
      <c r="C283" s="28" t="n">
        <v>4.4</v>
      </c>
      <c r="D283" s="28" t="n">
        <v>3</v>
      </c>
      <c r="E283" s="28" t="n">
        <v>1.3</v>
      </c>
      <c r="F283" s="28" t="n">
        <v>0.2</v>
      </c>
      <c r="G283" s="35" t="n">
        <v>0</v>
      </c>
      <c r="H283" s="1" t="n">
        <f aca="false">IF(G283=P283, 1, 0)</f>
        <v>1</v>
      </c>
      <c r="I283" s="34" t="n">
        <f aca="false">I282-0.1*T282</f>
        <v>0.223279290582908</v>
      </c>
      <c r="J283" s="36" t="n">
        <f aca="false">J282-0.1*U282</f>
        <v>-0.581611672492078</v>
      </c>
      <c r="K283" s="36" t="n">
        <f aca="false">K282-0.1*V282</f>
        <v>-0.492580949197753</v>
      </c>
      <c r="L283" s="36" t="n">
        <f aca="false">L282-0.1*W282</f>
        <v>0.740691810893896</v>
      </c>
      <c r="M283" s="36" t="n">
        <f aca="false">M282-0.1*X282</f>
        <v>0.690667793251938</v>
      </c>
      <c r="N283" s="31" t="n">
        <f aca="false">I283+J283*C283+K283*D283+L283*E283+F283*M283</f>
        <v>-2.71252200316304</v>
      </c>
      <c r="O283" s="31" t="n">
        <f aca="false">1/(1+EXP(-N283))</f>
        <v>0.0622384924007506</v>
      </c>
      <c r="P283" s="32" t="n">
        <f aca="false">IF(O283&gt;0.5,1,0)</f>
        <v>0</v>
      </c>
      <c r="Q283" s="32" t="n">
        <f aca="false">O283-G283</f>
        <v>0.0622384924007506</v>
      </c>
      <c r="R283" s="33" t="n">
        <f aca="false">Q283^2</f>
        <v>0.00387362993631829</v>
      </c>
      <c r="T283" s="26" t="n">
        <f aca="false">2*(O283-G283)*(1-O283)*O283</f>
        <v>0.00726508209792685</v>
      </c>
      <c r="U283" s="26" t="n">
        <f aca="false">2*(O283-G283)*(1-O283)*O283*C283</f>
        <v>0.0319663612308781</v>
      </c>
      <c r="V283" s="26" t="n">
        <f aca="false">2*(O283-G283)*(1-O283)*O283*D283</f>
        <v>0.0217952462937805</v>
      </c>
      <c r="W283" s="26" t="n">
        <f aca="false">2*(O283-G283)*(1-O283)*O283*E283</f>
        <v>0.0094446067273049</v>
      </c>
      <c r="X283" s="26" t="n">
        <f aca="false">2*(O283-G283)*(1-O283)*O283*F283</f>
        <v>0.00145301641958537</v>
      </c>
    </row>
    <row r="284" customFormat="false" ht="14.25" hidden="false" customHeight="true" outlineLevel="0" collapsed="false">
      <c r="A284" s="37"/>
      <c r="B284" s="34" t="n">
        <v>40</v>
      </c>
      <c r="C284" s="28" t="n">
        <v>5.1</v>
      </c>
      <c r="D284" s="28" t="n">
        <v>3.4</v>
      </c>
      <c r="E284" s="28" t="n">
        <v>1.5</v>
      </c>
      <c r="F284" s="28" t="n">
        <v>0.2</v>
      </c>
      <c r="G284" s="35" t="n">
        <v>0</v>
      </c>
      <c r="H284" s="1" t="n">
        <f aca="false">IF(G284=P284, 1, 0)</f>
        <v>1</v>
      </c>
      <c r="I284" s="34" t="n">
        <f aca="false">I283-0.1*T283</f>
        <v>0.222552782373115</v>
      </c>
      <c r="J284" s="36" t="n">
        <f aca="false">J283-0.1*U283</f>
        <v>-0.584808308615166</v>
      </c>
      <c r="K284" s="36" t="n">
        <f aca="false">K283-0.1*V283</f>
        <v>-0.494760473827131</v>
      </c>
      <c r="L284" s="36" t="n">
        <f aca="false">L283-0.1*W283</f>
        <v>0.739747350221165</v>
      </c>
      <c r="M284" s="36" t="n">
        <f aca="false">M283-0.1*X283</f>
        <v>0.69052249160998</v>
      </c>
      <c r="N284" s="31" t="n">
        <f aca="false">I284+J284*C284+K284*D284+L284*E284+F284*M284</f>
        <v>-3.19442967892273</v>
      </c>
      <c r="O284" s="31" t="n">
        <f aca="false">1/(1+EXP(-N284))</f>
        <v>0.0393758827687086</v>
      </c>
      <c r="P284" s="32" t="n">
        <f aca="false">IF(O284&gt;0.5,1,0)</f>
        <v>0</v>
      </c>
      <c r="Q284" s="32" t="n">
        <f aca="false">O284-G284</f>
        <v>0.0393758827687086</v>
      </c>
      <c r="R284" s="33" t="n">
        <f aca="false">Q284^2</f>
        <v>0.00155046014381509</v>
      </c>
      <c r="T284" s="26" t="n">
        <f aca="false">2*(O284-G284)*(1-O284)*O284</f>
        <v>0.00297881881390934</v>
      </c>
      <c r="U284" s="26" t="n">
        <f aca="false">2*(O284-G284)*(1-O284)*O284*C284</f>
        <v>0.0151919759509376</v>
      </c>
      <c r="V284" s="26" t="n">
        <f aca="false">2*(O284-G284)*(1-O284)*O284*D284</f>
        <v>0.0101279839672917</v>
      </c>
      <c r="W284" s="26" t="n">
        <f aca="false">2*(O284-G284)*(1-O284)*O284*E284</f>
        <v>0.00446822822086401</v>
      </c>
      <c r="X284" s="26" t="n">
        <f aca="false">2*(O284-G284)*(1-O284)*O284*F284</f>
        <v>0.000595763762781867</v>
      </c>
    </row>
    <row r="285" customFormat="false" ht="14.25" hidden="false" customHeight="true" outlineLevel="0" collapsed="false">
      <c r="A285" s="37"/>
      <c r="B285" s="34" t="n">
        <v>41</v>
      </c>
      <c r="C285" s="28" t="n">
        <v>7</v>
      </c>
      <c r="D285" s="28" t="n">
        <v>3.2</v>
      </c>
      <c r="E285" s="28" t="n">
        <v>4.7</v>
      </c>
      <c r="F285" s="28" t="n">
        <v>1.4</v>
      </c>
      <c r="G285" s="35" t="n">
        <v>1</v>
      </c>
      <c r="H285" s="1" t="n">
        <f aca="false">IF(G285=P285, 1, 0)</f>
        <v>0</v>
      </c>
      <c r="I285" s="34" t="n">
        <f aca="false">I284-0.1*T284</f>
        <v>0.222254900491724</v>
      </c>
      <c r="J285" s="36" t="n">
        <f aca="false">J284-0.1*U284</f>
        <v>-0.58632750621026</v>
      </c>
      <c r="K285" s="36" t="n">
        <f aca="false">K284-0.1*V284</f>
        <v>-0.49577327222386</v>
      </c>
      <c r="L285" s="36" t="n">
        <f aca="false">L284-0.1*W284</f>
        <v>0.739300527399079</v>
      </c>
      <c r="M285" s="36" t="n">
        <f aca="false">M284-0.1*X284</f>
        <v>0.690462915233701</v>
      </c>
      <c r="N285" s="31" t="n">
        <f aca="false">I285+J285*C285+K285*D285+L285*E285+F285*M285</f>
        <v>-1.0271515539936</v>
      </c>
      <c r="O285" s="31" t="n">
        <f aca="false">1/(1+EXP(-N285))</f>
        <v>0.263636707384968</v>
      </c>
      <c r="P285" s="32" t="n">
        <f aca="false">IF(O285&gt;0.5,1,0)</f>
        <v>0</v>
      </c>
      <c r="Q285" s="32" t="n">
        <f aca="false">O285-G285</f>
        <v>-0.736363292615032</v>
      </c>
      <c r="R285" s="33" t="n">
        <f aca="false">Q285^2</f>
        <v>0.542230898710851</v>
      </c>
      <c r="T285" s="26" t="n">
        <f aca="false">2*(O285-G285)*(1-O285)*O285</f>
        <v>-0.285903937557042</v>
      </c>
      <c r="U285" s="26" t="n">
        <f aca="false">2*(O285-G285)*(1-O285)*O285*C285</f>
        <v>-2.00132756289929</v>
      </c>
      <c r="V285" s="26" t="n">
        <f aca="false">2*(O285-G285)*(1-O285)*O285*D285</f>
        <v>-0.914892600182534</v>
      </c>
      <c r="W285" s="26" t="n">
        <f aca="false">2*(O285-G285)*(1-O285)*O285*E285</f>
        <v>-1.3437485065181</v>
      </c>
      <c r="X285" s="26" t="n">
        <f aca="false">2*(O285-G285)*(1-O285)*O285*F285</f>
        <v>-0.400265512579859</v>
      </c>
    </row>
    <row r="286" customFormat="false" ht="14.25" hidden="false" customHeight="true" outlineLevel="0" collapsed="false">
      <c r="A286" s="37"/>
      <c r="B286" s="34" t="n">
        <v>42</v>
      </c>
      <c r="C286" s="28" t="n">
        <v>6.4</v>
      </c>
      <c r="D286" s="28" t="n">
        <v>3.2</v>
      </c>
      <c r="E286" s="28" t="n">
        <v>4.5</v>
      </c>
      <c r="F286" s="28" t="n">
        <v>1.5</v>
      </c>
      <c r="G286" s="35" t="n">
        <v>1</v>
      </c>
      <c r="H286" s="1" t="n">
        <f aca="false">IF(G286=P286, 1, 0)</f>
        <v>1</v>
      </c>
      <c r="I286" s="34" t="n">
        <f aca="false">I285-0.1*T285</f>
        <v>0.250845294247428</v>
      </c>
      <c r="J286" s="36" t="n">
        <f aca="false">J285-0.1*U285</f>
        <v>-0.38619474992033</v>
      </c>
      <c r="K286" s="36" t="n">
        <f aca="false">K285-0.1*V285</f>
        <v>-0.404284012205607</v>
      </c>
      <c r="L286" s="36" t="n">
        <f aca="false">L285-0.1*W285</f>
        <v>0.873675378050888</v>
      </c>
      <c r="M286" s="36" t="n">
        <f aca="false">M285-0.1*X285</f>
        <v>0.730489466491687</v>
      </c>
      <c r="N286" s="31" t="n">
        <f aca="false">I286+J286*C286+K286*D286+L286*E286+F286*M286</f>
        <v>1.5127634566659</v>
      </c>
      <c r="O286" s="31" t="n">
        <f aca="false">1/(1+EXP(-N286))</f>
        <v>0.81947038993534</v>
      </c>
      <c r="P286" s="32" t="n">
        <f aca="false">IF(O286&gt;0.5,1,0)</f>
        <v>1</v>
      </c>
      <c r="Q286" s="32" t="n">
        <f aca="false">O286-G286</f>
        <v>-0.18052961006466</v>
      </c>
      <c r="R286" s="33" t="n">
        <f aca="false">Q286^2</f>
        <v>0.0325909401100983</v>
      </c>
      <c r="T286" s="26" t="n">
        <f aca="false">2*(O286-G286)*(1-O286)*O286</f>
        <v>-0.053414620800763</v>
      </c>
      <c r="U286" s="26" t="n">
        <f aca="false">2*(O286-G286)*(1-O286)*O286*C286</f>
        <v>-0.341853573124883</v>
      </c>
      <c r="V286" s="26" t="n">
        <f aca="false">2*(O286-G286)*(1-O286)*O286*D286</f>
        <v>-0.170926786562442</v>
      </c>
      <c r="W286" s="26" t="n">
        <f aca="false">2*(O286-G286)*(1-O286)*O286*E286</f>
        <v>-0.240365793603434</v>
      </c>
      <c r="X286" s="26" t="n">
        <f aca="false">2*(O286-G286)*(1-O286)*O286*F286</f>
        <v>-0.0801219312011446</v>
      </c>
    </row>
    <row r="287" customFormat="false" ht="14.25" hidden="false" customHeight="true" outlineLevel="0" collapsed="false">
      <c r="A287" s="37"/>
      <c r="B287" s="34" t="n">
        <v>43</v>
      </c>
      <c r="C287" s="28" t="n">
        <v>6.9</v>
      </c>
      <c r="D287" s="28" t="n">
        <v>3.1</v>
      </c>
      <c r="E287" s="28" t="n">
        <v>4.9</v>
      </c>
      <c r="F287" s="28" t="n">
        <v>1.5</v>
      </c>
      <c r="G287" s="35" t="n">
        <v>1</v>
      </c>
      <c r="H287" s="1" t="n">
        <f aca="false">IF(G287=P287, 1, 0)</f>
        <v>1</v>
      </c>
      <c r="I287" s="34" t="n">
        <f aca="false">I286-0.1*T286</f>
        <v>0.256186756327504</v>
      </c>
      <c r="J287" s="36" t="n">
        <f aca="false">J286-0.1*U286</f>
        <v>-0.352009392607842</v>
      </c>
      <c r="K287" s="36" t="n">
        <f aca="false">K286-0.1*V286</f>
        <v>-0.387191333549363</v>
      </c>
      <c r="L287" s="36" t="n">
        <f aca="false">L286-0.1*W286</f>
        <v>0.897711957411232</v>
      </c>
      <c r="M287" s="36" t="n">
        <f aca="false">M286-0.1*X286</f>
        <v>0.738501659611802</v>
      </c>
      <c r="N287" s="31" t="n">
        <f aca="false">I287+J287*C287+K287*D287+L287*E287+F287*M287</f>
        <v>2.13356989406311</v>
      </c>
      <c r="O287" s="31" t="n">
        <f aca="false">1/(1+EXP(-N287))</f>
        <v>0.894123434280123</v>
      </c>
      <c r="P287" s="32" t="n">
        <f aca="false">IF(O287&gt;0.5,1,0)</f>
        <v>1</v>
      </c>
      <c r="Q287" s="32" t="n">
        <f aca="false">O287-G287</f>
        <v>-0.105876565719877</v>
      </c>
      <c r="R287" s="33" t="n">
        <f aca="false">Q287^2</f>
        <v>0.0112098471686354</v>
      </c>
      <c r="T287" s="26" t="n">
        <f aca="false">2*(O287-G287)*(1-O287)*O287</f>
        <v>-0.0200459740963513</v>
      </c>
      <c r="U287" s="26" t="n">
        <f aca="false">2*(O287-G287)*(1-O287)*O287*C287</f>
        <v>-0.138317221264824</v>
      </c>
      <c r="V287" s="26" t="n">
        <f aca="false">2*(O287-G287)*(1-O287)*O287*D287</f>
        <v>-0.0621425196986889</v>
      </c>
      <c r="W287" s="26" t="n">
        <f aca="false">2*(O287-G287)*(1-O287)*O287*E287</f>
        <v>-0.0982252730721212</v>
      </c>
      <c r="X287" s="26" t="n">
        <f aca="false">2*(O287-G287)*(1-O287)*O287*F287</f>
        <v>-0.0300689611445269</v>
      </c>
    </row>
    <row r="288" customFormat="false" ht="14.25" hidden="false" customHeight="true" outlineLevel="0" collapsed="false">
      <c r="A288" s="37"/>
      <c r="B288" s="34" t="n">
        <v>44</v>
      </c>
      <c r="C288" s="28" t="n">
        <v>5.5</v>
      </c>
      <c r="D288" s="28" t="n">
        <v>2.3</v>
      </c>
      <c r="E288" s="28" t="n">
        <v>4</v>
      </c>
      <c r="F288" s="28" t="n">
        <v>1.3</v>
      </c>
      <c r="G288" s="35" t="n">
        <v>1</v>
      </c>
      <c r="H288" s="1" t="n">
        <f aca="false">IF(G288=P288, 1, 0)</f>
        <v>1</v>
      </c>
      <c r="I288" s="34" t="n">
        <f aca="false">I287-0.1*T287</f>
        <v>0.25819135373714</v>
      </c>
      <c r="J288" s="36" t="n">
        <f aca="false">J287-0.1*U287</f>
        <v>-0.33817767048136</v>
      </c>
      <c r="K288" s="36" t="n">
        <f aca="false">K287-0.1*V287</f>
        <v>-0.380977081579494</v>
      </c>
      <c r="L288" s="36" t="n">
        <f aca="false">L287-0.1*W287</f>
        <v>0.907534484718444</v>
      </c>
      <c r="M288" s="36" t="n">
        <f aca="false">M287-0.1*X287</f>
        <v>0.741508555726254</v>
      </c>
      <c r="N288" s="31" t="n">
        <f aca="false">I288+J288*C288+K288*D288+L288*E288+F288*M288</f>
        <v>2.11606593977473</v>
      </c>
      <c r="O288" s="31" t="n">
        <f aca="false">1/(1+EXP(-N288))</f>
        <v>0.892454924386563</v>
      </c>
      <c r="P288" s="32" t="n">
        <f aca="false">IF(O288&gt;0.5,1,0)</f>
        <v>1</v>
      </c>
      <c r="Q288" s="32" t="n">
        <f aca="false">O288-G288</f>
        <v>-0.107545075613437</v>
      </c>
      <c r="R288" s="33" t="n">
        <f aca="false">Q288^2</f>
        <v>0.0115659432886999</v>
      </c>
      <c r="T288" s="26" t="n">
        <f aca="false">2*(O288-G288)*(1-O288)*O288</f>
        <v>-0.0206441660863519</v>
      </c>
      <c r="U288" s="26" t="n">
        <f aca="false">2*(O288-G288)*(1-O288)*O288*C288</f>
        <v>-0.113542913474935</v>
      </c>
      <c r="V288" s="26" t="n">
        <f aca="false">2*(O288-G288)*(1-O288)*O288*D288</f>
        <v>-0.0474815819986093</v>
      </c>
      <c r="W288" s="26" t="n">
        <f aca="false">2*(O288-G288)*(1-O288)*O288*E288</f>
        <v>-0.0825766643454075</v>
      </c>
      <c r="X288" s="26" t="n">
        <f aca="false">2*(O288-G288)*(1-O288)*O288*F288</f>
        <v>-0.0268374159122574</v>
      </c>
    </row>
    <row r="289" customFormat="false" ht="14.25" hidden="false" customHeight="true" outlineLevel="0" collapsed="false">
      <c r="A289" s="37"/>
      <c r="B289" s="34" t="n">
        <v>45</v>
      </c>
      <c r="C289" s="28" t="n">
        <v>6.5</v>
      </c>
      <c r="D289" s="28" t="n">
        <v>2.8</v>
      </c>
      <c r="E289" s="28" t="n">
        <v>4.6</v>
      </c>
      <c r="F289" s="28" t="n">
        <v>1.5</v>
      </c>
      <c r="G289" s="35" t="n">
        <v>1</v>
      </c>
      <c r="H289" s="1" t="n">
        <f aca="false">IF(G289=P289, 1, 0)</f>
        <v>1</v>
      </c>
      <c r="I289" s="34" t="n">
        <f aca="false">I288-0.1*T288</f>
        <v>0.260255770345775</v>
      </c>
      <c r="J289" s="36" t="n">
        <f aca="false">J288-0.1*U288</f>
        <v>-0.326823379133866</v>
      </c>
      <c r="K289" s="36" t="n">
        <f aca="false">K288-0.1*V288</f>
        <v>-0.376228923379633</v>
      </c>
      <c r="L289" s="36" t="n">
        <f aca="false">L288-0.1*W288</f>
        <v>0.915792151152984</v>
      </c>
      <c r="M289" s="36" t="n">
        <f aca="false">M288-0.1*X288</f>
        <v>0.74419229731748</v>
      </c>
      <c r="N289" s="31" t="n">
        <f aca="false">I289+J289*C289+K289*D289+L289*E289+F289*M289</f>
        <v>2.41139516179262</v>
      </c>
      <c r="O289" s="31" t="n">
        <f aca="false">1/(1+EXP(-N289))</f>
        <v>0.917692124460563</v>
      </c>
      <c r="P289" s="32" t="n">
        <f aca="false">IF(O289&gt;0.5,1,0)</f>
        <v>1</v>
      </c>
      <c r="Q289" s="32" t="n">
        <f aca="false">O289-G289</f>
        <v>-0.0823078755394368</v>
      </c>
      <c r="R289" s="33" t="n">
        <f aca="false">Q289^2</f>
        <v>0.00677458637581541</v>
      </c>
      <c r="T289" s="26" t="n">
        <f aca="false">2*(O289-G289)*(1-O289)*O289</f>
        <v>-0.0124339691271273</v>
      </c>
      <c r="U289" s="26" t="n">
        <f aca="false">2*(O289-G289)*(1-O289)*O289*C289</f>
        <v>-0.0808207993263272</v>
      </c>
      <c r="V289" s="26" t="n">
        <f aca="false">2*(O289-G289)*(1-O289)*O289*D289</f>
        <v>-0.0348151135559563</v>
      </c>
      <c r="W289" s="26" t="n">
        <f aca="false">2*(O289-G289)*(1-O289)*O289*E289</f>
        <v>-0.0571962579847854</v>
      </c>
      <c r="X289" s="26" t="n">
        <f aca="false">2*(O289-G289)*(1-O289)*O289*F289</f>
        <v>-0.0186509536906909</v>
      </c>
    </row>
    <row r="290" customFormat="false" ht="14.25" hidden="false" customHeight="true" outlineLevel="0" collapsed="false">
      <c r="A290" s="37"/>
      <c r="B290" s="34" t="n">
        <v>46</v>
      </c>
      <c r="C290" s="28" t="n">
        <v>5.7</v>
      </c>
      <c r="D290" s="28" t="n">
        <v>2.8</v>
      </c>
      <c r="E290" s="28" t="n">
        <v>4.5</v>
      </c>
      <c r="F290" s="28" t="n">
        <v>1.3</v>
      </c>
      <c r="G290" s="35" t="n">
        <v>1</v>
      </c>
      <c r="H290" s="1" t="n">
        <f aca="false">IF(G290=P290, 1, 0)</f>
        <v>1</v>
      </c>
      <c r="I290" s="34" t="n">
        <f aca="false">I289-0.1*T289</f>
        <v>0.261499167258488</v>
      </c>
      <c r="J290" s="36" t="n">
        <f aca="false">J289-0.1*U289</f>
        <v>-0.318741299201233</v>
      </c>
      <c r="K290" s="36" t="n">
        <f aca="false">K289-0.1*V289</f>
        <v>-0.372747412024037</v>
      </c>
      <c r="L290" s="36" t="n">
        <f aca="false">L289-0.1*W289</f>
        <v>0.921511776951463</v>
      </c>
      <c r="M290" s="36" t="n">
        <f aca="false">M289-0.1*X289</f>
        <v>0.746057392686549</v>
      </c>
      <c r="N290" s="31" t="n">
        <f aca="false">I290+J290*C290+K290*D290+L290*E290+F290*M290</f>
        <v>2.51765861491825</v>
      </c>
      <c r="O290" s="31" t="n">
        <f aca="false">1/(1+EXP(-N290))</f>
        <v>0.925370519921198</v>
      </c>
      <c r="P290" s="32" t="n">
        <f aca="false">IF(O290&gt;0.5,1,0)</f>
        <v>1</v>
      </c>
      <c r="Q290" s="32" t="n">
        <f aca="false">O290-G290</f>
        <v>-0.074629480078802</v>
      </c>
      <c r="R290" s="33" t="n">
        <f aca="false">Q290^2</f>
        <v>0.0055695592968323</v>
      </c>
      <c r="T290" s="26" t="n">
        <f aca="false">2*(O290-G290)*(1-O290)*O290</f>
        <v>-0.0103078119644833</v>
      </c>
      <c r="U290" s="26" t="n">
        <f aca="false">2*(O290-G290)*(1-O290)*O290*C290</f>
        <v>-0.0587545281975548</v>
      </c>
      <c r="V290" s="26" t="n">
        <f aca="false">2*(O290-G290)*(1-O290)*O290*D290</f>
        <v>-0.0288618735005532</v>
      </c>
      <c r="W290" s="26" t="n">
        <f aca="false">2*(O290-G290)*(1-O290)*O290*E290</f>
        <v>-0.0463851538401749</v>
      </c>
      <c r="X290" s="26" t="n">
        <f aca="false">2*(O290-G290)*(1-O290)*O290*F290</f>
        <v>-0.0134001555538283</v>
      </c>
    </row>
    <row r="291" customFormat="false" ht="14.25" hidden="false" customHeight="true" outlineLevel="0" collapsed="false">
      <c r="A291" s="37"/>
      <c r="B291" s="34" t="n">
        <v>47</v>
      </c>
      <c r="C291" s="28" t="n">
        <v>6.3</v>
      </c>
      <c r="D291" s="28" t="n">
        <v>3.3</v>
      </c>
      <c r="E291" s="28" t="n">
        <v>4.7</v>
      </c>
      <c r="F291" s="28" t="n">
        <v>1.6</v>
      </c>
      <c r="G291" s="35" t="n">
        <v>1</v>
      </c>
      <c r="H291" s="1" t="n">
        <f aca="false">IF(G291=P291, 1, 0)</f>
        <v>1</v>
      </c>
      <c r="I291" s="34" t="n">
        <f aca="false">I290-0.1*T290</f>
        <v>0.262529948454936</v>
      </c>
      <c r="J291" s="36" t="n">
        <f aca="false">J290-0.1*U290</f>
        <v>-0.312865846381478</v>
      </c>
      <c r="K291" s="36" t="n">
        <f aca="false">K290-0.1*V290</f>
        <v>-0.369861224673982</v>
      </c>
      <c r="L291" s="36" t="n">
        <f aca="false">L290-0.1*W290</f>
        <v>0.92615029233548</v>
      </c>
      <c r="M291" s="36" t="n">
        <f aca="false">M290-0.1*X290</f>
        <v>0.747397408241932</v>
      </c>
      <c r="N291" s="31" t="n">
        <f aca="false">I291+J291*C291+K291*D291+L291*E291+F291*M291</f>
        <v>2.61967530199133</v>
      </c>
      <c r="O291" s="31" t="n">
        <f aca="false">1/(1+EXP(-N291))</f>
        <v>0.932117164118001</v>
      </c>
      <c r="P291" s="32" t="n">
        <f aca="false">IF(O291&gt;0.5,1,0)</f>
        <v>1</v>
      </c>
      <c r="Q291" s="32" t="n">
        <f aca="false">O291-G291</f>
        <v>-0.067882835881999</v>
      </c>
      <c r="R291" s="33" t="n">
        <f aca="false">Q291^2</f>
        <v>0.0046080794073824</v>
      </c>
      <c r="T291" s="26" t="n">
        <f aca="false">2*(O291-G291)*(1-O291)*O291</f>
        <v>-0.00859053981847969</v>
      </c>
      <c r="U291" s="26" t="n">
        <f aca="false">2*(O291-G291)*(1-O291)*O291*C291</f>
        <v>-0.0541204008564221</v>
      </c>
      <c r="V291" s="26" t="n">
        <f aca="false">2*(O291-G291)*(1-O291)*O291*D291</f>
        <v>-0.028348781400983</v>
      </c>
      <c r="W291" s="26" t="n">
        <f aca="false">2*(O291-G291)*(1-O291)*O291*E291</f>
        <v>-0.0403755371468546</v>
      </c>
      <c r="X291" s="26" t="n">
        <f aca="false">2*(O291-G291)*(1-O291)*O291*F291</f>
        <v>-0.0137448637095675</v>
      </c>
    </row>
    <row r="292" customFormat="false" ht="14.25" hidden="false" customHeight="true" outlineLevel="0" collapsed="false">
      <c r="A292" s="37"/>
      <c r="B292" s="34" t="n">
        <v>48</v>
      </c>
      <c r="C292" s="28" t="n">
        <v>4.9</v>
      </c>
      <c r="D292" s="28" t="n">
        <v>2.4</v>
      </c>
      <c r="E292" s="28" t="n">
        <v>3.3</v>
      </c>
      <c r="F292" s="28" t="n">
        <v>1</v>
      </c>
      <c r="G292" s="35" t="n">
        <v>1</v>
      </c>
      <c r="H292" s="1" t="n">
        <f aca="false">IF(G292=P292, 1, 0)</f>
        <v>1</v>
      </c>
      <c r="I292" s="34" t="n">
        <f aca="false">I291-0.1*T291</f>
        <v>0.263389002436784</v>
      </c>
      <c r="J292" s="36" t="n">
        <f aca="false">J291-0.1*U291</f>
        <v>-0.307453806295836</v>
      </c>
      <c r="K292" s="36" t="n">
        <f aca="false">K291-0.1*V291</f>
        <v>-0.367026346533884</v>
      </c>
      <c r="L292" s="36" t="n">
        <f aca="false">L291-0.1*W291</f>
        <v>0.930187846050166</v>
      </c>
      <c r="M292" s="36" t="n">
        <f aca="false">M291-0.1*X291</f>
        <v>0.748771894612889</v>
      </c>
      <c r="N292" s="31" t="n">
        <f aca="false">I292+J292*C292+K292*D292+L292*E292+F292*M292</f>
        <v>1.6943939064843</v>
      </c>
      <c r="O292" s="31" t="n">
        <f aca="false">1/(1+EXP(-N292))</f>
        <v>0.844801127736123</v>
      </c>
      <c r="P292" s="32" t="n">
        <f aca="false">IF(O292&gt;0.5,1,0)</f>
        <v>1</v>
      </c>
      <c r="Q292" s="32" t="n">
        <f aca="false">O292-G292</f>
        <v>-0.155198872263877</v>
      </c>
      <c r="R292" s="33" t="n">
        <f aca="false">Q292^2</f>
        <v>0.0240866899519792</v>
      </c>
      <c r="T292" s="26" t="n">
        <f aca="false">2*(O292-G292)*(1-O292)*O292</f>
        <v>-0.0406969256697247</v>
      </c>
      <c r="U292" s="26" t="n">
        <f aca="false">2*(O292-G292)*(1-O292)*O292*C292</f>
        <v>-0.199414935781651</v>
      </c>
      <c r="V292" s="26" t="n">
        <f aca="false">2*(O292-G292)*(1-O292)*O292*D292</f>
        <v>-0.0976726216073394</v>
      </c>
      <c r="W292" s="26" t="n">
        <f aca="false">2*(O292-G292)*(1-O292)*O292*E292</f>
        <v>-0.134299854710092</v>
      </c>
      <c r="X292" s="26" t="n">
        <f aca="false">2*(O292-G292)*(1-O292)*O292*F292</f>
        <v>-0.0406969256697247</v>
      </c>
    </row>
    <row r="293" customFormat="false" ht="14.25" hidden="false" customHeight="true" outlineLevel="0" collapsed="false">
      <c r="A293" s="37"/>
      <c r="B293" s="34" t="n">
        <v>49</v>
      </c>
      <c r="C293" s="28" t="n">
        <v>6.6</v>
      </c>
      <c r="D293" s="28" t="n">
        <v>2.9</v>
      </c>
      <c r="E293" s="28" t="n">
        <v>4.6</v>
      </c>
      <c r="F293" s="28" t="n">
        <v>1.3</v>
      </c>
      <c r="G293" s="35" t="n">
        <v>1</v>
      </c>
      <c r="H293" s="1" t="n">
        <f aca="false">IF(G293=P293, 1, 0)</f>
        <v>1</v>
      </c>
      <c r="I293" s="34" t="n">
        <f aca="false">I292-0.1*T292</f>
        <v>0.267458695003756</v>
      </c>
      <c r="J293" s="36" t="n">
        <f aca="false">J292-0.1*U292</f>
        <v>-0.287512312717671</v>
      </c>
      <c r="K293" s="36" t="n">
        <f aca="false">K292-0.1*V292</f>
        <v>-0.35725908437315</v>
      </c>
      <c r="L293" s="36" t="n">
        <f aca="false">L292-0.1*W292</f>
        <v>0.943617831521175</v>
      </c>
      <c r="M293" s="36" t="n">
        <f aca="false">M292-0.1*X292</f>
        <v>0.752841587179861</v>
      </c>
      <c r="N293" s="31" t="n">
        <f aca="false">I293+J293*C293+K293*D293+L293*E293+F293*M293</f>
        <v>2.65316217471622</v>
      </c>
      <c r="O293" s="31" t="n">
        <f aca="false">1/(1+EXP(-N293))</f>
        <v>0.934205622161933</v>
      </c>
      <c r="P293" s="32" t="n">
        <f aca="false">IF(O293&gt;0.5,1,0)</f>
        <v>1</v>
      </c>
      <c r="Q293" s="32" t="n">
        <f aca="false">O293-G293</f>
        <v>-0.0657943778380666</v>
      </c>
      <c r="R293" s="33" t="n">
        <f aca="false">Q293^2</f>
        <v>0.00432890015509827</v>
      </c>
      <c r="T293" s="26" t="n">
        <f aca="false">2*(O293-G293)*(1-O293)*O293</f>
        <v>-0.00808816572534095</v>
      </c>
      <c r="U293" s="26" t="n">
        <f aca="false">2*(O293-G293)*(1-O293)*O293*C293</f>
        <v>-0.0533818937872502</v>
      </c>
      <c r="V293" s="26" t="n">
        <f aca="false">2*(O293-G293)*(1-O293)*O293*D293</f>
        <v>-0.0234556806034887</v>
      </c>
      <c r="W293" s="26" t="n">
        <f aca="false">2*(O293-G293)*(1-O293)*O293*E293</f>
        <v>-0.0372055623365683</v>
      </c>
      <c r="X293" s="26" t="n">
        <f aca="false">2*(O293-G293)*(1-O293)*O293*F293</f>
        <v>-0.0105146154429432</v>
      </c>
    </row>
    <row r="294" customFormat="false" ht="14.25" hidden="false" customHeight="true" outlineLevel="0" collapsed="false">
      <c r="A294" s="37"/>
      <c r="B294" s="34" t="n">
        <v>50</v>
      </c>
      <c r="C294" s="28" t="n">
        <v>5.2</v>
      </c>
      <c r="D294" s="28" t="n">
        <v>2.7</v>
      </c>
      <c r="E294" s="28" t="n">
        <v>3.9</v>
      </c>
      <c r="F294" s="28" t="n">
        <v>1.4</v>
      </c>
      <c r="G294" s="35" t="n">
        <v>1</v>
      </c>
      <c r="H294" s="1" t="n">
        <f aca="false">IF(G294=P294, 1, 0)</f>
        <v>1</v>
      </c>
      <c r="I294" s="34" t="n">
        <f aca="false">I293-0.1*T293</f>
        <v>0.26826751157629</v>
      </c>
      <c r="J294" s="36" t="n">
        <f aca="false">J293-0.1*U293</f>
        <v>-0.282174123338946</v>
      </c>
      <c r="K294" s="36" t="n">
        <f aca="false">K293-0.1*V293</f>
        <v>-0.354913516312801</v>
      </c>
      <c r="L294" s="36" t="n">
        <f aca="false">L293-0.1*W293</f>
        <v>0.947338387754832</v>
      </c>
      <c r="M294" s="36" t="n">
        <f aca="false">M293-0.1*X293</f>
        <v>0.753893048724156</v>
      </c>
      <c r="N294" s="31" t="n">
        <f aca="false">I294+J294*C294+K294*D294+L294*E294+F294*M294</f>
        <v>2.59276555662687</v>
      </c>
      <c r="O294" s="31" t="n">
        <f aca="false">1/(1+EXP(-N294))</f>
        <v>0.930394529406642</v>
      </c>
      <c r="P294" s="32" t="n">
        <f aca="false">IF(O294&gt;0.5,1,0)</f>
        <v>1</v>
      </c>
      <c r="Q294" s="32" t="n">
        <f aca="false">O294-G294</f>
        <v>-0.0696054705933583</v>
      </c>
      <c r="R294" s="33" t="n">
        <f aca="false">Q294^2</f>
        <v>0.00484492153652287</v>
      </c>
      <c r="T294" s="26" t="n">
        <f aca="false">2*(O294-G294)*(1-O294)*O294</f>
        <v>-0.00901537698597059</v>
      </c>
      <c r="U294" s="26" t="n">
        <f aca="false">2*(O294-G294)*(1-O294)*O294*C294</f>
        <v>-0.0468799603270471</v>
      </c>
      <c r="V294" s="26" t="n">
        <f aca="false">2*(O294-G294)*(1-O294)*O294*D294</f>
        <v>-0.0243415178621206</v>
      </c>
      <c r="W294" s="26" t="n">
        <f aca="false">2*(O294-G294)*(1-O294)*O294*E294</f>
        <v>-0.0351599702452853</v>
      </c>
      <c r="X294" s="26" t="n">
        <f aca="false">2*(O294-G294)*(1-O294)*O294*F294</f>
        <v>-0.0126215277803588</v>
      </c>
    </row>
    <row r="295" customFormat="false" ht="14.25" hidden="false" customHeight="true" outlineLevel="0" collapsed="false">
      <c r="A295" s="37"/>
      <c r="B295" s="34" t="n">
        <v>51</v>
      </c>
      <c r="C295" s="28" t="n">
        <v>5</v>
      </c>
      <c r="D295" s="28" t="n">
        <v>2</v>
      </c>
      <c r="E295" s="28" t="n">
        <v>3.5</v>
      </c>
      <c r="F295" s="28" t="n">
        <v>1</v>
      </c>
      <c r="G295" s="35" t="n">
        <v>1</v>
      </c>
      <c r="H295" s="1" t="n">
        <f aca="false">IF(G295=P295, 1, 0)</f>
        <v>1</v>
      </c>
      <c r="I295" s="34" t="n">
        <f aca="false">I294-0.1*T294</f>
        <v>0.269169049274888</v>
      </c>
      <c r="J295" s="36" t="n">
        <f aca="false">J294-0.1*U294</f>
        <v>-0.277486127306241</v>
      </c>
      <c r="K295" s="36" t="n">
        <f aca="false">K294-0.1*V294</f>
        <v>-0.352479364526589</v>
      </c>
      <c r="L295" s="36" t="n">
        <f aca="false">L294-0.1*W294</f>
        <v>0.950854384779361</v>
      </c>
      <c r="M295" s="36" t="n">
        <f aca="false">M294-0.1*X294</f>
        <v>0.755155201502191</v>
      </c>
      <c r="N295" s="31" t="n">
        <f aca="false">I295+J295*C295+K295*D295+L295*E295+F295*M295</f>
        <v>2.25992523192046</v>
      </c>
      <c r="O295" s="31" t="n">
        <f aca="false">1/(1+EXP(-N295))</f>
        <v>0.905503233554007</v>
      </c>
      <c r="P295" s="32" t="n">
        <f aca="false">IF(O295&gt;0.5,1,0)</f>
        <v>1</v>
      </c>
      <c r="Q295" s="32" t="n">
        <f aca="false">O295-G295</f>
        <v>-0.0944967664459934</v>
      </c>
      <c r="R295" s="33" t="n">
        <f aca="false">Q295^2</f>
        <v>0.00892963886874862</v>
      </c>
      <c r="T295" s="26" t="n">
        <f aca="false">2*(O295-G295)*(1-O295)*O295</f>
        <v>-0.0161716337402428</v>
      </c>
      <c r="U295" s="26" t="n">
        <f aca="false">2*(O295-G295)*(1-O295)*O295*C295</f>
        <v>-0.0808581687012142</v>
      </c>
      <c r="V295" s="26" t="n">
        <f aca="false">2*(O295-G295)*(1-O295)*O295*D295</f>
        <v>-0.0323432674804857</v>
      </c>
      <c r="W295" s="26" t="n">
        <f aca="false">2*(O295-G295)*(1-O295)*O295*E295</f>
        <v>-0.0566007180908499</v>
      </c>
      <c r="X295" s="26" t="n">
        <f aca="false">2*(O295-G295)*(1-O295)*O295*F295</f>
        <v>-0.0161716337402428</v>
      </c>
    </row>
    <row r="296" customFormat="false" ht="14.25" hidden="false" customHeight="true" outlineLevel="0" collapsed="false">
      <c r="A296" s="37"/>
      <c r="B296" s="34" t="n">
        <v>52</v>
      </c>
      <c r="C296" s="28" t="n">
        <v>5.9</v>
      </c>
      <c r="D296" s="28" t="n">
        <v>3</v>
      </c>
      <c r="E296" s="28" t="n">
        <v>4.2</v>
      </c>
      <c r="F296" s="28" t="n">
        <v>1.5</v>
      </c>
      <c r="G296" s="35" t="n">
        <v>1</v>
      </c>
      <c r="H296" s="1" t="n">
        <f aca="false">IF(G296=P296, 1, 0)</f>
        <v>1</v>
      </c>
      <c r="I296" s="34" t="n">
        <f aca="false">I295-0.1*T295</f>
        <v>0.270786212648912</v>
      </c>
      <c r="J296" s="36" t="n">
        <f aca="false">J295-0.1*U295</f>
        <v>-0.269400310436119</v>
      </c>
      <c r="K296" s="36" t="n">
        <f aca="false">K295-0.1*V295</f>
        <v>-0.34924503777854</v>
      </c>
      <c r="L296" s="36" t="n">
        <f aca="false">L295-0.1*W295</f>
        <v>0.956514456588446</v>
      </c>
      <c r="M296" s="36" t="n">
        <f aca="false">M295-0.1*X295</f>
        <v>0.756772364876216</v>
      </c>
      <c r="N296" s="31" t="n">
        <f aca="false">I296+J296*C296+K296*D296+L296*E296+F296*M296</f>
        <v>2.78610853272598</v>
      </c>
      <c r="O296" s="31" t="n">
        <f aca="false">1/(1+EXP(-N296))</f>
        <v>0.941920522882512</v>
      </c>
      <c r="P296" s="32" t="n">
        <f aca="false">IF(O296&gt;0.5,1,0)</f>
        <v>1</v>
      </c>
      <c r="Q296" s="32" t="n">
        <f aca="false">O296-G296</f>
        <v>-0.0580794771174876</v>
      </c>
      <c r="R296" s="33" t="n">
        <f aca="false">Q296^2</f>
        <v>0.00337322566224077</v>
      </c>
      <c r="T296" s="26" t="n">
        <f aca="false">2*(O296-G296)*(1-O296)*O296</f>
        <v>-0.00635462095915707</v>
      </c>
      <c r="U296" s="26" t="n">
        <f aca="false">2*(O296-G296)*(1-O296)*O296*C296</f>
        <v>-0.0374922636590267</v>
      </c>
      <c r="V296" s="26" t="n">
        <f aca="false">2*(O296-G296)*(1-O296)*O296*D296</f>
        <v>-0.0190638628774712</v>
      </c>
      <c r="W296" s="26" t="n">
        <f aca="false">2*(O296-G296)*(1-O296)*O296*E296</f>
        <v>-0.0266894080284597</v>
      </c>
      <c r="X296" s="26" t="n">
        <f aca="false">2*(O296-G296)*(1-O296)*O296*F296</f>
        <v>-0.0095319314387356</v>
      </c>
    </row>
    <row r="297" customFormat="false" ht="14.25" hidden="false" customHeight="true" outlineLevel="0" collapsed="false">
      <c r="A297" s="37"/>
      <c r="B297" s="34" t="n">
        <v>53</v>
      </c>
      <c r="C297" s="28" t="n">
        <v>6</v>
      </c>
      <c r="D297" s="28" t="n">
        <v>2.2</v>
      </c>
      <c r="E297" s="28" t="n">
        <v>4</v>
      </c>
      <c r="F297" s="28" t="n">
        <v>1</v>
      </c>
      <c r="G297" s="35" t="n">
        <v>1</v>
      </c>
      <c r="H297" s="1" t="n">
        <f aca="false">IF(G297=P297, 1, 0)</f>
        <v>1</v>
      </c>
      <c r="I297" s="34" t="n">
        <f aca="false">I296-0.1*T296</f>
        <v>0.271421674744828</v>
      </c>
      <c r="J297" s="36" t="n">
        <f aca="false">J296-0.1*U296</f>
        <v>-0.265651084070217</v>
      </c>
      <c r="K297" s="36" t="n">
        <f aca="false">K296-0.1*V296</f>
        <v>-0.347338651490793</v>
      </c>
      <c r="L297" s="36" t="n">
        <f aca="false">L296-0.1*W296</f>
        <v>0.959183397391291</v>
      </c>
      <c r="M297" s="36" t="n">
        <f aca="false">M296-0.1*X296</f>
        <v>0.757725558020089</v>
      </c>
      <c r="N297" s="31" t="n">
        <f aca="false">I297+J297*C297+K297*D297+L297*E297+F297*M297</f>
        <v>2.50782928462904</v>
      </c>
      <c r="O297" s="31" t="n">
        <f aca="false">1/(1+EXP(-N297))</f>
        <v>0.924688862555701</v>
      </c>
      <c r="P297" s="32" t="n">
        <f aca="false">IF(O297&gt;0.5,1,0)</f>
        <v>1</v>
      </c>
      <c r="Q297" s="32" t="n">
        <f aca="false">O297-G297</f>
        <v>-0.0753111374442993</v>
      </c>
      <c r="R297" s="33" t="n">
        <f aca="false">Q297^2</f>
        <v>0.00567176742315414</v>
      </c>
      <c r="T297" s="26" t="n">
        <f aca="false">2*(O297-G297)*(1-O297)*O297</f>
        <v>-0.0104892403343938</v>
      </c>
      <c r="U297" s="26" t="n">
        <f aca="false">2*(O297-G297)*(1-O297)*O297*C297</f>
        <v>-0.0629354420063625</v>
      </c>
      <c r="V297" s="26" t="n">
        <f aca="false">2*(O297-G297)*(1-O297)*O297*D297</f>
        <v>-0.0230763287356663</v>
      </c>
      <c r="W297" s="26" t="n">
        <f aca="false">2*(O297-G297)*(1-O297)*O297*E297</f>
        <v>-0.041956961337575</v>
      </c>
      <c r="X297" s="26" t="n">
        <f aca="false">2*(O297-G297)*(1-O297)*O297*F297</f>
        <v>-0.0104892403343938</v>
      </c>
    </row>
    <row r="298" customFormat="false" ht="14.25" hidden="false" customHeight="true" outlineLevel="0" collapsed="false">
      <c r="A298" s="37"/>
      <c r="B298" s="34" t="n">
        <v>54</v>
      </c>
      <c r="C298" s="28" t="n">
        <v>6.1</v>
      </c>
      <c r="D298" s="28" t="n">
        <v>2.9</v>
      </c>
      <c r="E298" s="28" t="n">
        <v>4.7</v>
      </c>
      <c r="F298" s="28" t="n">
        <v>1.4</v>
      </c>
      <c r="G298" s="35" t="n">
        <v>1</v>
      </c>
      <c r="H298" s="1" t="n">
        <f aca="false">IF(G298=P298, 1, 0)</f>
        <v>1</v>
      </c>
      <c r="I298" s="34" t="n">
        <f aca="false">I297-0.1*T297</f>
        <v>0.272470598778267</v>
      </c>
      <c r="J298" s="36" t="n">
        <f aca="false">J297-0.1*U297</f>
        <v>-0.25935753986958</v>
      </c>
      <c r="K298" s="36" t="n">
        <f aca="false">K297-0.1*V297</f>
        <v>-0.345031018617227</v>
      </c>
      <c r="L298" s="36" t="n">
        <f aca="false">L297-0.1*W297</f>
        <v>0.963379093525049</v>
      </c>
      <c r="M298" s="36" t="n">
        <f aca="false">M297-0.1*X297</f>
        <v>0.758774482053529</v>
      </c>
      <c r="N298" s="31" t="n">
        <f aca="false">I298+J298*C298+K298*D298+L298*E298+F298*M298</f>
        <v>3.27996566602654</v>
      </c>
      <c r="O298" s="31" t="n">
        <f aca="false">1/(1+EXP(-N298))</f>
        <v>0.963735083679907</v>
      </c>
      <c r="P298" s="32" t="n">
        <f aca="false">IF(O298&gt;0.5,1,0)</f>
        <v>1</v>
      </c>
      <c r="Q298" s="32" t="n">
        <f aca="false">O298-G298</f>
        <v>-0.0362649163200929</v>
      </c>
      <c r="R298" s="33" t="n">
        <f aca="false">Q298^2</f>
        <v>0.00131514415570334</v>
      </c>
      <c r="T298" s="26" t="n">
        <f aca="false">2*(O298-G298)*(1-O298)*O298</f>
        <v>-0.0025349011258958</v>
      </c>
      <c r="U298" s="26" t="n">
        <f aca="false">2*(O298-G298)*(1-O298)*O298*C298</f>
        <v>-0.0154628968679644</v>
      </c>
      <c r="V298" s="26" t="n">
        <f aca="false">2*(O298-G298)*(1-O298)*O298*D298</f>
        <v>-0.00735121326509781</v>
      </c>
      <c r="W298" s="26" t="n">
        <f aca="false">2*(O298-G298)*(1-O298)*O298*E298</f>
        <v>-0.0119140352917102</v>
      </c>
      <c r="X298" s="26" t="n">
        <f aca="false">2*(O298-G298)*(1-O298)*O298*F298</f>
        <v>-0.00354886157625411</v>
      </c>
    </row>
    <row r="299" customFormat="false" ht="14.25" hidden="false" customHeight="true" outlineLevel="0" collapsed="false">
      <c r="A299" s="37"/>
      <c r="B299" s="34" t="n">
        <v>55</v>
      </c>
      <c r="C299" s="28" t="n">
        <v>5.6</v>
      </c>
      <c r="D299" s="28" t="n">
        <v>2.9</v>
      </c>
      <c r="E299" s="28" t="n">
        <v>3.6</v>
      </c>
      <c r="F299" s="28" t="n">
        <v>1.3</v>
      </c>
      <c r="G299" s="35" t="n">
        <v>1</v>
      </c>
      <c r="H299" s="1" t="n">
        <f aca="false">IF(G299=P299, 1, 0)</f>
        <v>1</v>
      </c>
      <c r="I299" s="34" t="n">
        <f aca="false">I298-0.1*T298</f>
        <v>0.272724088890856</v>
      </c>
      <c r="J299" s="36" t="n">
        <f aca="false">J298-0.1*U298</f>
        <v>-0.257811250182784</v>
      </c>
      <c r="K299" s="36" t="n">
        <f aca="false">K298-0.1*V298</f>
        <v>-0.344295897290717</v>
      </c>
      <c r="L299" s="36" t="n">
        <f aca="false">L298-0.1*W298</f>
        <v>0.96457049705422</v>
      </c>
      <c r="M299" s="36" t="n">
        <f aca="false">M298-0.1*X298</f>
        <v>0.759129368211154</v>
      </c>
      <c r="N299" s="31" t="n">
        <f aca="false">I299+J299*C299+K299*D299+L299*E299+F299*M299</f>
        <v>2.28984495379388</v>
      </c>
      <c r="O299" s="31" t="n">
        <f aca="false">1/(1+EXP(-N299))</f>
        <v>0.908032503060602</v>
      </c>
      <c r="P299" s="32" t="n">
        <f aca="false">IF(O299&gt;0.5,1,0)</f>
        <v>1</v>
      </c>
      <c r="Q299" s="32" t="n">
        <f aca="false">O299-G299</f>
        <v>-0.0919674969393982</v>
      </c>
      <c r="R299" s="33" t="n">
        <f aca="false">Q299^2</f>
        <v>0.00845802049329822</v>
      </c>
      <c r="T299" s="26" t="n">
        <f aca="false">2*(O299-G299)*(1-O299)*O299</f>
        <v>-0.0153603150389349</v>
      </c>
      <c r="U299" s="26" t="n">
        <f aca="false">2*(O299-G299)*(1-O299)*O299*C299</f>
        <v>-0.0860177642180354</v>
      </c>
      <c r="V299" s="26" t="n">
        <f aca="false">2*(O299-G299)*(1-O299)*O299*D299</f>
        <v>-0.0445449136129112</v>
      </c>
      <c r="W299" s="26" t="n">
        <f aca="false">2*(O299-G299)*(1-O299)*O299*E299</f>
        <v>-0.0552971341401656</v>
      </c>
      <c r="X299" s="26" t="n">
        <f aca="false">2*(O299-G299)*(1-O299)*O299*F299</f>
        <v>-0.0199684095506154</v>
      </c>
    </row>
    <row r="300" customFormat="false" ht="14.25" hidden="false" customHeight="true" outlineLevel="0" collapsed="false">
      <c r="A300" s="37"/>
      <c r="B300" s="34" t="n">
        <v>56</v>
      </c>
      <c r="C300" s="28" t="n">
        <v>6.7</v>
      </c>
      <c r="D300" s="28" t="n">
        <v>3.1</v>
      </c>
      <c r="E300" s="28" t="n">
        <v>4.4</v>
      </c>
      <c r="F300" s="28" t="n">
        <v>1.4</v>
      </c>
      <c r="G300" s="35" t="n">
        <v>1</v>
      </c>
      <c r="H300" s="1" t="n">
        <f aca="false">IF(G300=P300, 1, 0)</f>
        <v>1</v>
      </c>
      <c r="I300" s="34" t="n">
        <f aca="false">I299-0.1*T299</f>
        <v>0.27426012039475</v>
      </c>
      <c r="J300" s="36" t="n">
        <f aca="false">J299-0.1*U299</f>
        <v>-0.24920947376098</v>
      </c>
      <c r="K300" s="36" t="n">
        <f aca="false">K299-0.1*V299</f>
        <v>-0.339841405929426</v>
      </c>
      <c r="L300" s="36" t="n">
        <f aca="false">L299-0.1*W299</f>
        <v>0.970100210468237</v>
      </c>
      <c r="M300" s="36" t="n">
        <f aca="false">M299-0.1*X299</f>
        <v>0.761126209166216</v>
      </c>
      <c r="N300" s="31" t="n">
        <f aca="false">I300+J300*C300+K300*D300+L300*E300+F300*M300</f>
        <v>2.8850659067079</v>
      </c>
      <c r="O300" s="31" t="n">
        <f aca="false">1/(1+EXP(-N300))</f>
        <v>0.947103234532425</v>
      </c>
      <c r="P300" s="32" t="n">
        <f aca="false">IF(O300&gt;0.5,1,0)</f>
        <v>1</v>
      </c>
      <c r="Q300" s="32" t="n">
        <f aca="false">O300-G300</f>
        <v>-0.0528967654675755</v>
      </c>
      <c r="R300" s="33" t="n">
        <f aca="false">Q300^2</f>
        <v>0.00279806779693169</v>
      </c>
      <c r="T300" s="26" t="n">
        <f aca="false">2*(O300-G300)*(1-O300)*O300</f>
        <v>-0.00530011812183003</v>
      </c>
      <c r="U300" s="26" t="n">
        <f aca="false">2*(O300-G300)*(1-O300)*O300*C300</f>
        <v>-0.0355107914162612</v>
      </c>
      <c r="V300" s="26" t="n">
        <f aca="false">2*(O300-G300)*(1-O300)*O300*D300</f>
        <v>-0.0164303661776731</v>
      </c>
      <c r="W300" s="26" t="n">
        <f aca="false">2*(O300-G300)*(1-O300)*O300*E300</f>
        <v>-0.0233205197360521</v>
      </c>
      <c r="X300" s="26" t="n">
        <f aca="false">2*(O300-G300)*(1-O300)*O300*F300</f>
        <v>-0.00742016537056204</v>
      </c>
    </row>
    <row r="301" customFormat="false" ht="14.25" hidden="false" customHeight="true" outlineLevel="0" collapsed="false">
      <c r="A301" s="37"/>
      <c r="B301" s="34" t="n">
        <v>57</v>
      </c>
      <c r="C301" s="28" t="n">
        <v>5.6</v>
      </c>
      <c r="D301" s="28" t="n">
        <v>3</v>
      </c>
      <c r="E301" s="28" t="n">
        <v>4.5</v>
      </c>
      <c r="F301" s="28" t="n">
        <v>1.5</v>
      </c>
      <c r="G301" s="35" t="n">
        <v>1</v>
      </c>
      <c r="H301" s="1" t="n">
        <f aca="false">IF(G301=P301, 1, 0)</f>
        <v>1</v>
      </c>
      <c r="I301" s="34" t="n">
        <f aca="false">I300-0.1*T300</f>
        <v>0.274790132206933</v>
      </c>
      <c r="J301" s="36" t="n">
        <f aca="false">J300-0.1*U300</f>
        <v>-0.245658394619354</v>
      </c>
      <c r="K301" s="36" t="n">
        <f aca="false">K300-0.1*V300</f>
        <v>-0.338198369311658</v>
      </c>
      <c r="L301" s="36" t="n">
        <f aca="false">L300-0.1*W300</f>
        <v>0.972432262441842</v>
      </c>
      <c r="M301" s="36" t="n">
        <f aca="false">M300-0.1*X300</f>
        <v>0.761868225703272</v>
      </c>
      <c r="N301" s="31" t="n">
        <f aca="false">I301+J301*C301+K301*D301+L301*E301+F301*M301</f>
        <v>3.40325553394677</v>
      </c>
      <c r="O301" s="31" t="n">
        <f aca="false">1/(1+EXP(-N301))</f>
        <v>0.967806123999413</v>
      </c>
      <c r="P301" s="32" t="n">
        <f aca="false">IF(O301&gt;0.5,1,0)</f>
        <v>1</v>
      </c>
      <c r="Q301" s="32" t="n">
        <f aca="false">O301-G301</f>
        <v>-0.0321938760005874</v>
      </c>
      <c r="R301" s="33" t="n">
        <f aca="false">Q301^2</f>
        <v>0.0010364456519412</v>
      </c>
      <c r="T301" s="26" t="n">
        <f aca="false">2*(O301-G301)*(1-O301)*O301</f>
        <v>-0.00200615689828251</v>
      </c>
      <c r="U301" s="26" t="n">
        <f aca="false">2*(O301-G301)*(1-O301)*O301*C301</f>
        <v>-0.0112344786303821</v>
      </c>
      <c r="V301" s="26" t="n">
        <f aca="false">2*(O301-G301)*(1-O301)*O301*D301</f>
        <v>-0.00601847069484754</v>
      </c>
      <c r="W301" s="26" t="n">
        <f aca="false">2*(O301-G301)*(1-O301)*O301*E301</f>
        <v>-0.00902770604227131</v>
      </c>
      <c r="X301" s="26" t="n">
        <f aca="false">2*(O301-G301)*(1-O301)*O301*F301</f>
        <v>-0.00300923534742377</v>
      </c>
    </row>
    <row r="302" customFormat="false" ht="14.25" hidden="false" customHeight="true" outlineLevel="0" collapsed="false">
      <c r="A302" s="37"/>
      <c r="B302" s="34" t="n">
        <v>58</v>
      </c>
      <c r="C302" s="28" t="n">
        <v>5.8</v>
      </c>
      <c r="D302" s="28" t="n">
        <v>2.7</v>
      </c>
      <c r="E302" s="28" t="n">
        <v>4.1</v>
      </c>
      <c r="F302" s="28" t="n">
        <v>1</v>
      </c>
      <c r="G302" s="35" t="n">
        <v>1</v>
      </c>
      <c r="H302" s="1" t="n">
        <f aca="false">IF(G302=P302, 1, 0)</f>
        <v>1</v>
      </c>
      <c r="I302" s="34" t="n">
        <f aca="false">I301-0.1*T301</f>
        <v>0.274990747896761</v>
      </c>
      <c r="J302" s="36" t="n">
        <f aca="false">J301-0.1*U301</f>
        <v>-0.244534946756316</v>
      </c>
      <c r="K302" s="36" t="n">
        <f aca="false">K301-0.1*V301</f>
        <v>-0.337596522242174</v>
      </c>
      <c r="L302" s="36" t="n">
        <f aca="false">L301-0.1*W301</f>
        <v>0.973335033046069</v>
      </c>
      <c r="M302" s="36" t="n">
        <f aca="false">M301-0.1*X301</f>
        <v>0.762169149238014</v>
      </c>
      <c r="N302" s="31" t="n">
        <f aca="false">I302+J302*C302+K302*D302+L302*E302+F302*M302</f>
        <v>2.69802023138316</v>
      </c>
      <c r="O302" s="31" t="n">
        <f aca="false">1/(1+EXP(-N302))</f>
        <v>0.936909721200949</v>
      </c>
      <c r="P302" s="32" t="n">
        <f aca="false">IF(O302&gt;0.5,1,0)</f>
        <v>1</v>
      </c>
      <c r="Q302" s="32" t="n">
        <f aca="false">O302-G302</f>
        <v>-0.0630902787990509</v>
      </c>
      <c r="R302" s="33" t="n">
        <f aca="false">Q302^2</f>
        <v>0.00398038327894198</v>
      </c>
      <c r="T302" s="26" t="n">
        <f aca="false">2*(O302-G302)*(1-O302)*O302</f>
        <v>-0.00745851957629289</v>
      </c>
      <c r="U302" s="26" t="n">
        <f aca="false">2*(O302-G302)*(1-O302)*O302*C302</f>
        <v>-0.0432594135424988</v>
      </c>
      <c r="V302" s="26" t="n">
        <f aca="false">2*(O302-G302)*(1-O302)*O302*D302</f>
        <v>-0.0201380028559908</v>
      </c>
      <c r="W302" s="26" t="n">
        <f aca="false">2*(O302-G302)*(1-O302)*O302*E302</f>
        <v>-0.0305799302628009</v>
      </c>
      <c r="X302" s="26" t="n">
        <f aca="false">2*(O302-G302)*(1-O302)*O302*F302</f>
        <v>-0.00745851957629289</v>
      </c>
    </row>
    <row r="303" customFormat="false" ht="14.25" hidden="false" customHeight="true" outlineLevel="0" collapsed="false">
      <c r="A303" s="37"/>
      <c r="B303" s="34" t="n">
        <v>59</v>
      </c>
      <c r="C303" s="28" t="n">
        <v>6.2</v>
      </c>
      <c r="D303" s="28" t="n">
        <v>2.2</v>
      </c>
      <c r="E303" s="28" t="n">
        <v>4.5</v>
      </c>
      <c r="F303" s="28" t="n">
        <v>1.5</v>
      </c>
      <c r="G303" s="35" t="n">
        <v>1</v>
      </c>
      <c r="H303" s="1" t="n">
        <f aca="false">IF(G303=P303, 1, 0)</f>
        <v>1</v>
      </c>
      <c r="I303" s="34" t="n">
        <f aca="false">I302-0.1*T302</f>
        <v>0.27573659985439</v>
      </c>
      <c r="J303" s="36" t="n">
        <f aca="false">J302-0.1*U302</f>
        <v>-0.240209005402066</v>
      </c>
      <c r="K303" s="36" t="n">
        <f aca="false">K302-0.1*V302</f>
        <v>-0.335582721956575</v>
      </c>
      <c r="L303" s="36" t="n">
        <f aca="false">L302-0.1*W302</f>
        <v>0.976393026072349</v>
      </c>
      <c r="M303" s="36" t="n">
        <f aca="false">M302-0.1*X302</f>
        <v>0.762915001195644</v>
      </c>
      <c r="N303" s="31" t="n">
        <f aca="false">I303+J303*C303+K303*D303+L303*E303+F303*M303</f>
        <v>3.58629989717615</v>
      </c>
      <c r="O303" s="31" t="n">
        <f aca="false">1/(1+EXP(-N303))</f>
        <v>0.973046006530382</v>
      </c>
      <c r="P303" s="32" t="n">
        <f aca="false">IF(O303&gt;0.5,1,0)</f>
        <v>1</v>
      </c>
      <c r="Q303" s="32" t="n">
        <f aca="false">O303-G303</f>
        <v>-0.0269539934696184</v>
      </c>
      <c r="R303" s="33" t="n">
        <f aca="false">Q303^2</f>
        <v>0.000726517763960229</v>
      </c>
      <c r="T303" s="26" t="n">
        <f aca="false">2*(O303-G303)*(1-O303)*O303</f>
        <v>-0.00141387041778977</v>
      </c>
      <c r="U303" s="26" t="n">
        <f aca="false">2*(O303-G303)*(1-O303)*O303*C303</f>
        <v>-0.00876599659029655</v>
      </c>
      <c r="V303" s="26" t="n">
        <f aca="false">2*(O303-G303)*(1-O303)*O303*D303</f>
        <v>-0.00311051491913749</v>
      </c>
      <c r="W303" s="26" t="n">
        <f aca="false">2*(O303-G303)*(1-O303)*O303*E303</f>
        <v>-0.00636241688005395</v>
      </c>
      <c r="X303" s="26" t="n">
        <f aca="false">2*(O303-G303)*(1-O303)*O303*F303</f>
        <v>-0.00212080562668465</v>
      </c>
    </row>
    <row r="304" customFormat="false" ht="14.25" hidden="false" customHeight="true" outlineLevel="0" collapsed="false">
      <c r="A304" s="37"/>
      <c r="B304" s="34" t="n">
        <v>60</v>
      </c>
      <c r="C304" s="28" t="n">
        <v>5.6</v>
      </c>
      <c r="D304" s="28" t="n">
        <v>2.5</v>
      </c>
      <c r="E304" s="28" t="n">
        <v>3.9</v>
      </c>
      <c r="F304" s="28" t="n">
        <v>1.1</v>
      </c>
      <c r="G304" s="35" t="n">
        <v>1</v>
      </c>
      <c r="H304" s="1" t="n">
        <f aca="false">IF(G304=P304, 1, 0)</f>
        <v>1</v>
      </c>
      <c r="I304" s="34" t="n">
        <f aca="false">I303-0.1*T303</f>
        <v>0.275877986896169</v>
      </c>
      <c r="J304" s="36" t="n">
        <f aca="false">J303-0.1*U303</f>
        <v>-0.239332405743037</v>
      </c>
      <c r="K304" s="36" t="n">
        <f aca="false">K303-0.1*V303</f>
        <v>-0.335271670464661</v>
      </c>
      <c r="L304" s="36" t="n">
        <f aca="false">L303-0.1*W303</f>
        <v>0.977029267760354</v>
      </c>
      <c r="M304" s="36" t="n">
        <f aca="false">M303-0.1*X303</f>
        <v>0.763127081758312</v>
      </c>
      <c r="N304" s="31" t="n">
        <f aca="false">I304+J304*C304+K304*D304+L304*E304+F304*M304</f>
        <v>2.74729127277304</v>
      </c>
      <c r="O304" s="31" t="n">
        <f aca="false">1/(1+EXP(-N304))</f>
        <v>0.939760188670454</v>
      </c>
      <c r="P304" s="32" t="n">
        <f aca="false">IF(O304&gt;0.5,1,0)</f>
        <v>1</v>
      </c>
      <c r="Q304" s="32" t="n">
        <f aca="false">O304-G304</f>
        <v>-0.0602398113295457</v>
      </c>
      <c r="R304" s="33" t="n">
        <f aca="false">Q304^2</f>
        <v>0.00362883486901926</v>
      </c>
      <c r="T304" s="26" t="n">
        <f aca="false">2*(O304-G304)*(1-O304)*O304</f>
        <v>-0.00682046908232693</v>
      </c>
      <c r="U304" s="26" t="n">
        <f aca="false">2*(O304-G304)*(1-O304)*O304*C304</f>
        <v>-0.0381946268610308</v>
      </c>
      <c r="V304" s="26" t="n">
        <f aca="false">2*(O304-G304)*(1-O304)*O304*D304</f>
        <v>-0.0170511727058173</v>
      </c>
      <c r="W304" s="26" t="n">
        <f aca="false">2*(O304-G304)*(1-O304)*O304*E304</f>
        <v>-0.026599829421075</v>
      </c>
      <c r="X304" s="26" t="n">
        <f aca="false">2*(O304-G304)*(1-O304)*O304*F304</f>
        <v>-0.00750251599055962</v>
      </c>
    </row>
    <row r="305" customFormat="false" ht="14.25" hidden="false" customHeight="true" outlineLevel="0" collapsed="false">
      <c r="A305" s="37"/>
      <c r="B305" s="34" t="n">
        <v>61</v>
      </c>
      <c r="C305" s="28" t="n">
        <v>5.9</v>
      </c>
      <c r="D305" s="28" t="n">
        <v>3.2</v>
      </c>
      <c r="E305" s="28" t="n">
        <v>4.8</v>
      </c>
      <c r="F305" s="28" t="n">
        <v>1.8</v>
      </c>
      <c r="G305" s="35" t="n">
        <v>1</v>
      </c>
      <c r="H305" s="1" t="n">
        <f aca="false">IF(G305=P305, 1, 0)</f>
        <v>1</v>
      </c>
      <c r="I305" s="34" t="n">
        <f aca="false">I304-0.1*T304</f>
        <v>0.276560033804402</v>
      </c>
      <c r="J305" s="36" t="n">
        <f aca="false">J304-0.1*U304</f>
        <v>-0.235512943056934</v>
      </c>
      <c r="K305" s="36" t="n">
        <f aca="false">K304-0.1*V304</f>
        <v>-0.333566553194079</v>
      </c>
      <c r="L305" s="36" t="n">
        <f aca="false">L304-0.1*W304</f>
        <v>0.979689250702462</v>
      </c>
      <c r="M305" s="36" t="n">
        <f aca="false">M304-0.1*X304</f>
        <v>0.763877333357368</v>
      </c>
      <c r="N305" s="31" t="n">
        <f aca="false">I305+J305*C305+K305*D305+L305*E305+F305*M305</f>
        <v>3.89710830296252</v>
      </c>
      <c r="O305" s="31" t="n">
        <f aca="false">1/(1+EXP(-N305))</f>
        <v>0.980103382245001</v>
      </c>
      <c r="P305" s="32" t="n">
        <f aca="false">IF(O305&gt;0.5,1,0)</f>
        <v>1</v>
      </c>
      <c r="Q305" s="32" t="n">
        <f aca="false">O305-G305</f>
        <v>-0.0198966177549995</v>
      </c>
      <c r="R305" s="33" t="n">
        <f aca="false">Q305^2</f>
        <v>0.000395875398088562</v>
      </c>
      <c r="T305" s="26" t="n">
        <f aca="false">2*(O305-G305)*(1-O305)*O305</f>
        <v>-0.000775997633228371</v>
      </c>
      <c r="U305" s="26" t="n">
        <f aca="false">2*(O305-G305)*(1-O305)*O305*C305</f>
        <v>-0.00457838603604739</v>
      </c>
      <c r="V305" s="26" t="n">
        <f aca="false">2*(O305-G305)*(1-O305)*O305*D305</f>
        <v>-0.00248319242633079</v>
      </c>
      <c r="W305" s="26" t="n">
        <f aca="false">2*(O305-G305)*(1-O305)*O305*E305</f>
        <v>-0.00372478863949618</v>
      </c>
      <c r="X305" s="26" t="n">
        <f aca="false">2*(O305-G305)*(1-O305)*O305*F305</f>
        <v>-0.00139679573981107</v>
      </c>
    </row>
    <row r="306" customFormat="false" ht="14.25" hidden="false" customHeight="true" outlineLevel="0" collapsed="false">
      <c r="A306" s="37"/>
      <c r="B306" s="34" t="n">
        <v>62</v>
      </c>
      <c r="C306" s="28" t="n">
        <v>6.1</v>
      </c>
      <c r="D306" s="28" t="n">
        <v>2.8</v>
      </c>
      <c r="E306" s="28" t="n">
        <v>4</v>
      </c>
      <c r="F306" s="28" t="n">
        <v>1.3</v>
      </c>
      <c r="G306" s="35" t="n">
        <v>1</v>
      </c>
      <c r="H306" s="1" t="n">
        <f aca="false">IF(G306=P306, 1, 0)</f>
        <v>1</v>
      </c>
      <c r="I306" s="34" t="n">
        <f aca="false">I305-0.1*T305</f>
        <v>0.276637633567725</v>
      </c>
      <c r="J306" s="36" t="n">
        <f aca="false">J305-0.1*U305</f>
        <v>-0.235055104453329</v>
      </c>
      <c r="K306" s="36" t="n">
        <f aca="false">K305-0.1*V305</f>
        <v>-0.333318233951446</v>
      </c>
      <c r="L306" s="36" t="n">
        <f aca="false">L305-0.1*W305</f>
        <v>0.980061729566411</v>
      </c>
      <c r="M306" s="36" t="n">
        <f aca="false">M305-0.1*X305</f>
        <v>0.764017012931349</v>
      </c>
      <c r="N306" s="31" t="n">
        <f aca="false">I306+J306*C306+K306*D306+L306*E306+F306*M306</f>
        <v>2.82297947641477</v>
      </c>
      <c r="O306" s="31" t="n">
        <f aca="false">1/(1+EXP(-N306))</f>
        <v>0.943905033512247</v>
      </c>
      <c r="P306" s="32" t="n">
        <f aca="false">IF(O306&gt;0.5,1,0)</f>
        <v>1</v>
      </c>
      <c r="Q306" s="32" t="n">
        <f aca="false">O306-G306</f>
        <v>-0.0560949664877528</v>
      </c>
      <c r="R306" s="33" t="n">
        <f aca="false">Q306^2</f>
        <v>0.00314664526526211</v>
      </c>
      <c r="T306" s="26" t="n">
        <f aca="false">2*(O306-G306)*(1-O306)*O306</f>
        <v>-0.00594026860911677</v>
      </c>
      <c r="U306" s="26" t="n">
        <f aca="false">2*(O306-G306)*(1-O306)*O306*C306</f>
        <v>-0.0362356385156123</v>
      </c>
      <c r="V306" s="26" t="n">
        <f aca="false">2*(O306-G306)*(1-O306)*O306*D306</f>
        <v>-0.016632752105527</v>
      </c>
      <c r="W306" s="26" t="n">
        <f aca="false">2*(O306-G306)*(1-O306)*O306*E306</f>
        <v>-0.0237610744364671</v>
      </c>
      <c r="X306" s="26" t="n">
        <f aca="false">2*(O306-G306)*(1-O306)*O306*F306</f>
        <v>-0.00772234919185181</v>
      </c>
    </row>
    <row r="307" customFormat="false" ht="14.25" hidden="false" customHeight="true" outlineLevel="0" collapsed="false">
      <c r="A307" s="37"/>
      <c r="B307" s="34" t="n">
        <v>63</v>
      </c>
      <c r="C307" s="28" t="n">
        <v>6.3</v>
      </c>
      <c r="D307" s="28" t="n">
        <v>2.5</v>
      </c>
      <c r="E307" s="28" t="n">
        <v>4.9</v>
      </c>
      <c r="F307" s="28" t="n">
        <v>1.5</v>
      </c>
      <c r="G307" s="35" t="n">
        <v>1</v>
      </c>
      <c r="H307" s="1" t="n">
        <f aca="false">IF(G307=P307, 1, 0)</f>
        <v>1</v>
      </c>
      <c r="I307" s="34" t="n">
        <f aca="false">I306-0.1*T306</f>
        <v>0.277231660428637</v>
      </c>
      <c r="J307" s="36" t="n">
        <f aca="false">J306-0.1*U306</f>
        <v>-0.231431540601768</v>
      </c>
      <c r="K307" s="36" t="n">
        <f aca="false">K306-0.1*V306</f>
        <v>-0.331654958740893</v>
      </c>
      <c r="L307" s="36" t="n">
        <f aca="false">L306-0.1*W306</f>
        <v>0.982437837010058</v>
      </c>
      <c r="M307" s="36" t="n">
        <f aca="false">M306-0.1*X306</f>
        <v>0.764789247850534</v>
      </c>
      <c r="N307" s="31" t="n">
        <f aca="false">I307+J307*C307+K307*D307+L307*E307+F307*M307</f>
        <v>3.95120483091035</v>
      </c>
      <c r="O307" s="31" t="n">
        <f aca="false">1/(1+EXP(-N307))</f>
        <v>0.981131355572541</v>
      </c>
      <c r="P307" s="32" t="n">
        <f aca="false">IF(O307&gt;0.5,1,0)</f>
        <v>1</v>
      </c>
      <c r="Q307" s="32" t="n">
        <f aca="false">O307-G307</f>
        <v>-0.0188686444274586</v>
      </c>
      <c r="R307" s="33" t="n">
        <f aca="false">Q307^2</f>
        <v>0.000356025742529865</v>
      </c>
      <c r="T307" s="26" t="n">
        <f aca="false">2*(O307-G307)*(1-O307)*O307</f>
        <v>-0.000698616038774094</v>
      </c>
      <c r="U307" s="26" t="n">
        <f aca="false">2*(O307-G307)*(1-O307)*O307*C307</f>
        <v>-0.00440128104427679</v>
      </c>
      <c r="V307" s="26" t="n">
        <f aca="false">2*(O307-G307)*(1-O307)*O307*D307</f>
        <v>-0.00174654009693524</v>
      </c>
      <c r="W307" s="26" t="n">
        <f aca="false">2*(O307-G307)*(1-O307)*O307*E307</f>
        <v>-0.00342321858999306</v>
      </c>
      <c r="X307" s="26" t="n">
        <f aca="false">2*(O307-G307)*(1-O307)*O307*F307</f>
        <v>-0.00104792405816114</v>
      </c>
    </row>
    <row r="308" customFormat="false" ht="14.25" hidden="false" customHeight="true" outlineLevel="0" collapsed="false">
      <c r="A308" s="37"/>
      <c r="B308" s="34" t="n">
        <v>64</v>
      </c>
      <c r="C308" s="28" t="n">
        <v>6.1</v>
      </c>
      <c r="D308" s="28" t="n">
        <v>2.8</v>
      </c>
      <c r="E308" s="28" t="n">
        <v>4.7</v>
      </c>
      <c r="F308" s="28" t="n">
        <v>1.2</v>
      </c>
      <c r="G308" s="35" t="n">
        <v>1</v>
      </c>
      <c r="H308" s="1" t="n">
        <f aca="false">IF(G308=P308, 1, 0)</f>
        <v>1</v>
      </c>
      <c r="I308" s="34" t="n">
        <f aca="false">I307-0.1*T307</f>
        <v>0.277301522032514</v>
      </c>
      <c r="J308" s="36" t="n">
        <f aca="false">J307-0.1*U307</f>
        <v>-0.23099141249734</v>
      </c>
      <c r="K308" s="36" t="n">
        <f aca="false">K307-0.1*V307</f>
        <v>-0.3314803047312</v>
      </c>
      <c r="L308" s="36" t="n">
        <f aca="false">L307-0.1*W307</f>
        <v>0.982780158869057</v>
      </c>
      <c r="M308" s="36" t="n">
        <f aca="false">M307-0.1*X307</f>
        <v>0.76489404025635</v>
      </c>
      <c r="N308" s="31" t="n">
        <f aca="false">I308+J308*C308+K308*D308+L308*E308+F308*M308</f>
        <v>3.47704864754357</v>
      </c>
      <c r="O308" s="31" t="n">
        <f aca="false">1/(1+EXP(-N308))</f>
        <v>0.970027631430349</v>
      </c>
      <c r="P308" s="32" t="n">
        <f aca="false">IF(O308&gt;0.5,1,0)</f>
        <v>1</v>
      </c>
      <c r="Q308" s="32" t="n">
        <f aca="false">O308-G308</f>
        <v>-0.0299723685696508</v>
      </c>
      <c r="R308" s="33" t="n">
        <f aca="false">Q308^2</f>
        <v>0.000898342877674991</v>
      </c>
      <c r="T308" s="26" t="n">
        <f aca="false">2*(O308-G308)*(1-O308)*O308</f>
        <v>-0.00174283482768679</v>
      </c>
      <c r="U308" s="26" t="n">
        <f aca="false">2*(O308-G308)*(1-O308)*O308*C308</f>
        <v>-0.0106312924488894</v>
      </c>
      <c r="V308" s="26" t="n">
        <f aca="false">2*(O308-G308)*(1-O308)*O308*D308</f>
        <v>-0.00487993751752302</v>
      </c>
      <c r="W308" s="26" t="n">
        <f aca="false">2*(O308-G308)*(1-O308)*O308*E308</f>
        <v>-0.00819132369012792</v>
      </c>
      <c r="X308" s="26" t="n">
        <f aca="false">2*(O308-G308)*(1-O308)*O308*F308</f>
        <v>-0.00209140179322415</v>
      </c>
    </row>
    <row r="309" customFormat="false" ht="14.25" hidden="false" customHeight="true" outlineLevel="0" collapsed="false">
      <c r="A309" s="37"/>
      <c r="B309" s="34" t="n">
        <v>65</v>
      </c>
      <c r="C309" s="28" t="n">
        <v>6.4</v>
      </c>
      <c r="D309" s="28" t="n">
        <v>2.9</v>
      </c>
      <c r="E309" s="28" t="n">
        <v>4.3</v>
      </c>
      <c r="F309" s="28" t="n">
        <v>1.3</v>
      </c>
      <c r="G309" s="35" t="n">
        <v>1</v>
      </c>
      <c r="H309" s="1" t="n">
        <f aca="false">IF(G309=P309, 1, 0)</f>
        <v>1</v>
      </c>
      <c r="I309" s="34" t="n">
        <f aca="false">I308-0.1*T308</f>
        <v>0.277475805515283</v>
      </c>
      <c r="J309" s="36" t="n">
        <f aca="false">J308-0.1*U308</f>
        <v>-0.229928283252451</v>
      </c>
      <c r="K309" s="36" t="n">
        <f aca="false">K308-0.1*V308</f>
        <v>-0.330992310979447</v>
      </c>
      <c r="L309" s="36" t="n">
        <f aca="false">L308-0.1*W308</f>
        <v>0.98359929123807</v>
      </c>
      <c r="M309" s="36" t="n">
        <f aca="false">M308-0.1*X308</f>
        <v>0.765103180435673</v>
      </c>
      <c r="N309" s="31" t="n">
        <f aca="false">I309+J309*C309+K309*D309+L309*E309+F309*M309</f>
        <v>3.07016817774928</v>
      </c>
      <c r="O309" s="31" t="n">
        <f aca="false">1/(1+EXP(-N309))</f>
        <v>0.955645301567791</v>
      </c>
      <c r="P309" s="32" t="n">
        <f aca="false">IF(O309&gt;0.5,1,0)</f>
        <v>1</v>
      </c>
      <c r="Q309" s="32" t="n">
        <f aca="false">O309-G309</f>
        <v>-0.0443546984322091</v>
      </c>
      <c r="R309" s="33" t="n">
        <f aca="false">Q309^2</f>
        <v>0.00196733927301221</v>
      </c>
      <c r="T309" s="26" t="n">
        <f aca="false">2*(O309-G309)*(1-O309)*O309</f>
        <v>-0.00376015706568782</v>
      </c>
      <c r="U309" s="26" t="n">
        <f aca="false">2*(O309-G309)*(1-O309)*O309*C309</f>
        <v>-0.0240650052204021</v>
      </c>
      <c r="V309" s="26" t="n">
        <f aca="false">2*(O309-G309)*(1-O309)*O309*D309</f>
        <v>-0.0109044554904947</v>
      </c>
      <c r="W309" s="26" t="n">
        <f aca="false">2*(O309-G309)*(1-O309)*O309*E309</f>
        <v>-0.0161686753824576</v>
      </c>
      <c r="X309" s="26" t="n">
        <f aca="false">2*(O309-G309)*(1-O309)*O309*F309</f>
        <v>-0.00488820418539417</v>
      </c>
    </row>
    <row r="310" customFormat="false" ht="14.25" hidden="false" customHeight="true" outlineLevel="0" collapsed="false">
      <c r="A310" s="37"/>
      <c r="B310" s="34" t="n">
        <v>66</v>
      </c>
      <c r="C310" s="28" t="n">
        <v>6.6</v>
      </c>
      <c r="D310" s="28" t="n">
        <v>3</v>
      </c>
      <c r="E310" s="28" t="n">
        <v>4.4</v>
      </c>
      <c r="F310" s="28" t="n">
        <v>1.4</v>
      </c>
      <c r="G310" s="35" t="n">
        <v>1</v>
      </c>
      <c r="H310" s="1" t="n">
        <f aca="false">IF(G310=P310, 1, 0)</f>
        <v>1</v>
      </c>
      <c r="I310" s="34" t="n">
        <f aca="false">I309-0.1*T309</f>
        <v>0.277851821221851</v>
      </c>
      <c r="J310" s="36" t="n">
        <f aca="false">J309-0.1*U309</f>
        <v>-0.227521782730411</v>
      </c>
      <c r="K310" s="36" t="n">
        <f aca="false">K309-0.1*V309</f>
        <v>-0.329901865430398</v>
      </c>
      <c r="L310" s="36" t="n">
        <f aca="false">L309-0.1*W309</f>
        <v>0.985216158776316</v>
      </c>
      <c r="M310" s="36" t="n">
        <f aca="false">M309-0.1*X309</f>
        <v>0.765592000854212</v>
      </c>
      <c r="N310" s="31" t="n">
        <f aca="false">I310+J310*C310+K310*D310+L310*E310+F310*M310</f>
        <v>3.19328235872163</v>
      </c>
      <c r="O310" s="31" t="n">
        <f aca="false">1/(1+EXP(-N310))</f>
        <v>0.960580696417384</v>
      </c>
      <c r="P310" s="32" t="n">
        <f aca="false">IF(O310&gt;0.5,1,0)</f>
        <v>1</v>
      </c>
      <c r="Q310" s="32" t="n">
        <f aca="false">O310-G310</f>
        <v>-0.0394193035826156</v>
      </c>
      <c r="R310" s="33" t="n">
        <f aca="false">Q310^2</f>
        <v>0.00155388149493841</v>
      </c>
      <c r="T310" s="26" t="n">
        <f aca="false">2*(O310-G310)*(1-O310)*O310</f>
        <v>-0.00298525713711605</v>
      </c>
      <c r="U310" s="26" t="n">
        <f aca="false">2*(O310-G310)*(1-O310)*O310*C310</f>
        <v>-0.0197026971049659</v>
      </c>
      <c r="V310" s="26" t="n">
        <f aca="false">2*(O310-G310)*(1-O310)*O310*D310</f>
        <v>-0.00895577141134814</v>
      </c>
      <c r="W310" s="26" t="n">
        <f aca="false">2*(O310-G310)*(1-O310)*O310*E310</f>
        <v>-0.0131351314033106</v>
      </c>
      <c r="X310" s="26" t="n">
        <f aca="false">2*(O310-G310)*(1-O310)*O310*F310</f>
        <v>-0.00417935999196247</v>
      </c>
    </row>
    <row r="311" customFormat="false" ht="14.25" hidden="false" customHeight="true" outlineLevel="0" collapsed="false">
      <c r="A311" s="37"/>
      <c r="B311" s="34" t="n">
        <v>67</v>
      </c>
      <c r="C311" s="28" t="n">
        <v>6.8</v>
      </c>
      <c r="D311" s="28" t="n">
        <v>2.8</v>
      </c>
      <c r="E311" s="28" t="n">
        <v>4.8</v>
      </c>
      <c r="F311" s="28" t="n">
        <v>1.4</v>
      </c>
      <c r="G311" s="35" t="n">
        <v>1</v>
      </c>
      <c r="H311" s="1" t="n">
        <f aca="false">IF(G311=P311, 1, 0)</f>
        <v>1</v>
      </c>
      <c r="I311" s="34" t="n">
        <f aca="false">I310-0.1*T310</f>
        <v>0.278150346935563</v>
      </c>
      <c r="J311" s="36" t="n">
        <f aca="false">J310-0.1*U310</f>
        <v>-0.225551513019914</v>
      </c>
      <c r="K311" s="36" t="n">
        <f aca="false">K310-0.1*V310</f>
        <v>-0.329006288289263</v>
      </c>
      <c r="L311" s="36" t="n">
        <f aca="false">L310-0.1*W310</f>
        <v>0.986529671916647</v>
      </c>
      <c r="M311" s="36" t="n">
        <f aca="false">M310-0.1*X310</f>
        <v>0.766009936853408</v>
      </c>
      <c r="N311" s="31" t="n">
        <f aca="false">I311+J311*C311+K311*D311+L311*E311+F311*M311</f>
        <v>3.63093878798489</v>
      </c>
      <c r="O311" s="31" t="n">
        <f aca="false">1/(1+EXP(-N311))</f>
        <v>0.97419237460973</v>
      </c>
      <c r="P311" s="32" t="n">
        <f aca="false">IF(O311&gt;0.5,1,0)</f>
        <v>1</v>
      </c>
      <c r="Q311" s="32" t="n">
        <f aca="false">O311-G311</f>
        <v>-0.0258076253902702</v>
      </c>
      <c r="R311" s="33" t="n">
        <f aca="false">Q311^2</f>
        <v>0.000666033528284517</v>
      </c>
      <c r="T311" s="26" t="n">
        <f aca="false">2*(O311-G311)*(1-O311)*O311</f>
        <v>-0.00129768956897838</v>
      </c>
      <c r="U311" s="26" t="n">
        <f aca="false">2*(O311-G311)*(1-O311)*O311*C311</f>
        <v>-0.00882428906905298</v>
      </c>
      <c r="V311" s="26" t="n">
        <f aca="false">2*(O311-G311)*(1-O311)*O311*D311</f>
        <v>-0.00363353079313946</v>
      </c>
      <c r="W311" s="26" t="n">
        <f aca="false">2*(O311-G311)*(1-O311)*O311*E311</f>
        <v>-0.00622890993109622</v>
      </c>
      <c r="X311" s="26" t="n">
        <f aca="false">2*(O311-G311)*(1-O311)*O311*F311</f>
        <v>-0.00181676539656973</v>
      </c>
    </row>
    <row r="312" customFormat="false" ht="14.25" hidden="false" customHeight="true" outlineLevel="0" collapsed="false">
      <c r="A312" s="37"/>
      <c r="B312" s="34" t="n">
        <v>68</v>
      </c>
      <c r="C312" s="28" t="n">
        <v>6.7</v>
      </c>
      <c r="D312" s="28" t="n">
        <v>3</v>
      </c>
      <c r="E312" s="28" t="n">
        <v>5</v>
      </c>
      <c r="F312" s="28" t="n">
        <v>1.7</v>
      </c>
      <c r="G312" s="35" t="n">
        <v>1</v>
      </c>
      <c r="H312" s="1" t="n">
        <f aca="false">IF(G312=P312, 1, 0)</f>
        <v>1</v>
      </c>
      <c r="I312" s="34" t="n">
        <f aca="false">I311-0.1*T311</f>
        <v>0.278280115892461</v>
      </c>
      <c r="J312" s="36" t="n">
        <f aca="false">J311-0.1*U311</f>
        <v>-0.224669084113009</v>
      </c>
      <c r="K312" s="36" t="n">
        <f aca="false">K311-0.1*V311</f>
        <v>-0.328642935209949</v>
      </c>
      <c r="L312" s="36" t="n">
        <f aca="false">L311-0.1*W311</f>
        <v>0.987152562909757</v>
      </c>
      <c r="M312" s="36" t="n">
        <f aca="false">M311-0.1*X311</f>
        <v>0.766191613393065</v>
      </c>
      <c r="N312" s="31" t="n">
        <f aca="false">I312+J312*C312+K312*D312+L312*E312+F312*M312</f>
        <v>4.02535700402245</v>
      </c>
      <c r="O312" s="31" t="n">
        <f aca="false">1/(1+EXP(-N312))</f>
        <v>0.982456231930848</v>
      </c>
      <c r="P312" s="32" t="n">
        <f aca="false">IF(O312&gt;0.5,1,0)</f>
        <v>1</v>
      </c>
      <c r="Q312" s="32" t="n">
        <f aca="false">O312-G312</f>
        <v>-0.0175437680691518</v>
      </c>
      <c r="R312" s="33" t="n">
        <f aca="false">Q312^2</f>
        <v>0.000307783798064191</v>
      </c>
      <c r="T312" s="26" t="n">
        <f aca="false">2*(O312-G312)*(1-O312)*O312</f>
        <v>-0.00060476822099102</v>
      </c>
      <c r="U312" s="26" t="n">
        <f aca="false">2*(O312-G312)*(1-O312)*O312*C312</f>
        <v>-0.00405194708063983</v>
      </c>
      <c r="V312" s="26" t="n">
        <f aca="false">2*(O312-G312)*(1-O312)*O312*D312</f>
        <v>-0.00181430466297306</v>
      </c>
      <c r="W312" s="26" t="n">
        <f aca="false">2*(O312-G312)*(1-O312)*O312*E312</f>
        <v>-0.0030238411049551</v>
      </c>
      <c r="X312" s="26" t="n">
        <f aca="false">2*(O312-G312)*(1-O312)*O312*F312</f>
        <v>-0.00102810597568473</v>
      </c>
    </row>
    <row r="313" customFormat="false" ht="14.25" hidden="false" customHeight="true" outlineLevel="0" collapsed="false">
      <c r="A313" s="37"/>
      <c r="B313" s="34" t="n">
        <v>69</v>
      </c>
      <c r="C313" s="28" t="n">
        <v>6</v>
      </c>
      <c r="D313" s="28" t="n">
        <v>2.9</v>
      </c>
      <c r="E313" s="28" t="n">
        <v>4.5</v>
      </c>
      <c r="F313" s="28" t="n">
        <v>1.5</v>
      </c>
      <c r="G313" s="35" t="n">
        <v>1</v>
      </c>
      <c r="H313" s="1" t="n">
        <f aca="false">IF(G313=P313, 1, 0)</f>
        <v>1</v>
      </c>
      <c r="I313" s="34" t="n">
        <f aca="false">I312-0.1*T312</f>
        <v>0.27834059271456</v>
      </c>
      <c r="J313" s="36" t="n">
        <f aca="false">J312-0.1*U312</f>
        <v>-0.224263889404945</v>
      </c>
      <c r="K313" s="36" t="n">
        <f aca="false">K312-0.1*V312</f>
        <v>-0.328461504743652</v>
      </c>
      <c r="L313" s="36" t="n">
        <f aca="false">L312-0.1*W312</f>
        <v>0.987454947020252</v>
      </c>
      <c r="M313" s="36" t="n">
        <f aca="false">M312-0.1*X312</f>
        <v>0.766294423990634</v>
      </c>
      <c r="N313" s="31" t="n">
        <f aca="false">I313+J313*C313+K313*D313+L313*E313+F313*M313</f>
        <v>3.57320779010539</v>
      </c>
      <c r="O313" s="31" t="n">
        <f aca="false">1/(1+EXP(-N313))</f>
        <v>0.972700498757312</v>
      </c>
      <c r="P313" s="32" t="n">
        <f aca="false">IF(O313&gt;0.5,1,0)</f>
        <v>1</v>
      </c>
      <c r="Q313" s="32" t="n">
        <f aca="false">O313-G313</f>
        <v>-0.0272995012426881</v>
      </c>
      <c r="R313" s="33" t="n">
        <f aca="false">Q313^2</f>
        <v>0.000745262768099529</v>
      </c>
      <c r="T313" s="26" t="n">
        <f aca="false">2*(O313-G313)*(1-O313)*O313</f>
        <v>-0.00144983493247133</v>
      </c>
      <c r="U313" s="26" t="n">
        <f aca="false">2*(O313-G313)*(1-O313)*O313*C313</f>
        <v>-0.008699009594828</v>
      </c>
      <c r="V313" s="26" t="n">
        <f aca="false">2*(O313-G313)*(1-O313)*O313*D313</f>
        <v>-0.00420452130416687</v>
      </c>
      <c r="W313" s="26" t="n">
        <f aca="false">2*(O313-G313)*(1-O313)*O313*E313</f>
        <v>-0.006524257196121</v>
      </c>
      <c r="X313" s="26" t="n">
        <f aca="false">2*(O313-G313)*(1-O313)*O313*F313</f>
        <v>-0.002174752398707</v>
      </c>
    </row>
    <row r="314" customFormat="false" ht="14.25" hidden="false" customHeight="true" outlineLevel="0" collapsed="false">
      <c r="A314" s="37"/>
      <c r="B314" s="34" t="n">
        <v>70</v>
      </c>
      <c r="C314" s="28" t="n">
        <v>5.7</v>
      </c>
      <c r="D314" s="28" t="n">
        <v>2.6</v>
      </c>
      <c r="E314" s="28" t="n">
        <v>3.5</v>
      </c>
      <c r="F314" s="28" t="n">
        <v>1</v>
      </c>
      <c r="G314" s="35" t="n">
        <v>1</v>
      </c>
      <c r="H314" s="1" t="n">
        <f aca="false">IF(G314=P314, 1, 0)</f>
        <v>1</v>
      </c>
      <c r="I314" s="34" t="n">
        <f aca="false">I313-0.1*T313</f>
        <v>0.278485576207807</v>
      </c>
      <c r="J314" s="36" t="n">
        <f aca="false">J313-0.1*U313</f>
        <v>-0.223393988445462</v>
      </c>
      <c r="K314" s="36" t="n">
        <f aca="false">K313-0.1*V313</f>
        <v>-0.328041052613235</v>
      </c>
      <c r="L314" s="36" t="n">
        <f aca="false">L313-0.1*W313</f>
        <v>0.988107372739864</v>
      </c>
      <c r="M314" s="36" t="n">
        <f aca="false">M313-0.1*X313</f>
        <v>0.766511899230504</v>
      </c>
      <c r="N314" s="31" t="n">
        <f aca="false">I314+J314*C314+K314*D314+L314*E314+F314*M314</f>
        <v>2.37712080909429</v>
      </c>
      <c r="O314" s="31" t="n">
        <f aca="false">1/(1+EXP(-N314))</f>
        <v>0.915065930017988</v>
      </c>
      <c r="P314" s="32" t="n">
        <f aca="false">IF(O314&gt;0.5,1,0)</f>
        <v>1</v>
      </c>
      <c r="Q314" s="32" t="n">
        <f aca="false">O314-G314</f>
        <v>-0.084934069982012</v>
      </c>
      <c r="R314" s="33" t="n">
        <f aca="false">Q314^2</f>
        <v>0.00721379624370932</v>
      </c>
      <c r="T314" s="26" t="n">
        <f aca="false">2*(O314-G314)*(1-O314)*O314</f>
        <v>-0.0132021983374203</v>
      </c>
      <c r="U314" s="26" t="n">
        <f aca="false">2*(O314-G314)*(1-O314)*O314*C314</f>
        <v>-0.0752525305232955</v>
      </c>
      <c r="V314" s="26" t="n">
        <f aca="false">2*(O314-G314)*(1-O314)*O314*D314</f>
        <v>-0.0343257156772927</v>
      </c>
      <c r="W314" s="26" t="n">
        <f aca="false">2*(O314-G314)*(1-O314)*O314*E314</f>
        <v>-0.0462076941809709</v>
      </c>
      <c r="X314" s="26" t="n">
        <f aca="false">2*(O314-G314)*(1-O314)*O314*F314</f>
        <v>-0.0132021983374203</v>
      </c>
    </row>
    <row r="315" customFormat="false" ht="14.25" hidden="false" customHeight="true" outlineLevel="0" collapsed="false">
      <c r="A315" s="37"/>
      <c r="B315" s="34" t="n">
        <v>71</v>
      </c>
      <c r="C315" s="28" t="n">
        <v>5.5</v>
      </c>
      <c r="D315" s="28" t="n">
        <v>2.4</v>
      </c>
      <c r="E315" s="28" t="n">
        <v>3.8</v>
      </c>
      <c r="F315" s="28" t="n">
        <v>1.1</v>
      </c>
      <c r="G315" s="35" t="n">
        <v>1</v>
      </c>
      <c r="H315" s="1" t="n">
        <f aca="false">IF(G315=P315, 1, 0)</f>
        <v>1</v>
      </c>
      <c r="I315" s="34" t="n">
        <f aca="false">I314-0.1*T314</f>
        <v>0.279805796041549</v>
      </c>
      <c r="J315" s="36" t="n">
        <f aca="false">J314-0.1*U314</f>
        <v>-0.215868735393132</v>
      </c>
      <c r="K315" s="36" t="n">
        <f aca="false">K314-0.1*V314</f>
        <v>-0.324608481045506</v>
      </c>
      <c r="L315" s="36" t="n">
        <f aca="false">L314-0.1*W314</f>
        <v>0.992728142157961</v>
      </c>
      <c r="M315" s="36" t="n">
        <f aca="false">M314-0.1*X314</f>
        <v>0.767832119064246</v>
      </c>
      <c r="N315" s="31" t="n">
        <f aca="false">I315+J315*C315+K315*D315+L315*E315+F315*M315</f>
        <v>2.93044966804103</v>
      </c>
      <c r="O315" s="31" t="n">
        <f aca="false">1/(1+EXP(-N315))</f>
        <v>0.949331309090457</v>
      </c>
      <c r="P315" s="32" t="n">
        <f aca="false">IF(O315&gt;0.5,1,0)</f>
        <v>1</v>
      </c>
      <c r="Q315" s="32" t="n">
        <f aca="false">O315-G315</f>
        <v>-0.0506686909095434</v>
      </c>
      <c r="R315" s="33" t="n">
        <f aca="false">Q315^2</f>
        <v>0.00256731623848685</v>
      </c>
      <c r="T315" s="26" t="n">
        <f aca="false">2*(O315-G315)*(1-O315)*O315</f>
        <v>-0.00487446737106381</v>
      </c>
      <c r="U315" s="26" t="n">
        <f aca="false">2*(O315-G315)*(1-O315)*O315*C315</f>
        <v>-0.026809570540851</v>
      </c>
      <c r="V315" s="26" t="n">
        <f aca="false">2*(O315-G315)*(1-O315)*O315*D315</f>
        <v>-0.0116987216905531</v>
      </c>
      <c r="W315" s="26" t="n">
        <f aca="false">2*(O315-G315)*(1-O315)*O315*E315</f>
        <v>-0.0185229760100425</v>
      </c>
      <c r="X315" s="26" t="n">
        <f aca="false">2*(O315-G315)*(1-O315)*O315*F315</f>
        <v>-0.00536191410817019</v>
      </c>
    </row>
    <row r="316" customFormat="false" ht="14.25" hidden="false" customHeight="true" outlineLevel="0" collapsed="false">
      <c r="A316" s="37"/>
      <c r="B316" s="34" t="n">
        <v>72</v>
      </c>
      <c r="C316" s="28" t="n">
        <v>5.5</v>
      </c>
      <c r="D316" s="28" t="n">
        <v>2.4</v>
      </c>
      <c r="E316" s="28" t="n">
        <v>3.7</v>
      </c>
      <c r="F316" s="28" t="n">
        <v>1</v>
      </c>
      <c r="G316" s="35" t="n">
        <v>1</v>
      </c>
      <c r="H316" s="1" t="n">
        <f aca="false">IF(G316=P316, 1, 0)</f>
        <v>1</v>
      </c>
      <c r="I316" s="34" t="n">
        <f aca="false">I315-0.1*T315</f>
        <v>0.280293242778655</v>
      </c>
      <c r="J316" s="36" t="n">
        <f aca="false">J315-0.1*U315</f>
        <v>-0.213187778339047</v>
      </c>
      <c r="K316" s="36" t="n">
        <f aca="false">K315-0.1*V315</f>
        <v>-0.323438608876451</v>
      </c>
      <c r="L316" s="36" t="n">
        <f aca="false">L315-0.1*W315</f>
        <v>0.994580439758966</v>
      </c>
      <c r="M316" s="36" t="n">
        <f aca="false">M315-0.1*X315</f>
        <v>0.768368310475063</v>
      </c>
      <c r="N316" s="31" t="n">
        <f aca="false">I316+J316*C316+K316*D316+L316*E316+F316*M316</f>
        <v>2.77982373819365</v>
      </c>
      <c r="O316" s="31" t="n">
        <f aca="false">1/(1+EXP(-N316))</f>
        <v>0.941575748899066</v>
      </c>
      <c r="P316" s="32" t="n">
        <f aca="false">IF(O316&gt;0.5,1,0)</f>
        <v>1</v>
      </c>
      <c r="Q316" s="32" t="n">
        <f aca="false">O316-G316</f>
        <v>-0.0584242511009345</v>
      </c>
      <c r="R316" s="33" t="n">
        <f aca="false">Q316^2</f>
        <v>0.00341339311670505</v>
      </c>
      <c r="T316" s="26" t="n">
        <f aca="false">2*(O316-G316)*(1-O316)*O316</f>
        <v>-0.00642793636029694</v>
      </c>
      <c r="U316" s="26" t="n">
        <f aca="false">2*(O316-G316)*(1-O316)*O316*C316</f>
        <v>-0.0353536499816332</v>
      </c>
      <c r="V316" s="26" t="n">
        <f aca="false">2*(O316-G316)*(1-O316)*O316*D316</f>
        <v>-0.0154270472647127</v>
      </c>
      <c r="W316" s="26" t="n">
        <f aca="false">2*(O316-G316)*(1-O316)*O316*E316</f>
        <v>-0.0237833645330987</v>
      </c>
      <c r="X316" s="26" t="n">
        <f aca="false">2*(O316-G316)*(1-O316)*O316*F316</f>
        <v>-0.00642793636029694</v>
      </c>
    </row>
    <row r="317" customFormat="false" ht="14.25" hidden="false" customHeight="true" outlineLevel="0" collapsed="false">
      <c r="A317" s="37"/>
      <c r="B317" s="34" t="n">
        <v>73</v>
      </c>
      <c r="C317" s="28" t="n">
        <v>5.8</v>
      </c>
      <c r="D317" s="28" t="n">
        <v>2.7</v>
      </c>
      <c r="E317" s="28" t="n">
        <v>3.9</v>
      </c>
      <c r="F317" s="28" t="n">
        <v>1.2</v>
      </c>
      <c r="G317" s="35" t="n">
        <v>1</v>
      </c>
      <c r="H317" s="1" t="n">
        <f aca="false">IF(G317=P317, 1, 0)</f>
        <v>1</v>
      </c>
      <c r="I317" s="34" t="n">
        <f aca="false">I316-0.1*T316</f>
        <v>0.280936036414685</v>
      </c>
      <c r="J317" s="36" t="n">
        <f aca="false">J316-0.1*U316</f>
        <v>-0.209652413340884</v>
      </c>
      <c r="K317" s="36" t="n">
        <f aca="false">K316-0.1*V316</f>
        <v>-0.321895904149979</v>
      </c>
      <c r="L317" s="36" t="n">
        <f aca="false">L316-0.1*W316</f>
        <v>0.996958776212275</v>
      </c>
      <c r="M317" s="36" t="n">
        <f aca="false">M316-0.1*X316</f>
        <v>0.769011104111093</v>
      </c>
      <c r="N317" s="31" t="n">
        <f aca="false">I317+J317*C317+K317*D317+L317*E317+F317*M317</f>
        <v>3.0067856499938</v>
      </c>
      <c r="O317" s="31" t="n">
        <f aca="false">1/(1+EXP(-N317))</f>
        <v>0.952879740109248</v>
      </c>
      <c r="P317" s="32" t="n">
        <f aca="false">IF(O317&gt;0.5,1,0)</f>
        <v>1</v>
      </c>
      <c r="Q317" s="32" t="n">
        <f aca="false">O317-G317</f>
        <v>-0.0471202598907519</v>
      </c>
      <c r="R317" s="33" t="n">
        <f aca="false">Q317^2</f>
        <v>0.002220318892172</v>
      </c>
      <c r="T317" s="26" t="n">
        <f aca="false">2*(O317-G317)*(1-O317)*O317</f>
        <v>-0.00423139377786502</v>
      </c>
      <c r="U317" s="26" t="n">
        <f aca="false">2*(O317-G317)*(1-O317)*O317*C317</f>
        <v>-0.0245420839116171</v>
      </c>
      <c r="V317" s="26" t="n">
        <f aca="false">2*(O317-G317)*(1-O317)*O317*D317</f>
        <v>-0.0114247632002355</v>
      </c>
      <c r="W317" s="26" t="n">
        <f aca="false">2*(O317-G317)*(1-O317)*O317*E317</f>
        <v>-0.0165024357336736</v>
      </c>
      <c r="X317" s="26" t="n">
        <f aca="false">2*(O317-G317)*(1-O317)*O317*F317</f>
        <v>-0.00507767253343802</v>
      </c>
    </row>
    <row r="318" customFormat="false" ht="14.25" hidden="false" customHeight="true" outlineLevel="0" collapsed="false">
      <c r="A318" s="37"/>
      <c r="B318" s="34" t="n">
        <v>74</v>
      </c>
      <c r="C318" s="28" t="n">
        <v>6</v>
      </c>
      <c r="D318" s="28" t="n">
        <v>2.7</v>
      </c>
      <c r="E318" s="28" t="n">
        <v>5.1</v>
      </c>
      <c r="F318" s="28" t="n">
        <v>1.6</v>
      </c>
      <c r="G318" s="35" t="n">
        <v>1</v>
      </c>
      <c r="H318" s="1" t="n">
        <f aca="false">IF(G318=P318, 1, 0)</f>
        <v>1</v>
      </c>
      <c r="I318" s="34" t="n">
        <f aca="false">I317-0.1*T317</f>
        <v>0.281359175792472</v>
      </c>
      <c r="J318" s="36" t="n">
        <f aca="false">J317-0.1*U317</f>
        <v>-0.207198204949722</v>
      </c>
      <c r="K318" s="36" t="n">
        <f aca="false">K317-0.1*V317</f>
        <v>-0.320753427829956</v>
      </c>
      <c r="L318" s="36" t="n">
        <f aca="false">L317-0.1*W317</f>
        <v>0.998609019785643</v>
      </c>
      <c r="M318" s="36" t="n">
        <f aca="false">M317-0.1*X317</f>
        <v>0.769518871364437</v>
      </c>
      <c r="N318" s="31" t="n">
        <f aca="false">I318+J318*C318+K318*D318+L318*E318+F318*M318</f>
        <v>4.49627188604313</v>
      </c>
      <c r="O318" s="31" t="n">
        <f aca="false">1/(1+EXP(-N318))</f>
        <v>0.988972472884299</v>
      </c>
      <c r="P318" s="32" t="n">
        <f aca="false">IF(O318&gt;0.5,1,0)</f>
        <v>1</v>
      </c>
      <c r="Q318" s="32" t="n">
        <f aca="false">O318-G318</f>
        <v>-0.0110275271157015</v>
      </c>
      <c r="R318" s="33" t="n">
        <f aca="false">Q318^2</f>
        <v>0.000121606354287533</v>
      </c>
      <c r="T318" s="26" t="n">
        <f aca="false">2*(O318-G318)*(1-O318)*O318</f>
        <v>-0.000240530673836371</v>
      </c>
      <c r="U318" s="26" t="n">
        <f aca="false">2*(O318-G318)*(1-O318)*O318*C318</f>
        <v>-0.00144318404301822</v>
      </c>
      <c r="V318" s="26" t="n">
        <f aca="false">2*(O318-G318)*(1-O318)*O318*D318</f>
        <v>-0.000649432819358201</v>
      </c>
      <c r="W318" s="26" t="n">
        <f aca="false">2*(O318-G318)*(1-O318)*O318*E318</f>
        <v>-0.00122670643656549</v>
      </c>
      <c r="X318" s="26" t="n">
        <f aca="false">2*(O318-G318)*(1-O318)*O318*F318</f>
        <v>-0.000384849078138193</v>
      </c>
    </row>
    <row r="319" customFormat="false" ht="14.25" hidden="false" customHeight="true" outlineLevel="0" collapsed="false">
      <c r="A319" s="37"/>
      <c r="B319" s="34" t="n">
        <v>75</v>
      </c>
      <c r="C319" s="28" t="n">
        <v>5.4</v>
      </c>
      <c r="D319" s="28" t="n">
        <v>3</v>
      </c>
      <c r="E319" s="28" t="n">
        <v>4.5</v>
      </c>
      <c r="F319" s="28" t="n">
        <v>1.5</v>
      </c>
      <c r="G319" s="35" t="n">
        <v>1</v>
      </c>
      <c r="H319" s="1" t="n">
        <f aca="false">IF(G319=P319, 1, 0)</f>
        <v>1</v>
      </c>
      <c r="I319" s="34" t="n">
        <f aca="false">I318-0.1*T318</f>
        <v>0.281383228859855</v>
      </c>
      <c r="J319" s="36" t="n">
        <f aca="false">J318-0.1*U318</f>
        <v>-0.207053886545421</v>
      </c>
      <c r="K319" s="36" t="n">
        <f aca="false">K318-0.1*V318</f>
        <v>-0.32068848454802</v>
      </c>
      <c r="L319" s="36" t="n">
        <f aca="false">L318-0.1*W318</f>
        <v>0.998731690429299</v>
      </c>
      <c r="M319" s="36" t="n">
        <f aca="false">M318-0.1*X318</f>
        <v>0.769557356272251</v>
      </c>
      <c r="N319" s="31" t="n">
        <f aca="false">I319+J319*C319+K319*D319+L319*E319+F319*M319</f>
        <v>3.84985542921075</v>
      </c>
      <c r="O319" s="31" t="n">
        <f aca="false">1/(1+EXP(-N319))</f>
        <v>0.979160705716092</v>
      </c>
      <c r="P319" s="32" t="n">
        <f aca="false">IF(O319&gt;0.5,1,0)</f>
        <v>1</v>
      </c>
      <c r="Q319" s="32" t="n">
        <f aca="false">O319-G319</f>
        <v>-0.0208392942839084</v>
      </c>
      <c r="R319" s="33" t="n">
        <f aca="false">Q319^2</f>
        <v>0.000434276186251338</v>
      </c>
      <c r="T319" s="26" t="n">
        <f aca="false">2*(O319-G319)*(1-O319)*O319</f>
        <v>-0.000850452354011105</v>
      </c>
      <c r="U319" s="26" t="n">
        <f aca="false">2*(O319-G319)*(1-O319)*O319*C319</f>
        <v>-0.00459244271165997</v>
      </c>
      <c r="V319" s="26" t="n">
        <f aca="false">2*(O319-G319)*(1-O319)*O319*D319</f>
        <v>-0.00255135706203332</v>
      </c>
      <c r="W319" s="26" t="n">
        <f aca="false">2*(O319-G319)*(1-O319)*O319*E319</f>
        <v>-0.00382703559304997</v>
      </c>
      <c r="X319" s="26" t="n">
        <f aca="false">2*(O319-G319)*(1-O319)*O319*F319</f>
        <v>-0.00127567853101666</v>
      </c>
    </row>
    <row r="320" customFormat="false" ht="14.25" hidden="false" customHeight="true" outlineLevel="0" collapsed="false">
      <c r="A320" s="37"/>
      <c r="B320" s="34" t="n">
        <v>76</v>
      </c>
      <c r="C320" s="28" t="n">
        <v>6</v>
      </c>
      <c r="D320" s="28" t="n">
        <v>3.4</v>
      </c>
      <c r="E320" s="28" t="n">
        <v>4.5</v>
      </c>
      <c r="F320" s="28" t="n">
        <v>1.6</v>
      </c>
      <c r="G320" s="35" t="n">
        <v>1</v>
      </c>
      <c r="H320" s="1" t="n">
        <f aca="false">IF(G320=P320, 1, 0)</f>
        <v>1</v>
      </c>
      <c r="I320" s="34" t="n">
        <f aca="false">I319-0.1*T319</f>
        <v>0.281468274095256</v>
      </c>
      <c r="J320" s="36" t="n">
        <f aca="false">J319-0.1*U319</f>
        <v>-0.206594642274255</v>
      </c>
      <c r="K320" s="36" t="n">
        <f aca="false">K319-0.1*V319</f>
        <v>-0.320433348841817</v>
      </c>
      <c r="L320" s="36" t="n">
        <f aca="false">L319-0.1*W319</f>
        <v>0.999114393988604</v>
      </c>
      <c r="M320" s="36" t="n">
        <f aca="false">M319-0.1*X319</f>
        <v>0.769684924125352</v>
      </c>
      <c r="N320" s="31" t="n">
        <f aca="false">I320+J320*C320+K320*D320+L320*E320+F320*M320</f>
        <v>3.67993768593684</v>
      </c>
      <c r="O320" s="31" t="n">
        <f aca="false">1/(1+EXP(-N320))</f>
        <v>0.975396076193108</v>
      </c>
      <c r="P320" s="32" t="n">
        <f aca="false">IF(O320&gt;0.5,1,0)</f>
        <v>1</v>
      </c>
      <c r="Q320" s="32" t="n">
        <f aca="false">O320-G320</f>
        <v>-0.0246039238068924</v>
      </c>
      <c r="R320" s="33" t="n">
        <f aca="false">Q320^2</f>
        <v>0.000605353066695365</v>
      </c>
      <c r="T320" s="26" t="n">
        <f aca="false">2*(O320-G320)*(1-O320)*O320</f>
        <v>-0.00118091801193225</v>
      </c>
      <c r="U320" s="26" t="n">
        <f aca="false">2*(O320-G320)*(1-O320)*O320*C320</f>
        <v>-0.00708550807159348</v>
      </c>
      <c r="V320" s="26" t="n">
        <f aca="false">2*(O320-G320)*(1-O320)*O320*D320</f>
        <v>-0.00401512124056964</v>
      </c>
      <c r="W320" s="26" t="n">
        <f aca="false">2*(O320-G320)*(1-O320)*O320*E320</f>
        <v>-0.00531413105369511</v>
      </c>
      <c r="X320" s="26" t="n">
        <f aca="false">2*(O320-G320)*(1-O320)*O320*F320</f>
        <v>-0.00188946881909159</v>
      </c>
    </row>
    <row r="321" customFormat="false" ht="14.25" hidden="false" customHeight="true" outlineLevel="0" collapsed="false">
      <c r="A321" s="37"/>
      <c r="B321" s="34" t="n">
        <v>77</v>
      </c>
      <c r="C321" s="28" t="n">
        <v>6.7</v>
      </c>
      <c r="D321" s="28" t="n">
        <v>3.1</v>
      </c>
      <c r="E321" s="28" t="n">
        <v>4.7</v>
      </c>
      <c r="F321" s="28" t="n">
        <v>1.5</v>
      </c>
      <c r="G321" s="35" t="n">
        <v>1</v>
      </c>
      <c r="H321" s="1" t="n">
        <f aca="false">IF(G321=P321, 1, 0)</f>
        <v>1</v>
      </c>
      <c r="I321" s="34" t="n">
        <f aca="false">I320-0.1*T320</f>
        <v>0.28158636589645</v>
      </c>
      <c r="J321" s="36" t="n">
        <f aca="false">J320-0.1*U320</f>
        <v>-0.205886091467095</v>
      </c>
      <c r="K321" s="36" t="n">
        <f aca="false">K320-0.1*V320</f>
        <v>-0.32003183671776</v>
      </c>
      <c r="L321" s="36" t="n">
        <f aca="false">L320-0.1*W320</f>
        <v>0.999645807093974</v>
      </c>
      <c r="M321" s="36" t="n">
        <f aca="false">M320-0.1*X320</f>
        <v>0.769873871007262</v>
      </c>
      <c r="N321" s="31" t="n">
        <f aca="false">I321+J321*C321+K321*D321+L321*E321+F321*M321</f>
        <v>3.76319695909443</v>
      </c>
      <c r="O321" s="31" t="n">
        <f aca="false">1/(1+EXP(-N321))</f>
        <v>0.977317036406864</v>
      </c>
      <c r="P321" s="32" t="n">
        <f aca="false">IF(O321&gt;0.5,1,0)</f>
        <v>1</v>
      </c>
      <c r="Q321" s="32" t="n">
        <f aca="false">O321-G321</f>
        <v>-0.0226829635931356</v>
      </c>
      <c r="R321" s="33" t="n">
        <f aca="false">Q321^2</f>
        <v>0.000514516837367515</v>
      </c>
      <c r="T321" s="26" t="n">
        <f aca="false">2*(O321-G321)*(1-O321)*O321</f>
        <v>-0.0010056921413549</v>
      </c>
      <c r="U321" s="26" t="n">
        <f aca="false">2*(O321-G321)*(1-O321)*O321*C321</f>
        <v>-0.00673813734707786</v>
      </c>
      <c r="V321" s="26" t="n">
        <f aca="false">2*(O321-G321)*(1-O321)*O321*D321</f>
        <v>-0.0031176456382002</v>
      </c>
      <c r="W321" s="26" t="n">
        <f aca="false">2*(O321-G321)*(1-O321)*O321*E321</f>
        <v>-0.00472675306436805</v>
      </c>
      <c r="X321" s="26" t="n">
        <f aca="false">2*(O321-G321)*(1-O321)*O321*F321</f>
        <v>-0.00150853821203236</v>
      </c>
    </row>
    <row r="322" customFormat="false" ht="14.25" hidden="false" customHeight="true" outlineLevel="0" collapsed="false">
      <c r="A322" s="37"/>
      <c r="B322" s="34" t="n">
        <v>78</v>
      </c>
      <c r="C322" s="28" t="n">
        <v>6.3</v>
      </c>
      <c r="D322" s="28" t="n">
        <v>2.3</v>
      </c>
      <c r="E322" s="28" t="n">
        <v>4.4</v>
      </c>
      <c r="F322" s="28" t="n">
        <v>1.3</v>
      </c>
      <c r="G322" s="35" t="n">
        <v>1</v>
      </c>
      <c r="H322" s="1" t="n">
        <f aca="false">IF(G322=P322, 1, 0)</f>
        <v>1</v>
      </c>
      <c r="I322" s="34" t="n">
        <f aca="false">I321-0.1*T321</f>
        <v>0.281686935110585</v>
      </c>
      <c r="J322" s="36" t="n">
        <f aca="false">J321-0.1*U321</f>
        <v>-0.205212277732387</v>
      </c>
      <c r="K322" s="36" t="n">
        <f aca="false">K321-0.1*V321</f>
        <v>-0.31972007215394</v>
      </c>
      <c r="L322" s="36" t="n">
        <f aca="false">L321-0.1*W321</f>
        <v>1.00011848240041</v>
      </c>
      <c r="M322" s="36" t="n">
        <f aca="false">M321-0.1*X321</f>
        <v>0.770024724828465</v>
      </c>
      <c r="N322" s="31" t="n">
        <f aca="false">I322+J322*C322+K322*D322+L322*E322+F322*M322</f>
        <v>3.6550468842813</v>
      </c>
      <c r="O322" s="31" t="n">
        <f aca="false">1/(1+EXP(-N322))</f>
        <v>0.974791611107631</v>
      </c>
      <c r="P322" s="32" t="n">
        <f aca="false">IF(O322&gt;0.5,1,0)</f>
        <v>1</v>
      </c>
      <c r="Q322" s="32" t="n">
        <f aca="false">O322-G322</f>
        <v>-0.025208388892369</v>
      </c>
      <c r="R322" s="33" t="n">
        <f aca="false">Q322^2</f>
        <v>0.000635462870548912</v>
      </c>
      <c r="T322" s="26" t="n">
        <f aca="false">2*(O322-G322)*(1-O322)*O322</f>
        <v>-0.00123888775076291</v>
      </c>
      <c r="U322" s="26" t="n">
        <f aca="false">2*(O322-G322)*(1-O322)*O322*C322</f>
        <v>-0.00780499282980632</v>
      </c>
      <c r="V322" s="26" t="n">
        <f aca="false">2*(O322-G322)*(1-O322)*O322*D322</f>
        <v>-0.00284944182675469</v>
      </c>
      <c r="W322" s="26" t="n">
        <f aca="false">2*(O322-G322)*(1-O322)*O322*E322</f>
        <v>-0.00545110610335679</v>
      </c>
      <c r="X322" s="26" t="n">
        <f aca="false">2*(O322-G322)*(1-O322)*O322*F322</f>
        <v>-0.00161055407599178</v>
      </c>
    </row>
    <row r="323" customFormat="false" ht="14.25" hidden="false" customHeight="true" outlineLevel="0" collapsed="false">
      <c r="A323" s="37"/>
      <c r="B323" s="34" t="n">
        <v>79</v>
      </c>
      <c r="C323" s="28" t="n">
        <v>5.6</v>
      </c>
      <c r="D323" s="28" t="n">
        <v>3</v>
      </c>
      <c r="E323" s="28" t="n">
        <v>4.1</v>
      </c>
      <c r="F323" s="28" t="n">
        <v>1.3</v>
      </c>
      <c r="G323" s="35" t="n">
        <v>1</v>
      </c>
      <c r="H323" s="1" t="n">
        <f aca="false">IF(G323=P323, 1, 0)</f>
        <v>1</v>
      </c>
      <c r="I323" s="34" t="n">
        <f aca="false">I322-0.1*T322</f>
        <v>0.281810823885661</v>
      </c>
      <c r="J323" s="36" t="n">
        <f aca="false">J322-0.1*U322</f>
        <v>-0.204431778449407</v>
      </c>
      <c r="K323" s="36" t="n">
        <f aca="false">K322-0.1*V322</f>
        <v>-0.319435127971264</v>
      </c>
      <c r="L323" s="36" t="n">
        <f aca="false">L322-0.1*W322</f>
        <v>1.00066359301075</v>
      </c>
      <c r="M323" s="36" t="n">
        <f aca="false">M322-0.1*X322</f>
        <v>0.770185780236064</v>
      </c>
      <c r="N323" s="31" t="n">
        <f aca="false">I323+J323*C323+K323*D323+L323*E323+F323*M323</f>
        <v>3.28264972630613</v>
      </c>
      <c r="O323" s="31" t="n">
        <f aca="false">1/(1+EXP(-N323))</f>
        <v>0.963828774302853</v>
      </c>
      <c r="P323" s="32" t="n">
        <f aca="false">IF(O323&gt;0.5,1,0)</f>
        <v>1</v>
      </c>
      <c r="Q323" s="32" t="n">
        <f aca="false">O323-G323</f>
        <v>-0.0361712256971474</v>
      </c>
      <c r="R323" s="33" t="n">
        <f aca="false">Q323^2</f>
        <v>0.00130835756843397</v>
      </c>
      <c r="T323" s="26" t="n">
        <f aca="false">2*(O323-G323)*(1-O323)*O323</f>
        <v>-0.00252206534306716</v>
      </c>
      <c r="U323" s="26" t="n">
        <f aca="false">2*(O323-G323)*(1-O323)*O323*C323</f>
        <v>-0.0141235659211761</v>
      </c>
      <c r="V323" s="26" t="n">
        <f aca="false">2*(O323-G323)*(1-O323)*O323*D323</f>
        <v>-0.00756619602920147</v>
      </c>
      <c r="W323" s="26" t="n">
        <f aca="false">2*(O323-G323)*(1-O323)*O323*E323</f>
        <v>-0.0103404679065753</v>
      </c>
      <c r="X323" s="26" t="n">
        <f aca="false">2*(O323-G323)*(1-O323)*O323*F323</f>
        <v>-0.0032786849459873</v>
      </c>
    </row>
    <row r="324" customFormat="false" ht="14.25" hidden="false" customHeight="true" outlineLevel="0" collapsed="false">
      <c r="A324" s="37"/>
      <c r="B324" s="34" t="n">
        <v>80</v>
      </c>
      <c r="C324" s="28" t="n">
        <v>5.5</v>
      </c>
      <c r="D324" s="28" t="n">
        <v>2.5</v>
      </c>
      <c r="E324" s="28" t="n">
        <v>4</v>
      </c>
      <c r="F324" s="28" t="n">
        <v>1.3</v>
      </c>
      <c r="G324" s="35" t="n">
        <v>1</v>
      </c>
      <c r="H324" s="1" t="n">
        <f aca="false">IF(G324=P324, 1, 0)</f>
        <v>1</v>
      </c>
      <c r="I324" s="34" t="n">
        <f aca="false">I323-0.1*T323</f>
        <v>0.282063030419968</v>
      </c>
      <c r="J324" s="36" t="n">
        <f aca="false">J323-0.1*U323</f>
        <v>-0.203019421857289</v>
      </c>
      <c r="K324" s="36" t="n">
        <f aca="false">K323-0.1*V323</f>
        <v>-0.318678508368344</v>
      </c>
      <c r="L324" s="36" t="n">
        <f aca="false">L323-0.1*W323</f>
        <v>1.0016976398014</v>
      </c>
      <c r="M324" s="36" t="n">
        <f aca="false">M323-0.1*X323</f>
        <v>0.770513648730663</v>
      </c>
      <c r="N324" s="31" t="n">
        <f aca="false">I324+J324*C324+K324*D324+L324*E324+F324*M324</f>
        <v>3.3772182418395</v>
      </c>
      <c r="O324" s="31" t="n">
        <f aca="false">1/(1+EXP(-N324))</f>
        <v>0.966984912590664</v>
      </c>
      <c r="P324" s="32" t="n">
        <f aca="false">IF(O324&gt;0.5,1,0)</f>
        <v>1</v>
      </c>
      <c r="Q324" s="32" t="n">
        <f aca="false">O324-G324</f>
        <v>-0.0330150874093361</v>
      </c>
      <c r="R324" s="33" t="n">
        <f aca="false">Q324^2</f>
        <v>0.0010899959966461</v>
      </c>
      <c r="S324" s="1" t="n">
        <f aca="false">AVERAGE(R245:R324)</f>
        <v>0.0173572016784266</v>
      </c>
      <c r="T324" s="26" t="n">
        <f aca="false">2*(O324-G324)*(1-O324)*O324</f>
        <v>-0.00210801936708201</v>
      </c>
      <c r="U324" s="26" t="n">
        <f aca="false">2*(O324-G324)*(1-O324)*O324*C324</f>
        <v>-0.0115941065189511</v>
      </c>
      <c r="V324" s="26" t="n">
        <f aca="false">2*(O324-G324)*(1-O324)*O324*D324</f>
        <v>-0.00527004841770503</v>
      </c>
      <c r="W324" s="26" t="n">
        <f aca="false">2*(O324-G324)*(1-O324)*O324*E324</f>
        <v>-0.00843207746832805</v>
      </c>
      <c r="X324" s="26" t="n">
        <f aca="false">2*(O324-G324)*(1-O324)*O324*F324</f>
        <v>-0.00274042517720662</v>
      </c>
    </row>
    <row r="325" customFormat="false" ht="14.25" hidden="false" customHeight="true" outlineLevel="0" collapsed="false">
      <c r="A325" s="37" t="s">
        <v>36</v>
      </c>
      <c r="B325" s="34" t="n">
        <v>1</v>
      </c>
      <c r="C325" s="28" t="n">
        <v>5.1</v>
      </c>
      <c r="D325" s="28" t="n">
        <v>3.5</v>
      </c>
      <c r="E325" s="28" t="n">
        <v>1.4</v>
      </c>
      <c r="F325" s="28" t="n">
        <v>0.2</v>
      </c>
      <c r="G325" s="35" t="n">
        <v>0</v>
      </c>
      <c r="H325" s="1" t="n">
        <f aca="false">IF(G325=P325, 1, 0)</f>
        <v>1</v>
      </c>
      <c r="I325" s="34" t="n">
        <f aca="false">I324-0.1*T324</f>
        <v>0.282273832356676</v>
      </c>
      <c r="J325" s="36" t="n">
        <f aca="false">J324-0.1*U324</f>
        <v>-0.201860011205394</v>
      </c>
      <c r="K325" s="36" t="n">
        <f aca="false">K324-0.1*V324</f>
        <v>-0.318151503526573</v>
      </c>
      <c r="L325" s="36" t="n">
        <f aca="false">L324-0.1*W324</f>
        <v>1.00254084754824</v>
      </c>
      <c r="M325" s="36" t="n">
        <f aca="false">M324-0.1*X324</f>
        <v>0.770787691248383</v>
      </c>
      <c r="N325" s="31" t="n">
        <f aca="false">I325+J325*C325+K325*D325+L325*E325+F325*M325</f>
        <v>-0.303027762316632</v>
      </c>
      <c r="O325" s="31" t="n">
        <f aca="false">1/(1+EXP(-N325))</f>
        <v>0.424817488879992</v>
      </c>
      <c r="P325" s="32" t="n">
        <f aca="false">IF(O325&gt;0.5,1,0)</f>
        <v>0</v>
      </c>
      <c r="Q325" s="32" t="n">
        <f aca="false">O325-G325</f>
        <v>0.424817488879992</v>
      </c>
      <c r="R325" s="33" t="n">
        <f aca="false">Q325^2</f>
        <v>0.180469898858302</v>
      </c>
      <c r="T325" s="26" t="n">
        <f aca="false">2*(O325-G325)*(1-O325)*O325</f>
        <v>0.207606259213784</v>
      </c>
      <c r="U325" s="26" t="n">
        <f aca="false">2*(O325-G325)*(1-O325)*O325*C325</f>
        <v>1.0587919219903</v>
      </c>
      <c r="V325" s="26" t="n">
        <f aca="false">2*(O325-G325)*(1-O325)*O325*D325</f>
        <v>0.726621907248244</v>
      </c>
      <c r="W325" s="26" t="n">
        <f aca="false">2*(O325-G325)*(1-O325)*O325*E325</f>
        <v>0.290648762899298</v>
      </c>
      <c r="X325" s="26" t="n">
        <f aca="false">2*(O325-G325)*(1-O325)*O325*F325</f>
        <v>0.0415212518427568</v>
      </c>
    </row>
    <row r="326" customFormat="false" ht="14.25" hidden="false" customHeight="true" outlineLevel="0" collapsed="false">
      <c r="A326" s="37"/>
      <c r="B326" s="34" t="n">
        <v>2</v>
      </c>
      <c r="C326" s="28" t="n">
        <v>4.9</v>
      </c>
      <c r="D326" s="28" t="n">
        <v>3</v>
      </c>
      <c r="E326" s="28" t="n">
        <v>1.4</v>
      </c>
      <c r="F326" s="28" t="n">
        <v>0.2</v>
      </c>
      <c r="G326" s="35" t="n">
        <v>0</v>
      </c>
      <c r="H326" s="1" t="n">
        <f aca="false">IF(G326=P326, 1, 0)</f>
        <v>1</v>
      </c>
      <c r="I326" s="34" t="n">
        <f aca="false">I325-0.1*T325</f>
        <v>0.261513206435298</v>
      </c>
      <c r="J326" s="36" t="n">
        <f aca="false">J325-0.1*U325</f>
        <v>-0.307739203404424</v>
      </c>
      <c r="K326" s="36" t="n">
        <f aca="false">K325-0.1*V325</f>
        <v>-0.390813694251398</v>
      </c>
      <c r="L326" s="36" t="n">
        <f aca="false">L325-0.1*W325</f>
        <v>0.973475971258307</v>
      </c>
      <c r="M326" s="36" t="n">
        <f aca="false">M325-0.1*X325</f>
        <v>0.766635566064108</v>
      </c>
      <c r="N326" s="31" t="n">
        <f aca="false">I326+J326*C326+K326*D326+L326*E326+F326*M326</f>
        <v>-0.902656500026121</v>
      </c>
      <c r="O326" s="31" t="n">
        <f aca="false">1/(1+EXP(-N326))</f>
        <v>0.28850489187446</v>
      </c>
      <c r="P326" s="32" t="n">
        <f aca="false">IF(O326&gt;0.5,1,0)</f>
        <v>0</v>
      </c>
      <c r="Q326" s="32" t="n">
        <f aca="false">O326-G326</f>
        <v>0.28850489187446</v>
      </c>
      <c r="R326" s="33" t="n">
        <f aca="false">Q326^2</f>
        <v>0.0832350726354939</v>
      </c>
      <c r="T326" s="26" t="n">
        <f aca="false">2*(O326-G326)*(1-O326)*O326</f>
        <v>0.118442694009256</v>
      </c>
      <c r="U326" s="26" t="n">
        <f aca="false">2*(O326-G326)*(1-O326)*O326*C326</f>
        <v>0.580369200645354</v>
      </c>
      <c r="V326" s="26" t="n">
        <f aca="false">2*(O326-G326)*(1-O326)*O326*D326</f>
        <v>0.355328082027768</v>
      </c>
      <c r="W326" s="26" t="n">
        <f aca="false">2*(O326-G326)*(1-O326)*O326*E326</f>
        <v>0.165819771612958</v>
      </c>
      <c r="X326" s="26" t="n">
        <f aca="false">2*(O326-G326)*(1-O326)*O326*F326</f>
        <v>0.0236885388018512</v>
      </c>
    </row>
    <row r="327" customFormat="false" ht="14.25" hidden="false" customHeight="true" outlineLevel="0" collapsed="false">
      <c r="A327" s="37"/>
      <c r="B327" s="34" t="n">
        <v>3</v>
      </c>
      <c r="C327" s="28" t="n">
        <v>4.7</v>
      </c>
      <c r="D327" s="28" t="n">
        <v>3.2</v>
      </c>
      <c r="E327" s="28" t="n">
        <v>1.3</v>
      </c>
      <c r="F327" s="28" t="n">
        <v>0.2</v>
      </c>
      <c r="G327" s="35" t="n">
        <v>0</v>
      </c>
      <c r="H327" s="1" t="n">
        <f aca="false">IF(G327=P327, 1, 0)</f>
        <v>1</v>
      </c>
      <c r="I327" s="34" t="n">
        <f aca="false">I326-0.1*T326</f>
        <v>0.249668937034372</v>
      </c>
      <c r="J327" s="36" t="n">
        <f aca="false">J326-0.1*U326</f>
        <v>-0.365776123468959</v>
      </c>
      <c r="K327" s="36" t="n">
        <f aca="false">K326-0.1*V326</f>
        <v>-0.426346502454175</v>
      </c>
      <c r="L327" s="36" t="n">
        <f aca="false">L326-0.1*W326</f>
        <v>0.956893994097011</v>
      </c>
      <c r="M327" s="36" t="n">
        <f aca="false">M326-0.1*X326</f>
        <v>0.764266712183923</v>
      </c>
      <c r="N327" s="31" t="n">
        <f aca="false">I327+J327*C327+K327*D327+L327*E327+F327*M327</f>
        <v>-1.4369721163602</v>
      </c>
      <c r="O327" s="31" t="n">
        <f aca="false">1/(1+EXP(-N327))</f>
        <v>0.192014671659511</v>
      </c>
      <c r="P327" s="32" t="n">
        <f aca="false">IF(O327&gt;0.5,1,0)</f>
        <v>0</v>
      </c>
      <c r="Q327" s="32" t="n">
        <f aca="false">O327-G327</f>
        <v>0.192014671659511</v>
      </c>
      <c r="R327" s="33" t="n">
        <f aca="false">Q327^2</f>
        <v>0.0368696341325097</v>
      </c>
      <c r="T327" s="26" t="n">
        <f aca="false">2*(O327-G327)*(1-O327)*O327</f>
        <v>0.0595802468806991</v>
      </c>
      <c r="U327" s="26" t="n">
        <f aca="false">2*(O327-G327)*(1-O327)*O327*C327</f>
        <v>0.280027160339286</v>
      </c>
      <c r="V327" s="26" t="n">
        <f aca="false">2*(O327-G327)*(1-O327)*O327*D327</f>
        <v>0.190656790018237</v>
      </c>
      <c r="W327" s="26" t="n">
        <f aca="false">2*(O327-G327)*(1-O327)*O327*E327</f>
        <v>0.0774543209449088</v>
      </c>
      <c r="X327" s="26" t="n">
        <f aca="false">2*(O327-G327)*(1-O327)*O327*F327</f>
        <v>0.0119160493761398</v>
      </c>
    </row>
    <row r="328" customFormat="false" ht="14.25" hidden="false" customHeight="true" outlineLevel="0" collapsed="false">
      <c r="A328" s="37"/>
      <c r="B328" s="34" t="n">
        <v>4</v>
      </c>
      <c r="C328" s="28" t="n">
        <v>4.6</v>
      </c>
      <c r="D328" s="28" t="n">
        <v>3.1</v>
      </c>
      <c r="E328" s="28" t="n">
        <v>1.5</v>
      </c>
      <c r="F328" s="28" t="n">
        <v>0.2</v>
      </c>
      <c r="G328" s="35" t="n">
        <v>0</v>
      </c>
      <c r="H328" s="1" t="n">
        <f aca="false">IF(G328=P328, 1, 0)</f>
        <v>1</v>
      </c>
      <c r="I328" s="34" t="n">
        <f aca="false">I327-0.1*T327</f>
        <v>0.243710912346302</v>
      </c>
      <c r="J328" s="36" t="n">
        <f aca="false">J327-0.1*U327</f>
        <v>-0.393778839502888</v>
      </c>
      <c r="K328" s="36" t="n">
        <f aca="false">K327-0.1*V327</f>
        <v>-0.445412181455998</v>
      </c>
      <c r="L328" s="36" t="n">
        <f aca="false">L327-0.1*W327</f>
        <v>0.94914856200252</v>
      </c>
      <c r="M328" s="36" t="n">
        <f aca="false">M327-0.1*X327</f>
        <v>0.763075107246309</v>
      </c>
      <c r="N328" s="31" t="n">
        <f aca="false">I328+J328*C328+K328*D328+L328*E328+F328*M328</f>
        <v>-1.37211164742753</v>
      </c>
      <c r="O328" s="31" t="n">
        <f aca="false">1/(1+EXP(-N328))</f>
        <v>0.202278892254006</v>
      </c>
      <c r="P328" s="32" t="n">
        <f aca="false">IF(O328&gt;0.5,1,0)</f>
        <v>0</v>
      </c>
      <c r="Q328" s="32" t="n">
        <f aca="false">O328-G328</f>
        <v>0.202278892254006</v>
      </c>
      <c r="R328" s="33" t="n">
        <f aca="false">Q328^2</f>
        <v>0.0409167502515078</v>
      </c>
      <c r="T328" s="26" t="n">
        <f aca="false">2*(O328-G328)*(1-O328)*O328</f>
        <v>0.065280310671998</v>
      </c>
      <c r="U328" s="26" t="n">
        <f aca="false">2*(O328-G328)*(1-O328)*O328*C328</f>
        <v>0.300289429091191</v>
      </c>
      <c r="V328" s="26" t="n">
        <f aca="false">2*(O328-G328)*(1-O328)*O328*D328</f>
        <v>0.202368963083194</v>
      </c>
      <c r="W328" s="26" t="n">
        <f aca="false">2*(O328-G328)*(1-O328)*O328*E328</f>
        <v>0.097920466007997</v>
      </c>
      <c r="X328" s="26" t="n">
        <f aca="false">2*(O328-G328)*(1-O328)*O328*F328</f>
        <v>0.0130560621343996</v>
      </c>
    </row>
    <row r="329" customFormat="false" ht="14.25" hidden="false" customHeight="true" outlineLevel="0" collapsed="false">
      <c r="A329" s="37"/>
      <c r="B329" s="34" t="n">
        <v>5</v>
      </c>
      <c r="C329" s="28" t="n">
        <v>5</v>
      </c>
      <c r="D329" s="28" t="n">
        <v>3.6</v>
      </c>
      <c r="E329" s="28" t="n">
        <v>1.4</v>
      </c>
      <c r="F329" s="28" t="n">
        <v>0.2</v>
      </c>
      <c r="G329" s="35" t="n">
        <v>0</v>
      </c>
      <c r="H329" s="1" t="n">
        <f aca="false">IF(G329=P329, 1, 0)</f>
        <v>1</v>
      </c>
      <c r="I329" s="34" t="n">
        <f aca="false">I328-0.1*T328</f>
        <v>0.237182881279103</v>
      </c>
      <c r="J329" s="36" t="n">
        <f aca="false">J328-0.1*U328</f>
        <v>-0.423807782412007</v>
      </c>
      <c r="K329" s="36" t="n">
        <f aca="false">K328-0.1*V328</f>
        <v>-0.465649077764318</v>
      </c>
      <c r="L329" s="36" t="n">
        <f aca="false">L328-0.1*W328</f>
        <v>0.939356515401721</v>
      </c>
      <c r="M329" s="36" t="n">
        <f aca="false">M328-0.1*X328</f>
        <v>0.761769501032869</v>
      </c>
      <c r="N329" s="31" t="n">
        <f aca="false">I329+J329*C329+K329*D329+L329*E329+F329*M329</f>
        <v>-2.09073968896349</v>
      </c>
      <c r="O329" s="31" t="n">
        <f aca="false">1/(1+EXP(-N329))</f>
        <v>0.110000137840366</v>
      </c>
      <c r="P329" s="32" t="n">
        <f aca="false">IF(O329&gt;0.5,1,0)</f>
        <v>0</v>
      </c>
      <c r="Q329" s="32" t="n">
        <f aca="false">O329-G329</f>
        <v>0.110000137840366</v>
      </c>
      <c r="R329" s="33" t="n">
        <f aca="false">Q329^2</f>
        <v>0.0121000303248995</v>
      </c>
      <c r="T329" s="26" t="n">
        <f aca="false">2*(O329-G329)*(1-O329)*O329</f>
        <v>0.0215380506425758</v>
      </c>
      <c r="U329" s="26" t="n">
        <f aca="false">2*(O329-G329)*(1-O329)*O329*C329</f>
        <v>0.107690253212879</v>
      </c>
      <c r="V329" s="26" t="n">
        <f aca="false">2*(O329-G329)*(1-O329)*O329*D329</f>
        <v>0.0775369823132731</v>
      </c>
      <c r="W329" s="26" t="n">
        <f aca="false">2*(O329-G329)*(1-O329)*O329*E329</f>
        <v>0.0301532708996062</v>
      </c>
      <c r="X329" s="26" t="n">
        <f aca="false">2*(O329-G329)*(1-O329)*O329*F329</f>
        <v>0.00430761012851517</v>
      </c>
    </row>
    <row r="330" customFormat="false" ht="14.25" hidden="false" customHeight="true" outlineLevel="0" collapsed="false">
      <c r="A330" s="37"/>
      <c r="B330" s="34" t="n">
        <v>6</v>
      </c>
      <c r="C330" s="28" t="n">
        <v>5.4</v>
      </c>
      <c r="D330" s="28" t="n">
        <v>3.9</v>
      </c>
      <c r="E330" s="28" t="n">
        <v>1.7</v>
      </c>
      <c r="F330" s="28" t="n">
        <v>0.4</v>
      </c>
      <c r="G330" s="35" t="n">
        <v>0</v>
      </c>
      <c r="H330" s="1" t="n">
        <f aca="false">IF(G330=P330, 1, 0)</f>
        <v>1</v>
      </c>
      <c r="I330" s="34" t="n">
        <f aca="false">I329-0.1*T329</f>
        <v>0.235029076214845</v>
      </c>
      <c r="J330" s="36" t="n">
        <f aca="false">J329-0.1*U329</f>
        <v>-0.434576807733295</v>
      </c>
      <c r="K330" s="36" t="n">
        <f aca="false">K329-0.1*V329</f>
        <v>-0.473402775995645</v>
      </c>
      <c r="L330" s="36" t="n">
        <f aca="false">L329-0.1*W329</f>
        <v>0.93634118831176</v>
      </c>
      <c r="M330" s="36" t="n">
        <f aca="false">M329-0.1*X329</f>
        <v>0.761338740020017</v>
      </c>
      <c r="N330" s="31" t="n">
        <f aca="false">I330+J330*C330+K330*D330+L330*E330+F330*M330</f>
        <v>-2.06164099578996</v>
      </c>
      <c r="O330" s="31" t="n">
        <f aca="false">1/(1+EXP(-N330))</f>
        <v>0.112881397666178</v>
      </c>
      <c r="P330" s="32" t="n">
        <f aca="false">IF(O330&gt;0.5,1,0)</f>
        <v>0</v>
      </c>
      <c r="Q330" s="32" t="n">
        <f aca="false">O330-G330</f>
        <v>0.112881397666178</v>
      </c>
      <c r="R330" s="33" t="n">
        <f aca="false">Q330^2</f>
        <v>0.0127422099390699</v>
      </c>
      <c r="T330" s="26" t="n">
        <f aca="false">2*(O330-G330)*(1-O330)*O330</f>
        <v>0.0226077029435836</v>
      </c>
      <c r="U330" s="26" t="n">
        <f aca="false">2*(O330-G330)*(1-O330)*O330*C330</f>
        <v>0.122081595895352</v>
      </c>
      <c r="V330" s="26" t="n">
        <f aca="false">2*(O330-G330)*(1-O330)*O330*D330</f>
        <v>0.0881700414799761</v>
      </c>
      <c r="W330" s="26" t="n">
        <f aca="false">2*(O330-G330)*(1-O330)*O330*E330</f>
        <v>0.0384330950040921</v>
      </c>
      <c r="X330" s="26" t="n">
        <f aca="false">2*(O330-G330)*(1-O330)*O330*F330</f>
        <v>0.00904308117743345</v>
      </c>
    </row>
    <row r="331" customFormat="false" ht="14.25" hidden="false" customHeight="true" outlineLevel="0" collapsed="false">
      <c r="A331" s="37"/>
      <c r="B331" s="34" t="n">
        <v>7</v>
      </c>
      <c r="C331" s="28" t="n">
        <v>4.6</v>
      </c>
      <c r="D331" s="28" t="n">
        <v>3.4</v>
      </c>
      <c r="E331" s="28" t="n">
        <v>1.4</v>
      </c>
      <c r="F331" s="28" t="n">
        <v>0.3</v>
      </c>
      <c r="G331" s="35" t="n">
        <v>0</v>
      </c>
      <c r="H331" s="1" t="n">
        <f aca="false">IF(G331=P331, 1, 0)</f>
        <v>1</v>
      </c>
      <c r="I331" s="34" t="n">
        <f aca="false">I330-0.1*T330</f>
        <v>0.232768305920487</v>
      </c>
      <c r="J331" s="36" t="n">
        <f aca="false">J330-0.1*U330</f>
        <v>-0.44678496732283</v>
      </c>
      <c r="K331" s="36" t="n">
        <f aca="false">K330-0.1*V330</f>
        <v>-0.482219780143643</v>
      </c>
      <c r="L331" s="36" t="n">
        <f aca="false">L330-0.1*W330</f>
        <v>0.932497878811351</v>
      </c>
      <c r="M331" s="36" t="n">
        <f aca="false">M330-0.1*X330</f>
        <v>0.760434431902274</v>
      </c>
      <c r="N331" s="31" t="n">
        <f aca="false">I331+J331*C331+K331*D331+L331*E331+F331*M331</f>
        <v>-1.92836243634634</v>
      </c>
      <c r="O331" s="31" t="n">
        <f aca="false">1/(1+EXP(-N331))</f>
        <v>0.126931944456103</v>
      </c>
      <c r="P331" s="32" t="n">
        <f aca="false">IF(O331&gt;0.5,1,0)</f>
        <v>0</v>
      </c>
      <c r="Q331" s="32" t="n">
        <f aca="false">O331-G331</f>
        <v>0.126931944456103</v>
      </c>
      <c r="R331" s="33" t="n">
        <f aca="false">Q331^2</f>
        <v>0.0161117185234072</v>
      </c>
      <c r="T331" s="26" t="n">
        <f aca="false">2*(O331-G331)*(1-O331)*O331</f>
        <v>0.0281332535254034</v>
      </c>
      <c r="U331" s="26" t="n">
        <f aca="false">2*(O331-G331)*(1-O331)*O331*C331</f>
        <v>0.129412966216855</v>
      </c>
      <c r="V331" s="26" t="n">
        <f aca="false">2*(O331-G331)*(1-O331)*O331*D331</f>
        <v>0.0956530619863714</v>
      </c>
      <c r="W331" s="26" t="n">
        <f aca="false">2*(O331-G331)*(1-O331)*O331*E331</f>
        <v>0.0393865549355647</v>
      </c>
      <c r="X331" s="26" t="n">
        <f aca="false">2*(O331-G331)*(1-O331)*O331*F331</f>
        <v>0.00843997605762101</v>
      </c>
    </row>
    <row r="332" customFormat="false" ht="14.25" hidden="false" customHeight="true" outlineLevel="0" collapsed="false">
      <c r="A332" s="37"/>
      <c r="B332" s="34" t="n">
        <v>8</v>
      </c>
      <c r="C332" s="28" t="n">
        <v>5</v>
      </c>
      <c r="D332" s="28" t="n">
        <v>3.4</v>
      </c>
      <c r="E332" s="28" t="n">
        <v>1.5</v>
      </c>
      <c r="F332" s="28" t="n">
        <v>0.2</v>
      </c>
      <c r="G332" s="35" t="n">
        <v>0</v>
      </c>
      <c r="H332" s="1" t="n">
        <f aca="false">IF(G332=P332, 1, 0)</f>
        <v>1</v>
      </c>
      <c r="I332" s="34" t="n">
        <f aca="false">I331-0.1*T331</f>
        <v>0.229954980567946</v>
      </c>
      <c r="J332" s="36" t="n">
        <f aca="false">J331-0.1*U331</f>
        <v>-0.459726263944515</v>
      </c>
      <c r="K332" s="36" t="n">
        <f aca="false">K331-0.1*V331</f>
        <v>-0.49178508634228</v>
      </c>
      <c r="L332" s="36" t="n">
        <f aca="false">L331-0.1*W331</f>
        <v>0.928559223317794</v>
      </c>
      <c r="M332" s="36" t="n">
        <f aca="false">M331-0.1*X331</f>
        <v>0.759590434296512</v>
      </c>
      <c r="N332" s="31" t="n">
        <f aca="false">I332+J332*C332+K332*D332+L332*E332+F332*M332</f>
        <v>-2.19598871088239</v>
      </c>
      <c r="O332" s="31" t="n">
        <f aca="false">1/(1+EXP(-N332))</f>
        <v>0.100111282979041</v>
      </c>
      <c r="P332" s="32" t="n">
        <f aca="false">IF(O332&gt;0.5,1,0)</f>
        <v>0</v>
      </c>
      <c r="Q332" s="32" t="n">
        <f aca="false">O332-G332</f>
        <v>0.100111282979041</v>
      </c>
      <c r="R332" s="33" t="n">
        <f aca="false">Q332^2</f>
        <v>0.0100222689797096</v>
      </c>
      <c r="T332" s="26" t="n">
        <f aca="false">2*(O332-G332)*(1-O332)*O332</f>
        <v>0.0180378535475797</v>
      </c>
      <c r="U332" s="26" t="n">
        <f aca="false">2*(O332-G332)*(1-O332)*O332*C332</f>
        <v>0.0901892677378983</v>
      </c>
      <c r="V332" s="26" t="n">
        <f aca="false">2*(O332-G332)*(1-O332)*O332*D332</f>
        <v>0.0613287020617709</v>
      </c>
      <c r="W332" s="26" t="n">
        <f aca="false">2*(O332-G332)*(1-O332)*O332*E332</f>
        <v>0.0270567803213695</v>
      </c>
      <c r="X332" s="26" t="n">
        <f aca="false">2*(O332-G332)*(1-O332)*O332*F332</f>
        <v>0.00360757070951593</v>
      </c>
    </row>
    <row r="333" customFormat="false" ht="14.25" hidden="false" customHeight="true" outlineLevel="0" collapsed="false">
      <c r="A333" s="37"/>
      <c r="B333" s="34" t="n">
        <v>9</v>
      </c>
      <c r="C333" s="28" t="n">
        <v>4.4</v>
      </c>
      <c r="D333" s="28" t="n">
        <v>2.9</v>
      </c>
      <c r="E333" s="28" t="n">
        <v>1.4</v>
      </c>
      <c r="F333" s="28" t="n">
        <v>0.2</v>
      </c>
      <c r="G333" s="35" t="n">
        <v>0</v>
      </c>
      <c r="H333" s="1" t="n">
        <f aca="false">IF(G333=P333, 1, 0)</f>
        <v>1</v>
      </c>
      <c r="I333" s="34" t="n">
        <f aca="false">I332-0.1*T332</f>
        <v>0.228151195213188</v>
      </c>
      <c r="J333" s="36" t="n">
        <f aca="false">J332-0.1*U332</f>
        <v>-0.468745190718305</v>
      </c>
      <c r="K333" s="36" t="n">
        <f aca="false">K332-0.1*V332</f>
        <v>-0.497917956548457</v>
      </c>
      <c r="L333" s="36" t="n">
        <f aca="false">L332-0.1*W332</f>
        <v>0.925853545285657</v>
      </c>
      <c r="M333" s="36" t="n">
        <f aca="false">M332-0.1*X332</f>
        <v>0.75922967722556</v>
      </c>
      <c r="N333" s="31" t="n">
        <f aca="false">I333+J333*C333+K333*D333+L333*E333+F333*M333</f>
        <v>-1.83024881909285</v>
      </c>
      <c r="O333" s="31" t="n">
        <f aca="false">1/(1+EXP(-N333))</f>
        <v>0.138208634406919</v>
      </c>
      <c r="P333" s="32" t="n">
        <f aca="false">IF(O333&gt;0.5,1,0)</f>
        <v>0</v>
      </c>
      <c r="Q333" s="32" t="n">
        <f aca="false">O333-G333</f>
        <v>0.138208634406919</v>
      </c>
      <c r="R333" s="33" t="n">
        <f aca="false">Q333^2</f>
        <v>0.0191016266246255</v>
      </c>
      <c r="T333" s="26" t="n">
        <f aca="false">2*(O333-G333)*(1-O333)*O333</f>
        <v>0.0329232337877703</v>
      </c>
      <c r="U333" s="26" t="n">
        <f aca="false">2*(O333-G333)*(1-O333)*O333*C333</f>
        <v>0.144862228666189</v>
      </c>
      <c r="V333" s="26" t="n">
        <f aca="false">2*(O333-G333)*(1-O333)*O333*D333</f>
        <v>0.0954773779845338</v>
      </c>
      <c r="W333" s="26" t="n">
        <f aca="false">2*(O333-G333)*(1-O333)*O333*E333</f>
        <v>0.0460925273028784</v>
      </c>
      <c r="X333" s="26" t="n">
        <f aca="false">2*(O333-G333)*(1-O333)*O333*F333</f>
        <v>0.00658464675755406</v>
      </c>
    </row>
    <row r="334" customFormat="false" ht="14.25" hidden="false" customHeight="true" outlineLevel="0" collapsed="false">
      <c r="A334" s="37"/>
      <c r="B334" s="34" t="n">
        <v>10</v>
      </c>
      <c r="C334" s="28" t="n">
        <v>4.9</v>
      </c>
      <c r="D334" s="28" t="n">
        <v>3.1</v>
      </c>
      <c r="E334" s="28" t="n">
        <v>1.5</v>
      </c>
      <c r="F334" s="28" t="n">
        <v>0.1</v>
      </c>
      <c r="G334" s="35" t="n">
        <v>0</v>
      </c>
      <c r="H334" s="1" t="n">
        <f aca="false">IF(G334=P334, 1, 0)</f>
        <v>1</v>
      </c>
      <c r="I334" s="34" t="n">
        <f aca="false">I333-0.1*T333</f>
        <v>0.224858871834411</v>
      </c>
      <c r="J334" s="36" t="n">
        <f aca="false">J333-0.1*U333</f>
        <v>-0.483231413584924</v>
      </c>
      <c r="K334" s="36" t="n">
        <f aca="false">K333-0.1*V333</f>
        <v>-0.50746569434691</v>
      </c>
      <c r="L334" s="36" t="n">
        <f aca="false">L333-0.1*W333</f>
        <v>0.921244292555369</v>
      </c>
      <c r="M334" s="36" t="n">
        <f aca="false">M333-0.1*X333</f>
        <v>0.758571212549805</v>
      </c>
      <c r="N334" s="31" t="n">
        <f aca="false">I334+J334*C334+K334*D334+L334*E334+F334*M334</f>
        <v>-2.25839514711911</v>
      </c>
      <c r="O334" s="31" t="n">
        <f aca="false">1/(1+EXP(-N334))</f>
        <v>0.0946277726652125</v>
      </c>
      <c r="P334" s="32" t="n">
        <f aca="false">IF(O334&gt;0.5,1,0)</f>
        <v>0</v>
      </c>
      <c r="Q334" s="32" t="n">
        <f aca="false">O334-G334</f>
        <v>0.0946277726652125</v>
      </c>
      <c r="R334" s="33" t="n">
        <f aca="false">Q334^2</f>
        <v>0.00895441535957913</v>
      </c>
      <c r="T334" s="26" t="n">
        <f aca="false">2*(O334-G334)*(1-O334)*O334</f>
        <v>0.016214157957166</v>
      </c>
      <c r="U334" s="26" t="n">
        <f aca="false">2*(O334-G334)*(1-O334)*O334*C334</f>
        <v>0.0794493739901133</v>
      </c>
      <c r="V334" s="26" t="n">
        <f aca="false">2*(O334-G334)*(1-O334)*O334*D334</f>
        <v>0.0502638896672146</v>
      </c>
      <c r="W334" s="26" t="n">
        <f aca="false">2*(O334-G334)*(1-O334)*O334*E334</f>
        <v>0.024321236935749</v>
      </c>
      <c r="X334" s="26" t="n">
        <f aca="false">2*(O334-G334)*(1-O334)*O334*F334</f>
        <v>0.0016214157957166</v>
      </c>
    </row>
    <row r="335" customFormat="false" ht="14.25" hidden="false" customHeight="true" outlineLevel="0" collapsed="false">
      <c r="A335" s="37"/>
      <c r="B335" s="34" t="n">
        <v>11</v>
      </c>
      <c r="C335" s="28" t="n">
        <v>5.4</v>
      </c>
      <c r="D335" s="28" t="n">
        <v>3.7</v>
      </c>
      <c r="E335" s="28" t="n">
        <v>1.5</v>
      </c>
      <c r="F335" s="28" t="n">
        <v>0.2</v>
      </c>
      <c r="G335" s="35" t="n">
        <v>0</v>
      </c>
      <c r="H335" s="1" t="n">
        <f aca="false">IF(G335=P335, 1, 0)</f>
        <v>1</v>
      </c>
      <c r="I335" s="34" t="n">
        <f aca="false">I334-0.1*T334</f>
        <v>0.223237456038695</v>
      </c>
      <c r="J335" s="36" t="n">
        <f aca="false">J334-0.1*U334</f>
        <v>-0.491176350983936</v>
      </c>
      <c r="K335" s="36" t="n">
        <f aca="false">K334-0.1*V334</f>
        <v>-0.512492083313632</v>
      </c>
      <c r="L335" s="36" t="n">
        <f aca="false">L334-0.1*W334</f>
        <v>0.918812168861795</v>
      </c>
      <c r="M335" s="36" t="n">
        <f aca="false">M334-0.1*X334</f>
        <v>0.758409070970233</v>
      </c>
      <c r="N335" s="31" t="n">
        <f aca="false">I335+J335*C335+K335*D335+L335*E335+F335*M335</f>
        <v>-2.79543548004826</v>
      </c>
      <c r="O335" s="31" t="n">
        <f aca="false">1/(1+EXP(-N335))</f>
        <v>0.057571332928851</v>
      </c>
      <c r="P335" s="32" t="n">
        <f aca="false">IF(O335&gt;0.5,1,0)</f>
        <v>0</v>
      </c>
      <c r="Q335" s="32" t="n">
        <f aca="false">O335-G335</f>
        <v>0.057571332928851</v>
      </c>
      <c r="R335" s="33" t="n">
        <f aca="false">Q335^2</f>
        <v>0.00331445837520461</v>
      </c>
      <c r="T335" s="26" t="n">
        <f aca="false">2*(O335-G335)*(1-O335)*O335</f>
        <v>0.00624728117721377</v>
      </c>
      <c r="U335" s="26" t="n">
        <f aca="false">2*(O335-G335)*(1-O335)*O335*C335</f>
        <v>0.0337353183569544</v>
      </c>
      <c r="V335" s="26" t="n">
        <f aca="false">2*(O335-G335)*(1-O335)*O335*D335</f>
        <v>0.0231149403556909</v>
      </c>
      <c r="W335" s="26" t="n">
        <f aca="false">2*(O335-G335)*(1-O335)*O335*E335</f>
        <v>0.00937092176582065</v>
      </c>
      <c r="X335" s="26" t="n">
        <f aca="false">2*(O335-G335)*(1-O335)*O335*F335</f>
        <v>0.00124945623544275</v>
      </c>
    </row>
    <row r="336" customFormat="false" ht="14.25" hidden="false" customHeight="true" outlineLevel="0" collapsed="false">
      <c r="A336" s="37"/>
      <c r="B336" s="34" t="n">
        <v>12</v>
      </c>
      <c r="C336" s="28" t="n">
        <v>4.8</v>
      </c>
      <c r="D336" s="28" t="n">
        <v>3.4</v>
      </c>
      <c r="E336" s="28" t="n">
        <v>1.6</v>
      </c>
      <c r="F336" s="28" t="n">
        <v>0.2</v>
      </c>
      <c r="G336" s="35" t="n">
        <v>0</v>
      </c>
      <c r="H336" s="1" t="n">
        <f aca="false">IF(G336=P336, 1, 0)</f>
        <v>1</v>
      </c>
      <c r="I336" s="34" t="n">
        <f aca="false">I335-0.1*T335</f>
        <v>0.222612727920973</v>
      </c>
      <c r="J336" s="36" t="n">
        <f aca="false">J335-0.1*U335</f>
        <v>-0.494549882819631</v>
      </c>
      <c r="K336" s="36" t="n">
        <f aca="false">K335-0.1*V335</f>
        <v>-0.514803577349201</v>
      </c>
      <c r="L336" s="36" t="n">
        <f aca="false">L335-0.1*W335</f>
        <v>0.917875076685212</v>
      </c>
      <c r="M336" s="36" t="n">
        <f aca="false">M335-0.1*X335</f>
        <v>0.758284125346689</v>
      </c>
      <c r="N336" s="31" t="n">
        <f aca="false">I336+J336*C336+K336*D336+L336*E336+F336*M336</f>
        <v>-2.28130192483486</v>
      </c>
      <c r="O336" s="31" t="n">
        <f aca="false">1/(1+EXP(-N336))</f>
        <v>0.0926834120216485</v>
      </c>
      <c r="P336" s="32" t="n">
        <f aca="false">IF(O336&gt;0.5,1,0)</f>
        <v>0</v>
      </c>
      <c r="Q336" s="32" t="n">
        <f aca="false">O336-G336</f>
        <v>0.0926834120216485</v>
      </c>
      <c r="R336" s="33" t="n">
        <f aca="false">Q336^2</f>
        <v>0.00859021486397465</v>
      </c>
      <c r="T336" s="26" t="n">
        <f aca="false">2*(O336-G336)*(1-O336)*O336</f>
        <v>0.0155880888807648</v>
      </c>
      <c r="U336" s="26" t="n">
        <f aca="false">2*(O336-G336)*(1-O336)*O336*C336</f>
        <v>0.074822826627671</v>
      </c>
      <c r="V336" s="26" t="n">
        <f aca="false">2*(O336-G336)*(1-O336)*O336*D336</f>
        <v>0.0529995021946003</v>
      </c>
      <c r="W336" s="26" t="n">
        <f aca="false">2*(O336-G336)*(1-O336)*O336*E336</f>
        <v>0.0249409422092237</v>
      </c>
      <c r="X336" s="26" t="n">
        <f aca="false">2*(O336-G336)*(1-O336)*O336*F336</f>
        <v>0.00311761777615296</v>
      </c>
    </row>
    <row r="337" customFormat="false" ht="14.25" hidden="false" customHeight="true" outlineLevel="0" collapsed="false">
      <c r="A337" s="37"/>
      <c r="B337" s="34" t="n">
        <v>13</v>
      </c>
      <c r="C337" s="28" t="n">
        <v>4.8</v>
      </c>
      <c r="D337" s="28" t="n">
        <v>3</v>
      </c>
      <c r="E337" s="28" t="n">
        <v>1.4</v>
      </c>
      <c r="F337" s="28" t="n">
        <v>0.1</v>
      </c>
      <c r="G337" s="35" t="n">
        <v>0</v>
      </c>
      <c r="H337" s="1" t="n">
        <f aca="false">IF(G337=P337, 1, 0)</f>
        <v>1</v>
      </c>
      <c r="I337" s="34" t="n">
        <f aca="false">I336-0.1*T336</f>
        <v>0.221053919032897</v>
      </c>
      <c r="J337" s="36" t="n">
        <f aca="false">J336-0.1*U336</f>
        <v>-0.502032165482398</v>
      </c>
      <c r="K337" s="36" t="n">
        <f aca="false">K336-0.1*V336</f>
        <v>-0.520103527568661</v>
      </c>
      <c r="L337" s="36" t="n">
        <f aca="false">L336-0.1*W336</f>
        <v>0.91538098246429</v>
      </c>
      <c r="M337" s="36" t="n">
        <f aca="false">M336-0.1*X336</f>
        <v>0.757972363569073</v>
      </c>
      <c r="N337" s="31" t="n">
        <f aca="false">I337+J337*C337+K337*D337+L337*E337+F337*M337</f>
        <v>-2.39168044618168</v>
      </c>
      <c r="O337" s="31" t="n">
        <f aca="false">1/(1+EXP(-N337))</f>
        <v>0.0838093080430029</v>
      </c>
      <c r="P337" s="32" t="n">
        <f aca="false">IF(O337&gt;0.5,1,0)</f>
        <v>0</v>
      </c>
      <c r="Q337" s="32" t="n">
        <f aca="false">O337-G337</f>
        <v>0.0838093080430029</v>
      </c>
      <c r="R337" s="33" t="n">
        <f aca="false">Q337^2</f>
        <v>0.00702400011464695</v>
      </c>
      <c r="T337" s="26" t="n">
        <f aca="false">2*(O337-G337)*(1-O337)*O337</f>
        <v>0.0128706470506888</v>
      </c>
      <c r="U337" s="26" t="n">
        <f aca="false">2*(O337-G337)*(1-O337)*O337*C337</f>
        <v>0.0617791058433064</v>
      </c>
      <c r="V337" s="26" t="n">
        <f aca="false">2*(O337-G337)*(1-O337)*O337*D337</f>
        <v>0.0386119411520665</v>
      </c>
      <c r="W337" s="26" t="n">
        <f aca="false">2*(O337-G337)*(1-O337)*O337*E337</f>
        <v>0.0180189058709644</v>
      </c>
      <c r="X337" s="26" t="n">
        <f aca="false">2*(O337-G337)*(1-O337)*O337*F337</f>
        <v>0.00128706470506888</v>
      </c>
    </row>
    <row r="338" customFormat="false" ht="14.25" hidden="false" customHeight="true" outlineLevel="0" collapsed="false">
      <c r="A338" s="37"/>
      <c r="B338" s="34" t="n">
        <v>14</v>
      </c>
      <c r="C338" s="28" t="n">
        <v>4.3</v>
      </c>
      <c r="D338" s="28" t="n">
        <v>3</v>
      </c>
      <c r="E338" s="28" t="n">
        <v>1.1</v>
      </c>
      <c r="F338" s="28" t="n">
        <v>0.1</v>
      </c>
      <c r="G338" s="35" t="n">
        <v>0</v>
      </c>
      <c r="H338" s="1" t="n">
        <f aca="false">IF(G338=P338, 1, 0)</f>
        <v>1</v>
      </c>
      <c r="I338" s="34" t="n">
        <f aca="false">I337-0.1*T337</f>
        <v>0.219766854327828</v>
      </c>
      <c r="J338" s="36" t="n">
        <f aca="false">J337-0.1*U337</f>
        <v>-0.508210076066729</v>
      </c>
      <c r="K338" s="36" t="n">
        <f aca="false">K337-0.1*V337</f>
        <v>-0.523964721683868</v>
      </c>
      <c r="L338" s="36" t="n">
        <f aca="false">L337-0.1*W337</f>
        <v>0.913579091877194</v>
      </c>
      <c r="M338" s="36" t="n">
        <f aca="false">M337-0.1*X337</f>
        <v>0.757843657098567</v>
      </c>
      <c r="N338" s="31" t="n">
        <f aca="false">I338+J338*C338+K338*D338+L338*E338+F338*M338</f>
        <v>-2.45670927103594</v>
      </c>
      <c r="O338" s="31" t="n">
        <f aca="false">1/(1+EXP(-N338))</f>
        <v>0.0789492955114368</v>
      </c>
      <c r="P338" s="32" t="n">
        <f aca="false">IF(O338&gt;0.5,1,0)</f>
        <v>0</v>
      </c>
      <c r="Q338" s="32" t="n">
        <f aca="false">O338-G338</f>
        <v>0.0789492955114368</v>
      </c>
      <c r="R338" s="33" t="n">
        <f aca="false">Q338^2</f>
        <v>0.00623299126175217</v>
      </c>
      <c r="T338" s="26" t="n">
        <f aca="false">2*(O338-G338)*(1-O338)*O338</f>
        <v>0.0114818019854158</v>
      </c>
      <c r="U338" s="26" t="n">
        <f aca="false">2*(O338-G338)*(1-O338)*O338*C338</f>
        <v>0.0493717485372879</v>
      </c>
      <c r="V338" s="26" t="n">
        <f aca="false">2*(O338-G338)*(1-O338)*O338*D338</f>
        <v>0.0344454059562474</v>
      </c>
      <c r="W338" s="26" t="n">
        <f aca="false">2*(O338-G338)*(1-O338)*O338*E338</f>
        <v>0.0126299821839574</v>
      </c>
      <c r="X338" s="26" t="n">
        <f aca="false">2*(O338-G338)*(1-O338)*O338*F338</f>
        <v>0.00114818019854158</v>
      </c>
    </row>
    <row r="339" customFormat="false" ht="14.25" hidden="false" customHeight="true" outlineLevel="0" collapsed="false">
      <c r="A339" s="37"/>
      <c r="B339" s="34" t="n">
        <v>15</v>
      </c>
      <c r="C339" s="28" t="n">
        <v>5.8</v>
      </c>
      <c r="D339" s="28" t="n">
        <v>4</v>
      </c>
      <c r="E339" s="28" t="n">
        <v>1.2</v>
      </c>
      <c r="F339" s="28" t="n">
        <v>0.2</v>
      </c>
      <c r="G339" s="35" t="n">
        <v>0</v>
      </c>
      <c r="H339" s="1" t="n">
        <f aca="false">IF(G339=P339, 1, 0)</f>
        <v>1</v>
      </c>
      <c r="I339" s="34" t="n">
        <f aca="false">I338-0.1*T338</f>
        <v>0.218618674129286</v>
      </c>
      <c r="J339" s="36" t="n">
        <f aca="false">J338-0.1*U338</f>
        <v>-0.513147250920457</v>
      </c>
      <c r="K339" s="36" t="n">
        <f aca="false">K338-0.1*V338</f>
        <v>-0.527409262279492</v>
      </c>
      <c r="L339" s="36" t="n">
        <f aca="false">L338-0.1*W338</f>
        <v>0.912316093658798</v>
      </c>
      <c r="M339" s="36" t="n">
        <f aca="false">M338-0.1*X338</f>
        <v>0.757728839078712</v>
      </c>
      <c r="N339" s="31" t="n">
        <f aca="false">I339+J339*C339+K339*D339+L339*E339+F339*M339</f>
        <v>-3.62094735012104</v>
      </c>
      <c r="O339" s="31" t="n">
        <f aca="false">1/(1+EXP(-N339))</f>
        <v>0.0260600197535533</v>
      </c>
      <c r="P339" s="32" t="n">
        <f aca="false">IF(O339&gt;0.5,1,0)</f>
        <v>0</v>
      </c>
      <c r="Q339" s="32" t="n">
        <f aca="false">O339-G339</f>
        <v>0.0260600197535533</v>
      </c>
      <c r="R339" s="33" t="n">
        <f aca="false">Q339^2</f>
        <v>0.000679124629555588</v>
      </c>
      <c r="T339" s="26" t="n">
        <f aca="false">2*(O339-G339)*(1-O339)*O339</f>
        <v>0.00132285325658849</v>
      </c>
      <c r="U339" s="26" t="n">
        <f aca="false">2*(O339-G339)*(1-O339)*O339*C339</f>
        <v>0.00767254888821323</v>
      </c>
      <c r="V339" s="26" t="n">
        <f aca="false">2*(O339-G339)*(1-O339)*O339*D339</f>
        <v>0.00529141302635396</v>
      </c>
      <c r="W339" s="26" t="n">
        <f aca="false">2*(O339-G339)*(1-O339)*O339*E339</f>
        <v>0.00158742390790619</v>
      </c>
      <c r="X339" s="26" t="n">
        <f aca="false">2*(O339-G339)*(1-O339)*O339*F339</f>
        <v>0.000264570651317698</v>
      </c>
    </row>
    <row r="340" customFormat="false" ht="14.25" hidden="false" customHeight="true" outlineLevel="0" collapsed="false">
      <c r="A340" s="37"/>
      <c r="B340" s="34" t="n">
        <v>16</v>
      </c>
      <c r="C340" s="28" t="n">
        <v>5.7</v>
      </c>
      <c r="D340" s="28" t="n">
        <v>4.4</v>
      </c>
      <c r="E340" s="28" t="n">
        <v>1.5</v>
      </c>
      <c r="F340" s="28" t="n">
        <v>0.4</v>
      </c>
      <c r="G340" s="35" t="n">
        <v>0</v>
      </c>
      <c r="H340" s="1" t="n">
        <f aca="false">IF(G340=P340, 1, 0)</f>
        <v>1</v>
      </c>
      <c r="I340" s="34" t="n">
        <f aca="false">I339-0.1*T339</f>
        <v>0.218486388803628</v>
      </c>
      <c r="J340" s="36" t="n">
        <f aca="false">J339-0.1*U339</f>
        <v>-0.513914505809279</v>
      </c>
      <c r="K340" s="36" t="n">
        <f aca="false">K339-0.1*V339</f>
        <v>-0.527938403582128</v>
      </c>
      <c r="L340" s="36" t="n">
        <f aca="false">L339-0.1*W339</f>
        <v>0.912157351268007</v>
      </c>
      <c r="M340" s="36" t="n">
        <f aca="false">M339-0.1*X339</f>
        <v>0.757702382013581</v>
      </c>
      <c r="N340" s="31" t="n">
        <f aca="false">I340+J340*C340+K340*D340+L340*E340+F340*M340</f>
        <v>-3.36243829036318</v>
      </c>
      <c r="O340" s="31" t="n">
        <f aca="false">1/(1+EXP(-N340))</f>
        <v>0.0334902093607709</v>
      </c>
      <c r="P340" s="32" t="n">
        <f aca="false">IF(O340&gt;0.5,1,0)</f>
        <v>0</v>
      </c>
      <c r="Q340" s="32" t="n">
        <f aca="false">O340-G340</f>
        <v>0.0334902093607709</v>
      </c>
      <c r="R340" s="33" t="n">
        <f aca="false">Q340^2</f>
        <v>0.00112159412302827</v>
      </c>
      <c r="T340" s="26" t="n">
        <f aca="false">2*(O340-G340)*(1-O340)*O340</f>
        <v>0.00216806340206048</v>
      </c>
      <c r="U340" s="26" t="n">
        <f aca="false">2*(O340-G340)*(1-O340)*O340*C340</f>
        <v>0.0123579613917448</v>
      </c>
      <c r="V340" s="26" t="n">
        <f aca="false">2*(O340-G340)*(1-O340)*O340*D340</f>
        <v>0.00953947896906613</v>
      </c>
      <c r="W340" s="26" t="n">
        <f aca="false">2*(O340-G340)*(1-O340)*O340*E340</f>
        <v>0.00325209510309073</v>
      </c>
      <c r="X340" s="26" t="n">
        <f aca="false">2*(O340-G340)*(1-O340)*O340*F340</f>
        <v>0.000867225360824194</v>
      </c>
    </row>
    <row r="341" customFormat="false" ht="14.25" hidden="false" customHeight="true" outlineLevel="0" collapsed="false">
      <c r="A341" s="37"/>
      <c r="B341" s="34" t="n">
        <v>17</v>
      </c>
      <c r="C341" s="28" t="n">
        <v>5.4</v>
      </c>
      <c r="D341" s="28" t="n">
        <v>3.9</v>
      </c>
      <c r="E341" s="28" t="n">
        <v>1.3</v>
      </c>
      <c r="F341" s="28" t="n">
        <v>0.4</v>
      </c>
      <c r="G341" s="35" t="n">
        <v>0</v>
      </c>
      <c r="H341" s="1" t="n">
        <f aca="false">IF(G341=P341, 1, 0)</f>
        <v>1</v>
      </c>
      <c r="I341" s="34" t="n">
        <f aca="false">I340-0.1*T340</f>
        <v>0.218269582463422</v>
      </c>
      <c r="J341" s="36" t="n">
        <f aca="false">J340-0.1*U340</f>
        <v>-0.515150301948453</v>
      </c>
      <c r="K341" s="36" t="n">
        <f aca="false">K340-0.1*V340</f>
        <v>-0.528892351479034</v>
      </c>
      <c r="L341" s="36" t="n">
        <f aca="false">L340-0.1*W340</f>
        <v>0.911832141757698</v>
      </c>
      <c r="M341" s="36" t="n">
        <f aca="false">M340-0.1*X340</f>
        <v>0.757615659477498</v>
      </c>
      <c r="N341" s="31" t="n">
        <f aca="false">I341+J341*C341+K341*D341+L341*E341+F341*M341</f>
        <v>-3.13779417075045</v>
      </c>
      <c r="O341" s="31" t="n">
        <f aca="false">1/(1+EXP(-N341))</f>
        <v>0.0415749249425085</v>
      </c>
      <c r="P341" s="32" t="n">
        <f aca="false">IF(O341&gt;0.5,1,0)</f>
        <v>0</v>
      </c>
      <c r="Q341" s="32" t="n">
        <f aca="false">O341-G341</f>
        <v>0.0415749249425085</v>
      </c>
      <c r="R341" s="33" t="n">
        <f aca="false">Q341^2</f>
        <v>0.00172847438397521</v>
      </c>
      <c r="T341" s="26" t="n">
        <f aca="false">2*(O341-G341)*(1-O341)*O341</f>
        <v>0.00331322638239279</v>
      </c>
      <c r="U341" s="26" t="n">
        <f aca="false">2*(O341-G341)*(1-O341)*O341*C341</f>
        <v>0.0178914224649211</v>
      </c>
      <c r="V341" s="26" t="n">
        <f aca="false">2*(O341-G341)*(1-O341)*O341*D341</f>
        <v>0.0129215828913319</v>
      </c>
      <c r="W341" s="26" t="n">
        <f aca="false">2*(O341-G341)*(1-O341)*O341*E341</f>
        <v>0.00430719429711062</v>
      </c>
      <c r="X341" s="26" t="n">
        <f aca="false">2*(O341-G341)*(1-O341)*O341*F341</f>
        <v>0.00132529055295711</v>
      </c>
    </row>
    <row r="342" customFormat="false" ht="14.25" hidden="false" customHeight="true" outlineLevel="0" collapsed="false">
      <c r="A342" s="37"/>
      <c r="B342" s="34" t="n">
        <v>18</v>
      </c>
      <c r="C342" s="28" t="n">
        <v>5.1</v>
      </c>
      <c r="D342" s="28" t="n">
        <v>3.5</v>
      </c>
      <c r="E342" s="28" t="n">
        <v>1.4</v>
      </c>
      <c r="F342" s="28" t="n">
        <v>0.3</v>
      </c>
      <c r="G342" s="35" t="n">
        <v>0</v>
      </c>
      <c r="H342" s="1" t="n">
        <f aca="false">IF(G342=P342, 1, 0)</f>
        <v>1</v>
      </c>
      <c r="I342" s="34" t="n">
        <f aca="false">I341-0.1*T341</f>
        <v>0.217938259825182</v>
      </c>
      <c r="J342" s="36" t="n">
        <f aca="false">J341-0.1*U341</f>
        <v>-0.516939444194945</v>
      </c>
      <c r="K342" s="36" t="n">
        <f aca="false">K341-0.1*V341</f>
        <v>-0.530184509768167</v>
      </c>
      <c r="L342" s="36" t="n">
        <f aca="false">L341-0.1*W341</f>
        <v>0.911401422327987</v>
      </c>
      <c r="M342" s="36" t="n">
        <f aca="false">M341-0.1*X341</f>
        <v>0.757483130422202</v>
      </c>
      <c r="N342" s="31" t="n">
        <f aca="false">I342+J342*C342+K342*D342+L342*E342+F342*M342</f>
        <v>-2.77089175937178</v>
      </c>
      <c r="O342" s="31" t="n">
        <f aca="false">1/(1+EXP(-N342))</f>
        <v>0.0589175492794675</v>
      </c>
      <c r="P342" s="32" t="n">
        <f aca="false">IF(O342&gt;0.5,1,0)</f>
        <v>0</v>
      </c>
      <c r="Q342" s="32" t="n">
        <f aca="false">O342-G342</f>
        <v>0.0589175492794675</v>
      </c>
      <c r="R342" s="33" t="n">
        <f aca="false">Q342^2</f>
        <v>0.00347127761309848</v>
      </c>
      <c r="T342" s="26" t="n">
        <f aca="false">2*(O342-G342)*(1-O342)*O342</f>
        <v>0.00653351688653208</v>
      </c>
      <c r="U342" s="26" t="n">
        <f aca="false">2*(O342-G342)*(1-O342)*O342*C342</f>
        <v>0.0333209361213136</v>
      </c>
      <c r="V342" s="26" t="n">
        <f aca="false">2*(O342-G342)*(1-O342)*O342*D342</f>
        <v>0.0228673091028623</v>
      </c>
      <c r="W342" s="26" t="n">
        <f aca="false">2*(O342-G342)*(1-O342)*O342*E342</f>
        <v>0.00914692364114491</v>
      </c>
      <c r="X342" s="26" t="n">
        <f aca="false">2*(O342-G342)*(1-O342)*O342*F342</f>
        <v>0.00196005506595962</v>
      </c>
    </row>
    <row r="343" customFormat="false" ht="14.25" hidden="false" customHeight="true" outlineLevel="0" collapsed="false">
      <c r="A343" s="37"/>
      <c r="B343" s="34" t="n">
        <v>19</v>
      </c>
      <c r="C343" s="28" t="n">
        <v>5.7</v>
      </c>
      <c r="D343" s="28" t="n">
        <v>3.8</v>
      </c>
      <c r="E343" s="28" t="n">
        <v>1.7</v>
      </c>
      <c r="F343" s="28" t="n">
        <v>0.3</v>
      </c>
      <c r="G343" s="35" t="n">
        <v>0</v>
      </c>
      <c r="H343" s="1" t="n">
        <f aca="false">IF(G343=P343, 1, 0)</f>
        <v>1</v>
      </c>
      <c r="I343" s="34" t="n">
        <f aca="false">I342-0.1*T342</f>
        <v>0.217284908136529</v>
      </c>
      <c r="J343" s="36" t="n">
        <f aca="false">J342-0.1*U342</f>
        <v>-0.520271537807077</v>
      </c>
      <c r="K343" s="36" t="n">
        <f aca="false">K342-0.1*V342</f>
        <v>-0.532471240678454</v>
      </c>
      <c r="L343" s="36" t="n">
        <f aca="false">L342-0.1*W342</f>
        <v>0.910486729963873</v>
      </c>
      <c r="M343" s="36" t="n">
        <f aca="false">M342-0.1*X342</f>
        <v>0.757287124915607</v>
      </c>
      <c r="N343" s="31" t="n">
        <f aca="false">I343+J343*C343+K343*D343+L343*E343+F343*M343</f>
        <v>-2.99663999352867</v>
      </c>
      <c r="O343" s="31" t="n">
        <f aca="false">1/(1+EXP(-N343))</f>
        <v>0.0475778980805623</v>
      </c>
      <c r="P343" s="32" t="n">
        <f aca="false">IF(O343&gt;0.5,1,0)</f>
        <v>0</v>
      </c>
      <c r="Q343" s="32" t="n">
        <f aca="false">O343-G343</f>
        <v>0.0475778980805623</v>
      </c>
      <c r="R343" s="33" t="n">
        <f aca="false">Q343^2</f>
        <v>0.00226365638576437</v>
      </c>
      <c r="T343" s="26" t="n">
        <f aca="false">2*(O343-G343)*(1-O343)*O343</f>
        <v>0.00431191274590612</v>
      </c>
      <c r="U343" s="26" t="n">
        <f aca="false">2*(O343-G343)*(1-O343)*O343*C343</f>
        <v>0.0245779026516649</v>
      </c>
      <c r="V343" s="26" t="n">
        <f aca="false">2*(O343-G343)*(1-O343)*O343*D343</f>
        <v>0.0163852684344433</v>
      </c>
      <c r="W343" s="26" t="n">
        <f aca="false">2*(O343-G343)*(1-O343)*O343*E343</f>
        <v>0.00733025166804041</v>
      </c>
      <c r="X343" s="26" t="n">
        <f aca="false">2*(O343-G343)*(1-O343)*O343*F343</f>
        <v>0.00129357382377184</v>
      </c>
    </row>
    <row r="344" customFormat="false" ht="14.25" hidden="false" customHeight="true" outlineLevel="0" collapsed="false">
      <c r="A344" s="37"/>
      <c r="B344" s="34" t="n">
        <v>20</v>
      </c>
      <c r="C344" s="28" t="n">
        <v>5.1</v>
      </c>
      <c r="D344" s="28" t="n">
        <v>3.8</v>
      </c>
      <c r="E344" s="28" t="n">
        <v>1.5</v>
      </c>
      <c r="F344" s="28" t="n">
        <v>0.3</v>
      </c>
      <c r="G344" s="35" t="n">
        <v>0</v>
      </c>
      <c r="H344" s="1" t="n">
        <f aca="false">IF(G344=P344, 1, 0)</f>
        <v>1</v>
      </c>
      <c r="I344" s="34" t="n">
        <f aca="false">I343-0.1*T343</f>
        <v>0.216853716861938</v>
      </c>
      <c r="J344" s="36" t="n">
        <f aca="false">J343-0.1*U343</f>
        <v>-0.522729328072243</v>
      </c>
      <c r="K344" s="36" t="n">
        <f aca="false">K343-0.1*V343</f>
        <v>-0.534109767521898</v>
      </c>
      <c r="L344" s="36" t="n">
        <f aca="false">L343-0.1*W343</f>
        <v>0.909753704797069</v>
      </c>
      <c r="M344" s="36" t="n">
        <f aca="false">M343-0.1*X343</f>
        <v>0.757157767533229</v>
      </c>
      <c r="N344" s="31" t="n">
        <f aca="false">I344+J344*C344+K344*D344+L344*E344+F344*M344</f>
        <v>-2.88690508543414</v>
      </c>
      <c r="O344" s="31" t="n">
        <f aca="false">1/(1+EXP(-N344))</f>
        <v>0.0528047007396383</v>
      </c>
      <c r="P344" s="32" t="n">
        <f aca="false">IF(O344&gt;0.5,1,0)</f>
        <v>0</v>
      </c>
      <c r="Q344" s="32" t="n">
        <f aca="false">O344-G344</f>
        <v>0.0528047007396383</v>
      </c>
      <c r="R344" s="33" t="n">
        <f aca="false">Q344^2</f>
        <v>0.00278833642020276</v>
      </c>
      <c r="T344" s="26" t="n">
        <f aca="false">2*(O344-G344)*(1-O344)*O344</f>
        <v>0.00528219829994504</v>
      </c>
      <c r="U344" s="26" t="n">
        <f aca="false">2*(O344-G344)*(1-O344)*O344*C344</f>
        <v>0.0269392113297197</v>
      </c>
      <c r="V344" s="26" t="n">
        <f aca="false">2*(O344-G344)*(1-O344)*O344*D344</f>
        <v>0.0200723535397911</v>
      </c>
      <c r="W344" s="26" t="n">
        <f aca="false">2*(O344-G344)*(1-O344)*O344*E344</f>
        <v>0.00792329744991755</v>
      </c>
      <c r="X344" s="26" t="n">
        <f aca="false">2*(O344-G344)*(1-O344)*O344*F344</f>
        <v>0.00158465948998351</v>
      </c>
    </row>
    <row r="345" customFormat="false" ht="14.25" hidden="false" customHeight="true" outlineLevel="0" collapsed="false">
      <c r="A345" s="37"/>
      <c r="B345" s="34" t="n">
        <v>21</v>
      </c>
      <c r="C345" s="28" t="n">
        <v>5.4</v>
      </c>
      <c r="D345" s="28" t="n">
        <v>3.4</v>
      </c>
      <c r="E345" s="28" t="n">
        <v>1.7</v>
      </c>
      <c r="F345" s="28" t="n">
        <v>0.2</v>
      </c>
      <c r="G345" s="35" t="n">
        <v>0</v>
      </c>
      <c r="H345" s="1" t="n">
        <f aca="false">IF(G345=P345, 1, 0)</f>
        <v>1</v>
      </c>
      <c r="I345" s="34" t="n">
        <f aca="false">I344-0.1*T344</f>
        <v>0.216325497031944</v>
      </c>
      <c r="J345" s="36" t="n">
        <f aca="false">J344-0.1*U344</f>
        <v>-0.525423249205215</v>
      </c>
      <c r="K345" s="36" t="n">
        <f aca="false">K344-0.1*V344</f>
        <v>-0.536117002875877</v>
      </c>
      <c r="L345" s="36" t="n">
        <f aca="false">L344-0.1*W344</f>
        <v>0.908961375052077</v>
      </c>
      <c r="M345" s="36" t="n">
        <f aca="false">M344-0.1*X344</f>
        <v>0.756999301584231</v>
      </c>
      <c r="N345" s="31" t="n">
        <f aca="false">I345+J345*C345+K345*D345+L345*E345+F345*M345</f>
        <v>-2.74712366054882</v>
      </c>
      <c r="O345" s="31" t="n">
        <f aca="false">1/(1+EXP(-N345))</f>
        <v>0.0602493007206583</v>
      </c>
      <c r="P345" s="32" t="n">
        <f aca="false">IF(O345&gt;0.5,1,0)</f>
        <v>0</v>
      </c>
      <c r="Q345" s="32" t="n">
        <f aca="false">O345-G345</f>
        <v>0.0602493007206583</v>
      </c>
      <c r="R345" s="33" t="n">
        <f aca="false">Q345^2</f>
        <v>0.00362997823732831</v>
      </c>
      <c r="T345" s="26" t="n">
        <f aca="false">2*(O345-G345)*(1-O345)*O345</f>
        <v>0.00682254917379615</v>
      </c>
      <c r="U345" s="26" t="n">
        <f aca="false">2*(O345-G345)*(1-O345)*O345*C345</f>
        <v>0.0368417655384992</v>
      </c>
      <c r="V345" s="26" t="n">
        <f aca="false">2*(O345-G345)*(1-O345)*O345*D345</f>
        <v>0.0231966671909069</v>
      </c>
      <c r="W345" s="26" t="n">
        <f aca="false">2*(O345-G345)*(1-O345)*O345*E345</f>
        <v>0.0115983335954535</v>
      </c>
      <c r="X345" s="26" t="n">
        <f aca="false">2*(O345-G345)*(1-O345)*O345*F345</f>
        <v>0.00136450983475923</v>
      </c>
    </row>
    <row r="346" customFormat="false" ht="14.25" hidden="false" customHeight="true" outlineLevel="0" collapsed="false">
      <c r="A346" s="37"/>
      <c r="B346" s="34" t="n">
        <v>22</v>
      </c>
      <c r="C346" s="28" t="n">
        <v>5.1</v>
      </c>
      <c r="D346" s="28" t="n">
        <v>3.7</v>
      </c>
      <c r="E346" s="28" t="n">
        <v>1.5</v>
      </c>
      <c r="F346" s="28" t="n">
        <v>0.4</v>
      </c>
      <c r="G346" s="35" t="n">
        <v>0</v>
      </c>
      <c r="H346" s="1" t="n">
        <f aca="false">IF(G346=P346, 1, 0)</f>
        <v>1</v>
      </c>
      <c r="I346" s="34" t="n">
        <f aca="false">I345-0.1*T345</f>
        <v>0.215643242114564</v>
      </c>
      <c r="J346" s="36" t="n">
        <f aca="false">J345-0.1*U345</f>
        <v>-0.529107425759065</v>
      </c>
      <c r="K346" s="36" t="n">
        <f aca="false">K345-0.1*V345</f>
        <v>-0.538436669594968</v>
      </c>
      <c r="L346" s="36" t="n">
        <f aca="false">L345-0.1*W345</f>
        <v>0.907801541692531</v>
      </c>
      <c r="M346" s="36" t="n">
        <f aca="false">M345-0.1*X345</f>
        <v>0.756862850600755</v>
      </c>
      <c r="N346" s="31" t="n">
        <f aca="false">I346+J346*C346+K346*D346+L346*E346+F346*M346</f>
        <v>-2.81057285397895</v>
      </c>
      <c r="O346" s="31" t="n">
        <f aca="false">1/(1+EXP(-N346))</f>
        <v>0.0567555056735502</v>
      </c>
      <c r="P346" s="32" t="n">
        <f aca="false">IF(O346&gt;0.5,1,0)</f>
        <v>0</v>
      </c>
      <c r="Q346" s="32" t="n">
        <f aca="false">O346-G346</f>
        <v>0.0567555056735502</v>
      </c>
      <c r="R346" s="33" t="n">
        <f aca="false">Q346^2</f>
        <v>0.00322118742426039</v>
      </c>
      <c r="T346" s="26" t="n">
        <f aca="false">2*(O346-G346)*(1-O346)*O346</f>
        <v>0.00607673460625443</v>
      </c>
      <c r="U346" s="26" t="n">
        <f aca="false">2*(O346-G346)*(1-O346)*O346*C346</f>
        <v>0.0309913464918976</v>
      </c>
      <c r="V346" s="26" t="n">
        <f aca="false">2*(O346-G346)*(1-O346)*O346*D346</f>
        <v>0.0224839180431414</v>
      </c>
      <c r="W346" s="26" t="n">
        <f aca="false">2*(O346-G346)*(1-O346)*O346*E346</f>
        <v>0.00911510190938164</v>
      </c>
      <c r="X346" s="26" t="n">
        <f aca="false">2*(O346-G346)*(1-O346)*O346*F346</f>
        <v>0.00243069384250177</v>
      </c>
    </row>
    <row r="347" customFormat="false" ht="14.25" hidden="false" customHeight="true" outlineLevel="0" collapsed="false">
      <c r="A347" s="37"/>
      <c r="B347" s="34" t="n">
        <v>23</v>
      </c>
      <c r="C347" s="28" t="n">
        <v>4.6</v>
      </c>
      <c r="D347" s="28" t="n">
        <v>3.6</v>
      </c>
      <c r="E347" s="28" t="n">
        <v>1</v>
      </c>
      <c r="F347" s="28" t="n">
        <v>0.2</v>
      </c>
      <c r="G347" s="35" t="n">
        <v>0</v>
      </c>
      <c r="H347" s="1" t="n">
        <f aca="false">IF(G347=P347, 1, 0)</f>
        <v>1</v>
      </c>
      <c r="I347" s="34" t="n">
        <f aca="false">I346-0.1*T346</f>
        <v>0.215035568653939</v>
      </c>
      <c r="J347" s="36" t="n">
        <f aca="false">J346-0.1*U346</f>
        <v>-0.532206560408255</v>
      </c>
      <c r="K347" s="36" t="n">
        <f aca="false">K346-0.1*V346</f>
        <v>-0.540685061399282</v>
      </c>
      <c r="L347" s="36" t="n">
        <f aca="false">L346-0.1*W346</f>
        <v>0.906890031501593</v>
      </c>
      <c r="M347" s="36" t="n">
        <f aca="false">M346-0.1*X346</f>
        <v>0.756619781216505</v>
      </c>
      <c r="N347" s="31" t="n">
        <f aca="false">I347+J347*C347+K347*D347+L347*E347+F347*M347</f>
        <v>-3.12136684251655</v>
      </c>
      <c r="O347" s="31" t="n">
        <f aca="false">1/(1+EXP(-N347))</f>
        <v>0.0422344474994293</v>
      </c>
      <c r="P347" s="32" t="n">
        <f aca="false">IF(O347&gt;0.5,1,0)</f>
        <v>0</v>
      </c>
      <c r="Q347" s="32" t="n">
        <f aca="false">O347-G347</f>
        <v>0.0422344474994293</v>
      </c>
      <c r="R347" s="33" t="n">
        <f aca="false">Q347^2</f>
        <v>0.00178374855558205</v>
      </c>
      <c r="T347" s="26" t="n">
        <f aca="false">2*(O347-G347)*(1-O347)*O347</f>
        <v>0.00341682584171828</v>
      </c>
      <c r="U347" s="26" t="n">
        <f aca="false">2*(O347-G347)*(1-O347)*O347*C347</f>
        <v>0.0157173988719041</v>
      </c>
      <c r="V347" s="26" t="n">
        <f aca="false">2*(O347-G347)*(1-O347)*O347*D347</f>
        <v>0.0123005730301858</v>
      </c>
      <c r="W347" s="26" t="n">
        <f aca="false">2*(O347-G347)*(1-O347)*O347*E347</f>
        <v>0.00341682584171828</v>
      </c>
      <c r="X347" s="26" t="n">
        <f aca="false">2*(O347-G347)*(1-O347)*O347*F347</f>
        <v>0.000683365168343655</v>
      </c>
    </row>
    <row r="348" customFormat="false" ht="14.25" hidden="false" customHeight="true" outlineLevel="0" collapsed="false">
      <c r="A348" s="37"/>
      <c r="B348" s="34" t="n">
        <v>24</v>
      </c>
      <c r="C348" s="28" t="n">
        <v>5.1</v>
      </c>
      <c r="D348" s="28" t="n">
        <v>3.3</v>
      </c>
      <c r="E348" s="28" t="n">
        <v>1.7</v>
      </c>
      <c r="F348" s="28" t="n">
        <v>0.5</v>
      </c>
      <c r="G348" s="35" t="n">
        <v>0</v>
      </c>
      <c r="H348" s="1" t="n">
        <f aca="false">IF(G348=P348, 1, 0)</f>
        <v>1</v>
      </c>
      <c r="I348" s="34" t="n">
        <f aca="false">I347-0.1*T347</f>
        <v>0.214693886069767</v>
      </c>
      <c r="J348" s="36" t="n">
        <f aca="false">J347-0.1*U347</f>
        <v>-0.533778300295445</v>
      </c>
      <c r="K348" s="36" t="n">
        <f aca="false">K347-0.1*V347</f>
        <v>-0.541915118702301</v>
      </c>
      <c r="L348" s="36" t="n">
        <f aca="false">L347-0.1*W347</f>
        <v>0.906548348917421</v>
      </c>
      <c r="M348" s="36" t="n">
        <f aca="false">M347-0.1*X347</f>
        <v>0.75655144469967</v>
      </c>
      <c r="N348" s="31" t="n">
        <f aca="false">I348+J348*C348+K348*D348+L348*E348+F348*M348</f>
        <v>-2.37648742164514</v>
      </c>
      <c r="O348" s="31" t="n">
        <f aca="false">1/(1+EXP(-N348))</f>
        <v>0.0849833099713687</v>
      </c>
      <c r="P348" s="32" t="n">
        <f aca="false">IF(O348&gt;0.5,1,0)</f>
        <v>0</v>
      </c>
      <c r="Q348" s="32" t="n">
        <f aca="false">O348-G348</f>
        <v>0.0849833099713687</v>
      </c>
      <c r="R348" s="33" t="n">
        <f aca="false">Q348^2</f>
        <v>0.00722216297368974</v>
      </c>
      <c r="T348" s="26" t="n">
        <f aca="false">2*(O348-G348)*(1-O348)*O348</f>
        <v>0.0132167993180658</v>
      </c>
      <c r="U348" s="26" t="n">
        <f aca="false">2*(O348-G348)*(1-O348)*O348*C348</f>
        <v>0.0674056765221358</v>
      </c>
      <c r="V348" s="26" t="n">
        <f aca="false">2*(O348-G348)*(1-O348)*O348*D348</f>
        <v>0.0436154377496173</v>
      </c>
      <c r="W348" s="26" t="n">
        <f aca="false">2*(O348-G348)*(1-O348)*O348*E348</f>
        <v>0.0224685588407119</v>
      </c>
      <c r="X348" s="26" t="n">
        <f aca="false">2*(O348-G348)*(1-O348)*O348*F348</f>
        <v>0.00660839965903292</v>
      </c>
    </row>
    <row r="349" customFormat="false" ht="14.25" hidden="false" customHeight="true" outlineLevel="0" collapsed="false">
      <c r="A349" s="37"/>
      <c r="B349" s="34" t="n">
        <v>25</v>
      </c>
      <c r="C349" s="28" t="n">
        <v>4.8</v>
      </c>
      <c r="D349" s="28" t="n">
        <v>3.4</v>
      </c>
      <c r="E349" s="28" t="n">
        <v>1.9</v>
      </c>
      <c r="F349" s="28" t="n">
        <v>0.2</v>
      </c>
      <c r="G349" s="35" t="n">
        <v>0</v>
      </c>
      <c r="H349" s="1" t="n">
        <f aca="false">IF(G349=P349, 1, 0)</f>
        <v>1</v>
      </c>
      <c r="I349" s="34" t="n">
        <f aca="false">I348-0.1*T348</f>
        <v>0.21337220613796</v>
      </c>
      <c r="J349" s="36" t="n">
        <f aca="false">J348-0.1*U348</f>
        <v>-0.540518867947659</v>
      </c>
      <c r="K349" s="36" t="n">
        <f aca="false">K348-0.1*V348</f>
        <v>-0.546276662477262</v>
      </c>
      <c r="L349" s="36" t="n">
        <f aca="false">L348-0.1*W348</f>
        <v>0.90430149303335</v>
      </c>
      <c r="M349" s="36" t="n">
        <f aca="false">M348-0.1*X348</f>
        <v>0.755890604733767</v>
      </c>
      <c r="N349" s="31" t="n">
        <f aca="false">I349+J349*C349+K349*D349+L349*E349+F349*M349</f>
        <v>-2.36910805472337</v>
      </c>
      <c r="O349" s="31" t="n">
        <f aca="false">1/(1+EXP(-N349))</f>
        <v>0.0855588981689912</v>
      </c>
      <c r="P349" s="32" t="n">
        <f aca="false">IF(O349&gt;0.5,1,0)</f>
        <v>0</v>
      </c>
      <c r="Q349" s="32" t="n">
        <f aca="false">O349-G349</f>
        <v>0.0855588981689912</v>
      </c>
      <c r="R349" s="33" t="n">
        <f aca="false">Q349^2</f>
        <v>0.0073203250558918</v>
      </c>
      <c r="T349" s="26" t="n">
        <f aca="false">2*(O349-G349)*(1-O349)*O349</f>
        <v>0.0133880122197417</v>
      </c>
      <c r="U349" s="26" t="n">
        <f aca="false">2*(O349-G349)*(1-O349)*O349*C349</f>
        <v>0.0642624586547601</v>
      </c>
      <c r="V349" s="26" t="n">
        <f aca="false">2*(O349-G349)*(1-O349)*O349*D349</f>
        <v>0.0455192415471217</v>
      </c>
      <c r="W349" s="26" t="n">
        <f aca="false">2*(O349-G349)*(1-O349)*O349*E349</f>
        <v>0.0254372232175092</v>
      </c>
      <c r="X349" s="26" t="n">
        <f aca="false">2*(O349-G349)*(1-O349)*O349*F349</f>
        <v>0.00267760244394834</v>
      </c>
    </row>
    <row r="350" customFormat="false" ht="14.25" hidden="false" customHeight="true" outlineLevel="0" collapsed="false">
      <c r="A350" s="37"/>
      <c r="B350" s="34" t="n">
        <v>26</v>
      </c>
      <c r="C350" s="28" t="n">
        <v>5</v>
      </c>
      <c r="D350" s="28" t="n">
        <v>3</v>
      </c>
      <c r="E350" s="28" t="n">
        <v>1.6</v>
      </c>
      <c r="F350" s="28" t="n">
        <v>0.2</v>
      </c>
      <c r="G350" s="35" t="n">
        <v>0</v>
      </c>
      <c r="H350" s="1" t="n">
        <f aca="false">IF(G350=P350, 1, 0)</f>
        <v>1</v>
      </c>
      <c r="I350" s="34" t="n">
        <f aca="false">I349-0.1*T349</f>
        <v>0.212033404915986</v>
      </c>
      <c r="J350" s="36" t="n">
        <f aca="false">J349-0.1*U349</f>
        <v>-0.546945113813135</v>
      </c>
      <c r="K350" s="36" t="n">
        <f aca="false">K349-0.1*V349</f>
        <v>-0.550828586631974</v>
      </c>
      <c r="L350" s="36" t="n">
        <f aca="false">L349-0.1*W349</f>
        <v>0.901757770711599</v>
      </c>
      <c r="M350" s="36" t="n">
        <f aca="false">M349-0.1*X349</f>
        <v>0.755622844489372</v>
      </c>
      <c r="N350" s="31" t="n">
        <f aca="false">I350+J350*C350+K350*D350+L350*E350+F350*M350</f>
        <v>-2.58124092200918</v>
      </c>
      <c r="O350" s="31" t="n">
        <f aca="false">1/(1+EXP(-N350))</f>
        <v>0.0703555243285318</v>
      </c>
      <c r="P350" s="32" t="n">
        <f aca="false">IF(O350&gt;0.5,1,0)</f>
        <v>0</v>
      </c>
      <c r="Q350" s="32" t="n">
        <f aca="false">O350-G350</f>
        <v>0.0703555243285318</v>
      </c>
      <c r="R350" s="33" t="n">
        <f aca="false">Q350^2</f>
        <v>0.00494989980354263</v>
      </c>
      <c r="T350" s="26" t="n">
        <f aca="false">2*(O350-G350)*(1-O350)*O350</f>
        <v>0.00920329401498138</v>
      </c>
      <c r="U350" s="26" t="n">
        <f aca="false">2*(O350-G350)*(1-O350)*O350*C350</f>
        <v>0.0460164700749069</v>
      </c>
      <c r="V350" s="26" t="n">
        <f aca="false">2*(O350-G350)*(1-O350)*O350*D350</f>
        <v>0.0276098820449441</v>
      </c>
      <c r="W350" s="26" t="n">
        <f aca="false">2*(O350-G350)*(1-O350)*O350*E350</f>
        <v>0.0147252704239702</v>
      </c>
      <c r="X350" s="26" t="n">
        <f aca="false">2*(O350-G350)*(1-O350)*O350*F350</f>
        <v>0.00184065880299628</v>
      </c>
    </row>
    <row r="351" customFormat="false" ht="14.25" hidden="false" customHeight="true" outlineLevel="0" collapsed="false">
      <c r="A351" s="37"/>
      <c r="B351" s="34" t="n">
        <v>27</v>
      </c>
      <c r="C351" s="28" t="n">
        <v>5</v>
      </c>
      <c r="D351" s="28" t="n">
        <v>3.4</v>
      </c>
      <c r="E351" s="28" t="n">
        <v>1.6</v>
      </c>
      <c r="F351" s="28" t="n">
        <v>0.4</v>
      </c>
      <c r="G351" s="35" t="n">
        <v>0</v>
      </c>
      <c r="H351" s="1" t="n">
        <f aca="false">IF(G351=P351, 1, 0)</f>
        <v>1</v>
      </c>
      <c r="I351" s="34" t="n">
        <f aca="false">I350-0.1*T350</f>
        <v>0.211113075514488</v>
      </c>
      <c r="J351" s="36" t="n">
        <f aca="false">J350-0.1*U350</f>
        <v>-0.551546760820625</v>
      </c>
      <c r="K351" s="36" t="n">
        <f aca="false">K350-0.1*V350</f>
        <v>-0.553589574836469</v>
      </c>
      <c r="L351" s="36" t="n">
        <f aca="false">L350-0.1*W350</f>
        <v>0.900285243669202</v>
      </c>
      <c r="M351" s="36" t="n">
        <f aca="false">M350-0.1*X350</f>
        <v>0.755438778609073</v>
      </c>
      <c r="N351" s="31" t="n">
        <f aca="false">I351+J351*C351+K351*D351+L351*E351+F351*M351</f>
        <v>-2.68619338171828</v>
      </c>
      <c r="O351" s="31" t="n">
        <f aca="false">1/(1+EXP(-N351))</f>
        <v>0.0637929855285071</v>
      </c>
      <c r="P351" s="32" t="n">
        <f aca="false">IF(O351&gt;0.5,1,0)</f>
        <v>0</v>
      </c>
      <c r="Q351" s="32" t="n">
        <f aca="false">O351-G351</f>
        <v>0.0637929855285071</v>
      </c>
      <c r="R351" s="33" t="n">
        <f aca="false">Q351^2</f>
        <v>0.00406954500264032</v>
      </c>
      <c r="T351" s="26" t="n">
        <f aca="false">2*(O351-G351)*(1-O351)*O351</f>
        <v>0.00761987315435855</v>
      </c>
      <c r="U351" s="26" t="n">
        <f aca="false">2*(O351-G351)*(1-O351)*O351*C351</f>
        <v>0.0380993657717928</v>
      </c>
      <c r="V351" s="26" t="n">
        <f aca="false">2*(O351-G351)*(1-O351)*O351*D351</f>
        <v>0.0259075687248191</v>
      </c>
      <c r="W351" s="26" t="n">
        <f aca="false">2*(O351-G351)*(1-O351)*O351*E351</f>
        <v>0.0121917970469737</v>
      </c>
      <c r="X351" s="26" t="n">
        <f aca="false">2*(O351-G351)*(1-O351)*O351*F351</f>
        <v>0.00304794926174342</v>
      </c>
    </row>
    <row r="352" customFormat="false" ht="14.25" hidden="false" customHeight="true" outlineLevel="0" collapsed="false">
      <c r="A352" s="37"/>
      <c r="B352" s="34" t="n">
        <v>28</v>
      </c>
      <c r="C352" s="28" t="n">
        <v>5.2</v>
      </c>
      <c r="D352" s="28" t="n">
        <v>3.5</v>
      </c>
      <c r="E352" s="28" t="n">
        <v>1.5</v>
      </c>
      <c r="F352" s="28" t="n">
        <v>0.2</v>
      </c>
      <c r="G352" s="35" t="n">
        <v>0</v>
      </c>
      <c r="H352" s="1" t="n">
        <f aca="false">IF(G352=P352, 1, 0)</f>
        <v>1</v>
      </c>
      <c r="I352" s="34" t="n">
        <f aca="false">I351-0.1*T351</f>
        <v>0.210351088199052</v>
      </c>
      <c r="J352" s="36" t="n">
        <f aca="false">J351-0.1*U351</f>
        <v>-0.555356697397805</v>
      </c>
      <c r="K352" s="36" t="n">
        <f aca="false">K351-0.1*V351</f>
        <v>-0.556180331708951</v>
      </c>
      <c r="L352" s="36" t="n">
        <f aca="false">L351-0.1*W351</f>
        <v>0.899066063964505</v>
      </c>
      <c r="M352" s="36" t="n">
        <f aca="false">M351-0.1*X351</f>
        <v>0.755133983682898</v>
      </c>
      <c r="N352" s="31" t="n">
        <f aca="false">I352+J352*C352+K352*D352+L352*E352+F352*M352</f>
        <v>-3.12450900656752</v>
      </c>
      <c r="O352" s="31" t="n">
        <f aca="false">1/(1+EXP(-N352))</f>
        <v>0.042107527430383</v>
      </c>
      <c r="P352" s="32" t="n">
        <f aca="false">IF(O352&gt;0.5,1,0)</f>
        <v>0</v>
      </c>
      <c r="Q352" s="32" t="n">
        <f aca="false">O352-G352</f>
        <v>0.042107527430383</v>
      </c>
      <c r="R352" s="33" t="n">
        <f aca="false">Q352^2</f>
        <v>0.00177304386630046</v>
      </c>
      <c r="T352" s="26" t="n">
        <f aca="false">2*(O352-G352)*(1-O352)*O352</f>
        <v>0.00339677074612987</v>
      </c>
      <c r="U352" s="26" t="n">
        <f aca="false">2*(O352-G352)*(1-O352)*O352*C352</f>
        <v>0.0176632078798753</v>
      </c>
      <c r="V352" s="26" t="n">
        <f aca="false">2*(O352-G352)*(1-O352)*O352*D352</f>
        <v>0.0118886976114546</v>
      </c>
      <c r="W352" s="26" t="n">
        <f aca="false">2*(O352-G352)*(1-O352)*O352*E352</f>
        <v>0.00509515611919481</v>
      </c>
      <c r="X352" s="26" t="n">
        <f aca="false">2*(O352-G352)*(1-O352)*O352*F352</f>
        <v>0.000679354149225975</v>
      </c>
    </row>
    <row r="353" customFormat="false" ht="14.25" hidden="false" customHeight="true" outlineLevel="0" collapsed="false">
      <c r="A353" s="37"/>
      <c r="B353" s="34" t="n">
        <v>29</v>
      </c>
      <c r="C353" s="28" t="n">
        <v>5.2</v>
      </c>
      <c r="D353" s="28" t="n">
        <v>3.4</v>
      </c>
      <c r="E353" s="28" t="n">
        <v>1.4</v>
      </c>
      <c r="F353" s="28" t="n">
        <v>0.2</v>
      </c>
      <c r="G353" s="35" t="n">
        <v>0</v>
      </c>
      <c r="H353" s="1" t="n">
        <f aca="false">IF(G353=P353, 1, 0)</f>
        <v>1</v>
      </c>
      <c r="I353" s="34" t="n">
        <f aca="false">I352-0.1*T352</f>
        <v>0.210011411124439</v>
      </c>
      <c r="J353" s="36" t="n">
        <f aca="false">J352-0.1*U352</f>
        <v>-0.557123018185792</v>
      </c>
      <c r="K353" s="36" t="n">
        <f aca="false">K352-0.1*V352</f>
        <v>-0.557369201470096</v>
      </c>
      <c r="L353" s="36" t="n">
        <f aca="false">L352-0.1*W352</f>
        <v>0.898556548352586</v>
      </c>
      <c r="M353" s="36" t="n">
        <f aca="false">M352-0.1*X352</f>
        <v>0.755066048267976</v>
      </c>
      <c r="N353" s="31" t="n">
        <f aca="false">I353+J353*C353+K353*D353+L353*E353+F353*M353</f>
        <v>-3.17309119109279</v>
      </c>
      <c r="O353" s="31" t="n">
        <f aca="false">1/(1+EXP(-N353))</f>
        <v>0.0401910009751147</v>
      </c>
      <c r="P353" s="32" t="n">
        <f aca="false">IF(O353&gt;0.5,1,0)</f>
        <v>0</v>
      </c>
      <c r="Q353" s="32" t="n">
        <f aca="false">O353-G353</f>
        <v>0.0401910009751147</v>
      </c>
      <c r="R353" s="33" t="n">
        <f aca="false">Q353^2</f>
        <v>0.00161531655938167</v>
      </c>
      <c r="T353" s="26" t="n">
        <f aca="false">2*(O353-G353)*(1-O353)*O353</f>
        <v>0.00310079073993689</v>
      </c>
      <c r="U353" s="26" t="n">
        <f aca="false">2*(O353-G353)*(1-O353)*O353*C353</f>
        <v>0.0161241118476718</v>
      </c>
      <c r="V353" s="26" t="n">
        <f aca="false">2*(O353-G353)*(1-O353)*O353*D353</f>
        <v>0.0105426885157854</v>
      </c>
      <c r="W353" s="26" t="n">
        <f aca="false">2*(O353-G353)*(1-O353)*O353*E353</f>
        <v>0.00434110703591164</v>
      </c>
      <c r="X353" s="26" t="n">
        <f aca="false">2*(O353-G353)*(1-O353)*O353*F353</f>
        <v>0.000620158147987378</v>
      </c>
    </row>
    <row r="354" customFormat="false" ht="14.25" hidden="false" customHeight="true" outlineLevel="0" collapsed="false">
      <c r="A354" s="37"/>
      <c r="B354" s="34" t="n">
        <v>30</v>
      </c>
      <c r="C354" s="28" t="n">
        <v>4.7</v>
      </c>
      <c r="D354" s="28" t="n">
        <v>3.2</v>
      </c>
      <c r="E354" s="28" t="n">
        <v>1.6</v>
      </c>
      <c r="F354" s="28" t="n">
        <v>0.2</v>
      </c>
      <c r="G354" s="35" t="n">
        <v>0</v>
      </c>
      <c r="H354" s="1" t="n">
        <f aca="false">IF(G354=P354, 1, 0)</f>
        <v>1</v>
      </c>
      <c r="I354" s="34" t="n">
        <f aca="false">I353-0.1*T353</f>
        <v>0.209701332050446</v>
      </c>
      <c r="J354" s="36" t="n">
        <f aca="false">J353-0.1*U353</f>
        <v>-0.558735429370559</v>
      </c>
      <c r="K354" s="36" t="n">
        <f aca="false">K353-0.1*V353</f>
        <v>-0.558423470321675</v>
      </c>
      <c r="L354" s="36" t="n">
        <f aca="false">L353-0.1*W353</f>
        <v>0.898122437648995</v>
      </c>
      <c r="M354" s="36" t="n">
        <f aca="false">M353-0.1*X353</f>
        <v>0.755004032453177</v>
      </c>
      <c r="N354" s="31" t="n">
        <f aca="false">I354+J354*C354+K354*D354+L354*E354+F354*M354</f>
        <v>-2.61531358429152</v>
      </c>
      <c r="O354" s="31" t="n">
        <f aca="false">1/(1+EXP(-N354))</f>
        <v>0.0681593432224891</v>
      </c>
      <c r="P354" s="32" t="n">
        <f aca="false">IF(O354&gt;0.5,1,0)</f>
        <v>0</v>
      </c>
      <c r="Q354" s="32" t="n">
        <f aca="false">O354-G354</f>
        <v>0.0681593432224891</v>
      </c>
      <c r="R354" s="33" t="n">
        <f aca="false">Q354^2</f>
        <v>0.00464569606852106</v>
      </c>
      <c r="T354" s="26" t="n">
        <f aca="false">2*(O354-G354)*(1-O354)*O354</f>
        <v>0.00865809695135874</v>
      </c>
      <c r="U354" s="26" t="n">
        <f aca="false">2*(O354-G354)*(1-O354)*O354*C354</f>
        <v>0.0406930556713861</v>
      </c>
      <c r="V354" s="26" t="n">
        <f aca="false">2*(O354-G354)*(1-O354)*O354*D354</f>
        <v>0.027705910244348</v>
      </c>
      <c r="W354" s="26" t="n">
        <f aca="false">2*(O354-G354)*(1-O354)*O354*E354</f>
        <v>0.013852955122174</v>
      </c>
      <c r="X354" s="26" t="n">
        <f aca="false">2*(O354-G354)*(1-O354)*O354*F354</f>
        <v>0.00173161939027175</v>
      </c>
    </row>
    <row r="355" customFormat="false" ht="14.25" hidden="false" customHeight="true" outlineLevel="0" collapsed="false">
      <c r="A355" s="37"/>
      <c r="B355" s="34" t="n">
        <v>31</v>
      </c>
      <c r="C355" s="28" t="n">
        <v>4.8</v>
      </c>
      <c r="D355" s="28" t="n">
        <v>3.1</v>
      </c>
      <c r="E355" s="28" t="n">
        <v>1.6</v>
      </c>
      <c r="F355" s="28" t="n">
        <v>0.2</v>
      </c>
      <c r="G355" s="35" t="n">
        <v>0</v>
      </c>
      <c r="H355" s="1" t="n">
        <f aca="false">IF(G355=P355, 1, 0)</f>
        <v>1</v>
      </c>
      <c r="I355" s="34" t="n">
        <f aca="false">I354-0.1*T354</f>
        <v>0.20883552235531</v>
      </c>
      <c r="J355" s="36" t="n">
        <f aca="false">J354-0.1*U354</f>
        <v>-0.562804734937698</v>
      </c>
      <c r="K355" s="36" t="n">
        <f aca="false">K354-0.1*V354</f>
        <v>-0.561194061346109</v>
      </c>
      <c r="L355" s="36" t="n">
        <f aca="false">L354-0.1*W354</f>
        <v>0.896737142136777</v>
      </c>
      <c r="M355" s="36" t="n">
        <f aca="false">M354-0.1*X354</f>
        <v>0.75483087051415</v>
      </c>
      <c r="N355" s="31" t="n">
        <f aca="false">I355+J355*C355+K355*D355+L355*E355+F355*M355</f>
        <v>-2.64658319399691</v>
      </c>
      <c r="O355" s="31" t="n">
        <f aca="false">1/(1+EXP(-N355))</f>
        <v>0.0661999150378087</v>
      </c>
      <c r="P355" s="32" t="n">
        <f aca="false">IF(O355&gt;0.5,1,0)</f>
        <v>0</v>
      </c>
      <c r="Q355" s="32" t="n">
        <f aca="false">O355-G355</f>
        <v>0.0661999150378087</v>
      </c>
      <c r="R355" s="33" t="n">
        <f aca="false">Q355^2</f>
        <v>0.00438242875101309</v>
      </c>
      <c r="T355" s="26" t="n">
        <f aca="false">2*(O355-G355)*(1-O355)*O355</f>
        <v>0.00818462468007355</v>
      </c>
      <c r="U355" s="26" t="n">
        <f aca="false">2*(O355-G355)*(1-O355)*O355*C355</f>
        <v>0.0392861984643531</v>
      </c>
      <c r="V355" s="26" t="n">
        <f aca="false">2*(O355-G355)*(1-O355)*O355*D355</f>
        <v>0.025372336508228</v>
      </c>
      <c r="W355" s="26" t="n">
        <f aca="false">2*(O355-G355)*(1-O355)*O355*E355</f>
        <v>0.0130953994881177</v>
      </c>
      <c r="X355" s="26" t="n">
        <f aca="false">2*(O355-G355)*(1-O355)*O355*F355</f>
        <v>0.00163692493601471</v>
      </c>
    </row>
    <row r="356" customFormat="false" ht="14.25" hidden="false" customHeight="true" outlineLevel="0" collapsed="false">
      <c r="A356" s="37"/>
      <c r="B356" s="34" t="n">
        <v>32</v>
      </c>
      <c r="C356" s="28" t="n">
        <v>5.4</v>
      </c>
      <c r="D356" s="28" t="n">
        <v>3.4</v>
      </c>
      <c r="E356" s="28" t="n">
        <v>1.5</v>
      </c>
      <c r="F356" s="28" t="n">
        <v>0.4</v>
      </c>
      <c r="G356" s="35" t="n">
        <v>0</v>
      </c>
      <c r="H356" s="1" t="n">
        <f aca="false">IF(G356=P356, 1, 0)</f>
        <v>1</v>
      </c>
      <c r="I356" s="34" t="n">
        <f aca="false">I355-0.1*T355</f>
        <v>0.208017059887302</v>
      </c>
      <c r="J356" s="36" t="n">
        <f aca="false">J355-0.1*U355</f>
        <v>-0.566733354784133</v>
      </c>
      <c r="K356" s="36" t="n">
        <f aca="false">K355-0.1*V355</f>
        <v>-0.563731294996932</v>
      </c>
      <c r="L356" s="36" t="n">
        <f aca="false">L355-0.1*W355</f>
        <v>0.895427602187965</v>
      </c>
      <c r="M356" s="36" t="n">
        <f aca="false">M355-0.1*X355</f>
        <v>0.754667178020549</v>
      </c>
      <c r="N356" s="31" t="n">
        <f aca="false">I356+J356*C356+K356*D356+L356*E356+F356*M356</f>
        <v>-3.12402118444642</v>
      </c>
      <c r="O356" s="31" t="n">
        <f aca="false">1/(1+EXP(-N356))</f>
        <v>0.0421272078793419</v>
      </c>
      <c r="P356" s="32" t="n">
        <f aca="false">IF(O356&gt;0.5,1,0)</f>
        <v>0</v>
      </c>
      <c r="Q356" s="32" t="n">
        <f aca="false">O356-G356</f>
        <v>0.0421272078793419</v>
      </c>
      <c r="R356" s="33" t="n">
        <f aca="false">Q356^2</f>
        <v>0.00177470164370929</v>
      </c>
      <c r="T356" s="26" t="n">
        <f aca="false">2*(O356-G356)*(1-O356)*O356</f>
        <v>0.00339987683728188</v>
      </c>
      <c r="U356" s="26" t="n">
        <f aca="false">2*(O356-G356)*(1-O356)*O356*C356</f>
        <v>0.0183593349213221</v>
      </c>
      <c r="V356" s="26" t="n">
        <f aca="false">2*(O356-G356)*(1-O356)*O356*D356</f>
        <v>0.0115595812467584</v>
      </c>
      <c r="W356" s="26" t="n">
        <f aca="false">2*(O356-G356)*(1-O356)*O356*E356</f>
        <v>0.00509981525592282</v>
      </c>
      <c r="X356" s="26" t="n">
        <f aca="false">2*(O356-G356)*(1-O356)*O356*F356</f>
        <v>0.00135995073491275</v>
      </c>
    </row>
    <row r="357" customFormat="false" ht="14.25" hidden="false" customHeight="true" outlineLevel="0" collapsed="false">
      <c r="A357" s="37"/>
      <c r="B357" s="34" t="n">
        <v>33</v>
      </c>
      <c r="C357" s="28" t="n">
        <v>5.2</v>
      </c>
      <c r="D357" s="28" t="n">
        <v>4.1</v>
      </c>
      <c r="E357" s="28" t="n">
        <v>1.5</v>
      </c>
      <c r="F357" s="28" t="n">
        <v>0.1</v>
      </c>
      <c r="G357" s="35" t="n">
        <v>0</v>
      </c>
      <c r="H357" s="1" t="n">
        <f aca="false">IF(G357=P357, 1, 0)</f>
        <v>1</v>
      </c>
      <c r="I357" s="34" t="n">
        <f aca="false">I356-0.1*T356</f>
        <v>0.207677072203574</v>
      </c>
      <c r="J357" s="36" t="n">
        <f aca="false">J356-0.1*U356</f>
        <v>-0.568569288276266</v>
      </c>
      <c r="K357" s="36" t="n">
        <f aca="false">K356-0.1*V356</f>
        <v>-0.564887253121608</v>
      </c>
      <c r="L357" s="36" t="n">
        <f aca="false">L356-0.1*W356</f>
        <v>0.894917620662373</v>
      </c>
      <c r="M357" s="36" t="n">
        <f aca="false">M356-0.1*X356</f>
        <v>0.754531182947057</v>
      </c>
      <c r="N357" s="31" t="n">
        <f aca="false">I357+J357*C357+K357*D357+L357*E357+F357*M357</f>
        <v>-3.64709141534333</v>
      </c>
      <c r="O357" s="31" t="n">
        <f aca="false">1/(1+EXP(-N357))</f>
        <v>0.0254046182024848</v>
      </c>
      <c r="P357" s="32" t="n">
        <f aca="false">IF(O357&gt;0.5,1,0)</f>
        <v>0</v>
      </c>
      <c r="Q357" s="32" t="n">
        <f aca="false">O357-G357</f>
        <v>0.0254046182024848</v>
      </c>
      <c r="R357" s="33" t="n">
        <f aca="false">Q357^2</f>
        <v>0.000645394626014023</v>
      </c>
      <c r="T357" s="26" t="n">
        <f aca="false">2*(O357-G357)*(1-O357)*O357</f>
        <v>0.0012579972439004</v>
      </c>
      <c r="U357" s="26" t="n">
        <f aca="false">2*(O357-G357)*(1-O357)*O357*C357</f>
        <v>0.0065415856682821</v>
      </c>
      <c r="V357" s="26" t="n">
        <f aca="false">2*(O357-G357)*(1-O357)*O357*D357</f>
        <v>0.00515778869999165</v>
      </c>
      <c r="W357" s="26" t="n">
        <f aca="false">2*(O357-G357)*(1-O357)*O357*E357</f>
        <v>0.0018869958658506</v>
      </c>
      <c r="X357" s="26" t="n">
        <f aca="false">2*(O357-G357)*(1-O357)*O357*F357</f>
        <v>0.00012579972439004</v>
      </c>
    </row>
    <row r="358" customFormat="false" ht="14.25" hidden="false" customHeight="true" outlineLevel="0" collapsed="false">
      <c r="A358" s="37"/>
      <c r="B358" s="34" t="n">
        <v>34</v>
      </c>
      <c r="C358" s="28" t="n">
        <v>5.5</v>
      </c>
      <c r="D358" s="28" t="n">
        <v>4.2</v>
      </c>
      <c r="E358" s="28" t="n">
        <v>1.4</v>
      </c>
      <c r="F358" s="28" t="n">
        <v>0.2</v>
      </c>
      <c r="G358" s="35" t="n">
        <v>0</v>
      </c>
      <c r="H358" s="1" t="n">
        <f aca="false">IF(G358=P358, 1, 0)</f>
        <v>1</v>
      </c>
      <c r="I358" s="34" t="n">
        <f aca="false">I357-0.1*T357</f>
        <v>0.207551272479184</v>
      </c>
      <c r="J358" s="36" t="n">
        <f aca="false">J357-0.1*U357</f>
        <v>-0.569223446843094</v>
      </c>
      <c r="K358" s="36" t="n">
        <f aca="false">K357-0.1*V357</f>
        <v>-0.565403031991607</v>
      </c>
      <c r="L358" s="36" t="n">
        <f aca="false">L357-0.1*W357</f>
        <v>0.894728921075788</v>
      </c>
      <c r="M358" s="36" t="n">
        <f aca="false">M357-0.1*X357</f>
        <v>0.754518602974618</v>
      </c>
      <c r="N358" s="31" t="n">
        <f aca="false">I358+J358*C358+K358*D358+L358*E358+F358*M358</f>
        <v>-3.89434620942155</v>
      </c>
      <c r="O358" s="31" t="n">
        <f aca="false">1/(1+EXP(-N358))</f>
        <v>0.0199505521170606</v>
      </c>
      <c r="P358" s="32" t="n">
        <f aca="false">IF(O358&gt;0.5,1,0)</f>
        <v>0</v>
      </c>
      <c r="Q358" s="32" t="n">
        <f aca="false">O358-G358</f>
        <v>0.0199505521170606</v>
      </c>
      <c r="R358" s="33" t="n">
        <f aca="false">Q358^2</f>
        <v>0.000398024529775552</v>
      </c>
      <c r="T358" s="26" t="n">
        <f aca="false">2*(O358-G358)*(1-O358)*O358</f>
        <v>0.000780167441300792</v>
      </c>
      <c r="U358" s="26" t="n">
        <f aca="false">2*(O358-G358)*(1-O358)*O358*C358</f>
        <v>0.00429092092715436</v>
      </c>
      <c r="V358" s="26" t="n">
        <f aca="false">2*(O358-G358)*(1-O358)*O358*D358</f>
        <v>0.00327670325346333</v>
      </c>
      <c r="W358" s="26" t="n">
        <f aca="false">2*(O358-G358)*(1-O358)*O358*E358</f>
        <v>0.00109223441782111</v>
      </c>
      <c r="X358" s="26" t="n">
        <f aca="false">2*(O358-G358)*(1-O358)*O358*F358</f>
        <v>0.000156033488260158</v>
      </c>
    </row>
    <row r="359" customFormat="false" ht="14.25" hidden="false" customHeight="true" outlineLevel="0" collapsed="false">
      <c r="A359" s="37"/>
      <c r="B359" s="34" t="n">
        <v>35</v>
      </c>
      <c r="C359" s="28" t="n">
        <v>4.9</v>
      </c>
      <c r="D359" s="28" t="n">
        <v>3.1</v>
      </c>
      <c r="E359" s="28" t="n">
        <v>1.5</v>
      </c>
      <c r="F359" s="28" t="n">
        <v>0.1</v>
      </c>
      <c r="G359" s="35" t="n">
        <v>0</v>
      </c>
      <c r="H359" s="1" t="n">
        <f aca="false">IF(G359=P359, 1, 0)</f>
        <v>1</v>
      </c>
      <c r="I359" s="34" t="n">
        <f aca="false">I358-0.1*T358</f>
        <v>0.207473255735054</v>
      </c>
      <c r="J359" s="36" t="n">
        <f aca="false">J358-0.1*U358</f>
        <v>-0.569652538935809</v>
      </c>
      <c r="K359" s="36" t="n">
        <f aca="false">K358-0.1*V358</f>
        <v>-0.565730702316954</v>
      </c>
      <c r="L359" s="36" t="n">
        <f aca="false">L358-0.1*W358</f>
        <v>0.894619697634006</v>
      </c>
      <c r="M359" s="36" t="n">
        <f aca="false">M358-0.1*X358</f>
        <v>0.754502999625792</v>
      </c>
      <c r="N359" s="31" t="n">
        <f aca="false">I359+J359*C359+K359*D359+L359*E359+F359*M359</f>
        <v>-2.92020951581938</v>
      </c>
      <c r="O359" s="31" t="n">
        <f aca="false">1/(1+EXP(-N359))</f>
        <v>0.0511635288428568</v>
      </c>
      <c r="P359" s="32" t="n">
        <f aca="false">IF(O359&gt;0.5,1,0)</f>
        <v>0</v>
      </c>
      <c r="Q359" s="32" t="n">
        <f aca="false">O359-G359</f>
        <v>0.0511635288428568</v>
      </c>
      <c r="R359" s="33" t="n">
        <f aca="false">Q359^2</f>
        <v>0.00261770668365384</v>
      </c>
      <c r="T359" s="26" t="n">
        <f aca="false">2*(O359-G359)*(1-O359)*O359</f>
        <v>0.00496755114448515</v>
      </c>
      <c r="U359" s="26" t="n">
        <f aca="false">2*(O359-G359)*(1-O359)*O359*C359</f>
        <v>0.0243410006079773</v>
      </c>
      <c r="V359" s="26" t="n">
        <f aca="false">2*(O359-G359)*(1-O359)*O359*D359</f>
        <v>0.015399408547904</v>
      </c>
      <c r="W359" s="26" t="n">
        <f aca="false">2*(O359-G359)*(1-O359)*O359*E359</f>
        <v>0.00745132671672773</v>
      </c>
      <c r="X359" s="26" t="n">
        <f aca="false">2*(O359-G359)*(1-O359)*O359*F359</f>
        <v>0.000496755114448515</v>
      </c>
    </row>
    <row r="360" customFormat="false" ht="14.25" hidden="false" customHeight="true" outlineLevel="0" collapsed="false">
      <c r="A360" s="37"/>
      <c r="B360" s="34" t="n">
        <v>36</v>
      </c>
      <c r="C360" s="28" t="n">
        <v>5</v>
      </c>
      <c r="D360" s="28" t="n">
        <v>3.2</v>
      </c>
      <c r="E360" s="28" t="n">
        <v>1.2</v>
      </c>
      <c r="F360" s="28" t="n">
        <v>0.2</v>
      </c>
      <c r="G360" s="35" t="n">
        <v>0</v>
      </c>
      <c r="H360" s="1" t="n">
        <f aca="false">IF(G360=P360, 1, 0)</f>
        <v>1</v>
      </c>
      <c r="I360" s="34" t="n">
        <f aca="false">I359-0.1*T359</f>
        <v>0.206976500620606</v>
      </c>
      <c r="J360" s="36" t="n">
        <f aca="false">J359-0.1*U359</f>
        <v>-0.572086638996607</v>
      </c>
      <c r="K360" s="36" t="n">
        <f aca="false">K359-0.1*V359</f>
        <v>-0.567270643171744</v>
      </c>
      <c r="L360" s="36" t="n">
        <f aca="false">L359-0.1*W359</f>
        <v>0.893874564962333</v>
      </c>
      <c r="M360" s="36" t="n">
        <f aca="false">M359-0.1*X359</f>
        <v>0.754453324114347</v>
      </c>
      <c r="N360" s="31" t="n">
        <f aca="false">I360+J360*C360+K360*D360+L360*E360+F360*M360</f>
        <v>-3.24518260973434</v>
      </c>
      <c r="O360" s="31" t="n">
        <f aca="false">1/(1+EXP(-N360))</f>
        <v>0.0375003798326666</v>
      </c>
      <c r="P360" s="32" t="n">
        <f aca="false">IF(O360&gt;0.5,1,0)</f>
        <v>0</v>
      </c>
      <c r="Q360" s="32" t="n">
        <f aca="false">O360-G360</f>
        <v>0.0375003798326666</v>
      </c>
      <c r="R360" s="33" t="n">
        <f aca="false">Q360^2</f>
        <v>0.00140627848759427</v>
      </c>
      <c r="T360" s="26" t="n">
        <f aca="false">2*(O360-G360)*(1-O360)*O360</f>
        <v>0.00270708502031796</v>
      </c>
      <c r="U360" s="26" t="n">
        <f aca="false">2*(O360-G360)*(1-O360)*O360*C360</f>
        <v>0.0135354251015898</v>
      </c>
      <c r="V360" s="26" t="n">
        <f aca="false">2*(O360-G360)*(1-O360)*O360*D360</f>
        <v>0.00866267206501746</v>
      </c>
      <c r="W360" s="26" t="n">
        <f aca="false">2*(O360-G360)*(1-O360)*O360*E360</f>
        <v>0.00324850202438155</v>
      </c>
      <c r="X360" s="26" t="n">
        <f aca="false">2*(O360-G360)*(1-O360)*O360*F360</f>
        <v>0.000541417004063591</v>
      </c>
    </row>
    <row r="361" customFormat="false" ht="14.25" hidden="false" customHeight="true" outlineLevel="0" collapsed="false">
      <c r="A361" s="37"/>
      <c r="B361" s="34" t="n">
        <v>37</v>
      </c>
      <c r="C361" s="28" t="n">
        <v>5.5</v>
      </c>
      <c r="D361" s="28" t="n">
        <v>3.5</v>
      </c>
      <c r="E361" s="28" t="n">
        <v>1.3</v>
      </c>
      <c r="F361" s="28" t="n">
        <v>0.2</v>
      </c>
      <c r="G361" s="35" t="n">
        <v>0</v>
      </c>
      <c r="H361" s="1" t="n">
        <f aca="false">IF(G361=P361, 1, 0)</f>
        <v>1</v>
      </c>
      <c r="I361" s="34" t="n">
        <f aca="false">I360-0.1*T360</f>
        <v>0.206705792118574</v>
      </c>
      <c r="J361" s="36" t="n">
        <f aca="false">J360-0.1*U360</f>
        <v>-0.573440181506766</v>
      </c>
      <c r="K361" s="36" t="n">
        <f aca="false">K360-0.1*V360</f>
        <v>-0.568136910378246</v>
      </c>
      <c r="L361" s="36" t="n">
        <f aca="false">L360-0.1*W360</f>
        <v>0.893549714759895</v>
      </c>
      <c r="M361" s="36" t="n">
        <f aca="false">M360-0.1*X360</f>
        <v>0.754399182413941</v>
      </c>
      <c r="N361" s="31" t="n">
        <f aca="false">I361+J361*C361+K361*D361+L361*E361+F361*M361</f>
        <v>-3.62319992682185</v>
      </c>
      <c r="O361" s="31" t="n">
        <f aca="false">1/(1+EXP(-N361))</f>
        <v>0.0260029083360591</v>
      </c>
      <c r="P361" s="32" t="n">
        <f aca="false">IF(O361&gt;0.5,1,0)</f>
        <v>0</v>
      </c>
      <c r="Q361" s="32" t="n">
        <f aca="false">O361-G361</f>
        <v>0.0260029083360591</v>
      </c>
      <c r="R361" s="33" t="n">
        <f aca="false">Q361^2</f>
        <v>0.000676151241933492</v>
      </c>
      <c r="T361" s="26" t="n">
        <f aca="false">2*(O361-G361)*(1-O361)*O361</f>
        <v>0.00131713868633637</v>
      </c>
      <c r="U361" s="26" t="n">
        <f aca="false">2*(O361-G361)*(1-O361)*O361*C361</f>
        <v>0.00724426277485001</v>
      </c>
      <c r="V361" s="26" t="n">
        <f aca="false">2*(O361-G361)*(1-O361)*O361*D361</f>
        <v>0.00460998540217728</v>
      </c>
      <c r="W361" s="26" t="n">
        <f aca="false">2*(O361-G361)*(1-O361)*O361*E361</f>
        <v>0.00171228029223727</v>
      </c>
      <c r="X361" s="26" t="n">
        <f aca="false">2*(O361-G361)*(1-O361)*O361*F361</f>
        <v>0.000263427737267273</v>
      </c>
    </row>
    <row r="362" customFormat="false" ht="14.25" hidden="false" customHeight="true" outlineLevel="0" collapsed="false">
      <c r="A362" s="37"/>
      <c r="B362" s="34" t="n">
        <v>38</v>
      </c>
      <c r="C362" s="28" t="n">
        <v>4.9</v>
      </c>
      <c r="D362" s="28" t="n">
        <v>3.1</v>
      </c>
      <c r="E362" s="28" t="n">
        <v>1.5</v>
      </c>
      <c r="F362" s="28" t="n">
        <v>0.1</v>
      </c>
      <c r="G362" s="35" t="n">
        <v>0</v>
      </c>
      <c r="H362" s="1" t="n">
        <f aca="false">IF(G362=P362, 1, 0)</f>
        <v>1</v>
      </c>
      <c r="I362" s="34" t="n">
        <f aca="false">I361-0.1*T361</f>
        <v>0.20657407824994</v>
      </c>
      <c r="J362" s="36" t="n">
        <f aca="false">J361-0.1*U361</f>
        <v>-0.574164607784251</v>
      </c>
      <c r="K362" s="36" t="n">
        <f aca="false">K361-0.1*V361</f>
        <v>-0.568597908918463</v>
      </c>
      <c r="L362" s="36" t="n">
        <f aca="false">L361-0.1*W361</f>
        <v>0.893378486730671</v>
      </c>
      <c r="M362" s="36" t="n">
        <f aca="false">M361-0.1*X361</f>
        <v>0.754372839640214</v>
      </c>
      <c r="N362" s="31" t="n">
        <f aca="false">I362+J362*C362+K362*D362+L362*E362+F362*M362</f>
        <v>-2.9539810034801</v>
      </c>
      <c r="O362" s="31" t="n">
        <f aca="false">1/(1+EXP(-N362))</f>
        <v>0.0495486951322896</v>
      </c>
      <c r="P362" s="32" t="n">
        <f aca="false">IF(O362&gt;0.5,1,0)</f>
        <v>0</v>
      </c>
      <c r="Q362" s="32" t="n">
        <f aca="false">O362-G362</f>
        <v>0.0495486951322896</v>
      </c>
      <c r="R362" s="33" t="n">
        <f aca="false">Q362^2</f>
        <v>0.00245507318931258</v>
      </c>
      <c r="T362" s="26" t="n">
        <f aca="false">2*(O362-G362)*(1-O362)*O362</f>
        <v>0.00466685503265575</v>
      </c>
      <c r="U362" s="26" t="n">
        <f aca="false">2*(O362-G362)*(1-O362)*O362*C362</f>
        <v>0.0228675896600132</v>
      </c>
      <c r="V362" s="26" t="n">
        <f aca="false">2*(O362-G362)*(1-O362)*O362*D362</f>
        <v>0.0144672506012328</v>
      </c>
      <c r="W362" s="26" t="n">
        <f aca="false">2*(O362-G362)*(1-O362)*O362*E362</f>
        <v>0.00700028254898362</v>
      </c>
      <c r="X362" s="26" t="n">
        <f aca="false">2*(O362-G362)*(1-O362)*O362*F362</f>
        <v>0.000466685503265575</v>
      </c>
    </row>
    <row r="363" customFormat="false" ht="14.25" hidden="false" customHeight="true" outlineLevel="0" collapsed="false">
      <c r="A363" s="37"/>
      <c r="B363" s="34" t="n">
        <v>39</v>
      </c>
      <c r="C363" s="28" t="n">
        <v>4.4</v>
      </c>
      <c r="D363" s="28" t="n">
        <v>3</v>
      </c>
      <c r="E363" s="28" t="n">
        <v>1.3</v>
      </c>
      <c r="F363" s="28" t="n">
        <v>0.2</v>
      </c>
      <c r="G363" s="35" t="n">
        <v>0</v>
      </c>
      <c r="H363" s="1" t="n">
        <f aca="false">IF(G363=P363, 1, 0)</f>
        <v>1</v>
      </c>
      <c r="I363" s="34" t="n">
        <f aca="false">I362-0.1*T362</f>
        <v>0.206107392746675</v>
      </c>
      <c r="J363" s="36" t="n">
        <f aca="false">J362-0.1*U362</f>
        <v>-0.576451366750252</v>
      </c>
      <c r="K363" s="36" t="n">
        <f aca="false">K362-0.1*V362</f>
        <v>-0.570044633978587</v>
      </c>
      <c r="L363" s="36" t="n">
        <f aca="false">L362-0.1*W362</f>
        <v>0.892678458475773</v>
      </c>
      <c r="M363" s="36" t="n">
        <f aca="false">M362-0.1*X362</f>
        <v>0.754326171089888</v>
      </c>
      <c r="N363" s="31" t="n">
        <f aca="false">I363+J363*C363+K363*D363+L363*E363+F363*M363</f>
        <v>-2.72906529265371</v>
      </c>
      <c r="O363" s="31" t="n">
        <f aca="false">1/(1+EXP(-N363))</f>
        <v>0.061279909518876</v>
      </c>
      <c r="P363" s="32" t="n">
        <f aca="false">IF(O363&gt;0.5,1,0)</f>
        <v>0</v>
      </c>
      <c r="Q363" s="32" t="n">
        <f aca="false">O363-G363</f>
        <v>0.061279909518876</v>
      </c>
      <c r="R363" s="33" t="n">
        <f aca="false">Q363^2</f>
        <v>0.00375522731064163</v>
      </c>
      <c r="T363" s="26" t="n">
        <f aca="false">2*(O363-G363)*(1-O363)*O363</f>
        <v>0.0070502146416454</v>
      </c>
      <c r="U363" s="26" t="n">
        <f aca="false">2*(O363-G363)*(1-O363)*O363*C363</f>
        <v>0.0310209444232398</v>
      </c>
      <c r="V363" s="26" t="n">
        <f aca="false">2*(O363-G363)*(1-O363)*O363*D363</f>
        <v>0.0211506439249362</v>
      </c>
      <c r="W363" s="26" t="n">
        <f aca="false">2*(O363-G363)*(1-O363)*O363*E363</f>
        <v>0.00916527903413903</v>
      </c>
      <c r="X363" s="26" t="n">
        <f aca="false">2*(O363-G363)*(1-O363)*O363*F363</f>
        <v>0.00141004292832908</v>
      </c>
    </row>
    <row r="364" customFormat="false" ht="14.25" hidden="false" customHeight="true" outlineLevel="0" collapsed="false">
      <c r="A364" s="37"/>
      <c r="B364" s="34" t="n">
        <v>40</v>
      </c>
      <c r="C364" s="28" t="n">
        <v>5.1</v>
      </c>
      <c r="D364" s="28" t="n">
        <v>3.4</v>
      </c>
      <c r="E364" s="28" t="n">
        <v>1.5</v>
      </c>
      <c r="F364" s="28" t="n">
        <v>0.2</v>
      </c>
      <c r="G364" s="35" t="n">
        <v>0</v>
      </c>
      <c r="H364" s="1" t="n">
        <f aca="false">IF(G364=P364, 1, 0)</f>
        <v>1</v>
      </c>
      <c r="I364" s="34" t="n">
        <f aca="false">I363-0.1*T363</f>
        <v>0.20540237128251</v>
      </c>
      <c r="J364" s="36" t="n">
        <f aca="false">J363-0.1*U363</f>
        <v>-0.579553461192576</v>
      </c>
      <c r="K364" s="36" t="n">
        <f aca="false">K363-0.1*V363</f>
        <v>-0.57215969837108</v>
      </c>
      <c r="L364" s="36" t="n">
        <f aca="false">L363-0.1*W363</f>
        <v>0.891761930572359</v>
      </c>
      <c r="M364" s="36" t="n">
        <f aca="false">M363-0.1*X363</f>
        <v>0.754185166797055</v>
      </c>
      <c r="N364" s="31" t="n">
        <f aca="false">I364+J364*C364+K364*D364+L364*E364+F364*M364</f>
        <v>-3.20718332604335</v>
      </c>
      <c r="O364" s="31" t="n">
        <f aca="false">1/(1+EXP(-N364))</f>
        <v>0.038896294583694</v>
      </c>
      <c r="P364" s="32" t="n">
        <f aca="false">IF(O364&gt;0.5,1,0)</f>
        <v>0</v>
      </c>
      <c r="Q364" s="32" t="n">
        <f aca="false">O364-G364</f>
        <v>0.038896294583694</v>
      </c>
      <c r="R364" s="33" t="n">
        <f aca="false">Q364^2</f>
        <v>0.0015129217323415</v>
      </c>
      <c r="T364" s="26" t="n">
        <f aca="false">2*(O364-G364)*(1-O364)*O364</f>
        <v>0.00290814936591655</v>
      </c>
      <c r="U364" s="26" t="n">
        <f aca="false">2*(O364-G364)*(1-O364)*O364*C364</f>
        <v>0.0148315617661744</v>
      </c>
      <c r="V364" s="26" t="n">
        <f aca="false">2*(O364-G364)*(1-O364)*O364*D364</f>
        <v>0.00988770784411627</v>
      </c>
      <c r="W364" s="26" t="n">
        <f aca="false">2*(O364-G364)*(1-O364)*O364*E364</f>
        <v>0.00436222404887483</v>
      </c>
      <c r="X364" s="26" t="n">
        <f aca="false">2*(O364-G364)*(1-O364)*O364*F364</f>
        <v>0.00058162987318331</v>
      </c>
    </row>
    <row r="365" customFormat="false" ht="14.25" hidden="false" customHeight="true" outlineLevel="0" collapsed="false">
      <c r="A365" s="37"/>
      <c r="B365" s="34" t="n">
        <v>41</v>
      </c>
      <c r="C365" s="28" t="n">
        <v>7</v>
      </c>
      <c r="D365" s="28" t="n">
        <v>3.2</v>
      </c>
      <c r="E365" s="28" t="n">
        <v>4.7</v>
      </c>
      <c r="F365" s="28" t="n">
        <v>1.4</v>
      </c>
      <c r="G365" s="35" t="n">
        <v>1</v>
      </c>
      <c r="H365" s="1" t="n">
        <f aca="false">IF(G365=P365, 1, 0)</f>
        <v>0</v>
      </c>
      <c r="I365" s="34" t="n">
        <f aca="false">I364-0.1*T364</f>
        <v>0.205111556345918</v>
      </c>
      <c r="J365" s="36" t="n">
        <f aca="false">J364-0.1*U364</f>
        <v>-0.581036617369194</v>
      </c>
      <c r="K365" s="36" t="n">
        <f aca="false">K364-0.1*V364</f>
        <v>-0.573148469155492</v>
      </c>
      <c r="L365" s="36" t="n">
        <f aca="false">L364-0.1*W364</f>
        <v>0.891325708167472</v>
      </c>
      <c r="M365" s="36" t="n">
        <f aca="false">M364-0.1*X364</f>
        <v>0.754127003809737</v>
      </c>
      <c r="N365" s="31" t="n">
        <f aca="false">I365+J365*C365+K365*D365+L365*E365+F365*M365</f>
        <v>-0.451211232815264</v>
      </c>
      <c r="O365" s="31" t="n">
        <f aca="false">1/(1+EXP(-N365))</f>
        <v>0.389072823218796</v>
      </c>
      <c r="P365" s="32" t="n">
        <f aca="false">IF(O365&gt;0.5,1,0)</f>
        <v>0</v>
      </c>
      <c r="Q365" s="32" t="n">
        <f aca="false">O365-G365</f>
        <v>-0.610927176781205</v>
      </c>
      <c r="R365" s="33" t="n">
        <f aca="false">Q365^2</f>
        <v>0.373232015329853</v>
      </c>
      <c r="T365" s="26" t="n">
        <f aca="false">2*(O365-G365)*(1-O365)*O365</f>
        <v>-0.290428867840053</v>
      </c>
      <c r="U365" s="26" t="n">
        <f aca="false">2*(O365-G365)*(1-O365)*O365*C365</f>
        <v>-2.03300207488037</v>
      </c>
      <c r="V365" s="26" t="n">
        <f aca="false">2*(O365-G365)*(1-O365)*O365*D365</f>
        <v>-0.929372377088171</v>
      </c>
      <c r="W365" s="26" t="n">
        <f aca="false">2*(O365-G365)*(1-O365)*O365*E365</f>
        <v>-1.36501567884825</v>
      </c>
      <c r="X365" s="26" t="n">
        <f aca="false">2*(O365-G365)*(1-O365)*O365*F365</f>
        <v>-0.406600414976075</v>
      </c>
    </row>
    <row r="366" customFormat="false" ht="14.25" hidden="false" customHeight="true" outlineLevel="0" collapsed="false">
      <c r="A366" s="37"/>
      <c r="B366" s="34" t="n">
        <v>42</v>
      </c>
      <c r="C366" s="28" t="n">
        <v>6.4</v>
      </c>
      <c r="D366" s="28" t="n">
        <v>3.2</v>
      </c>
      <c r="E366" s="28" t="n">
        <v>4.5</v>
      </c>
      <c r="F366" s="28" t="n">
        <v>1.5</v>
      </c>
      <c r="G366" s="35" t="n">
        <v>1</v>
      </c>
      <c r="H366" s="1" t="n">
        <f aca="false">IF(G366=P366, 1, 0)</f>
        <v>1</v>
      </c>
      <c r="I366" s="34" t="n">
        <f aca="false">I365-0.1*T365</f>
        <v>0.234154443129924</v>
      </c>
      <c r="J366" s="36" t="n">
        <f aca="false">J365-0.1*U365</f>
        <v>-0.377736409881156</v>
      </c>
      <c r="K366" s="36" t="n">
        <f aca="false">K365-0.1*V365</f>
        <v>-0.480211231446675</v>
      </c>
      <c r="L366" s="36" t="n">
        <f aca="false">L365-0.1*W365</f>
        <v>1.0278272760523</v>
      </c>
      <c r="M366" s="36" t="n">
        <f aca="false">M365-0.1*X365</f>
        <v>0.794787045307344</v>
      </c>
      <c r="N366" s="31" t="n">
        <f aca="false">I366+J366*C366+K366*D366+L366*E366+F366*M366</f>
        <v>2.09736878945752</v>
      </c>
      <c r="O366" s="31" t="n">
        <f aca="false">1/(1+EXP(-N366))</f>
        <v>0.890647175908729</v>
      </c>
      <c r="P366" s="32" t="n">
        <f aca="false">IF(O366&gt;0.5,1,0)</f>
        <v>1</v>
      </c>
      <c r="Q366" s="32" t="n">
        <f aca="false">O366-G366</f>
        <v>-0.109352824091271</v>
      </c>
      <c r="R366" s="33" t="n">
        <f aca="false">Q366^2</f>
        <v>0.0119580401367364</v>
      </c>
      <c r="T366" s="26" t="n">
        <f aca="false">2*(O366-G366)*(1-O366)*O366</f>
        <v>-0.0213007893543751</v>
      </c>
      <c r="U366" s="26" t="n">
        <f aca="false">2*(O366-G366)*(1-O366)*O366*C366</f>
        <v>-0.136325051868001</v>
      </c>
      <c r="V366" s="26" t="n">
        <f aca="false">2*(O366-G366)*(1-O366)*O366*D366</f>
        <v>-0.0681625259340003</v>
      </c>
      <c r="W366" s="26" t="n">
        <f aca="false">2*(O366-G366)*(1-O366)*O366*E366</f>
        <v>-0.0958535520946879</v>
      </c>
      <c r="X366" s="26" t="n">
        <f aca="false">2*(O366-G366)*(1-O366)*O366*F366</f>
        <v>-0.0319511840315626</v>
      </c>
    </row>
    <row r="367" customFormat="false" ht="14.25" hidden="false" customHeight="true" outlineLevel="0" collapsed="false">
      <c r="A367" s="37"/>
      <c r="B367" s="34" t="n">
        <v>43</v>
      </c>
      <c r="C367" s="28" t="n">
        <v>6.9</v>
      </c>
      <c r="D367" s="28" t="n">
        <v>3.1</v>
      </c>
      <c r="E367" s="28" t="n">
        <v>4.9</v>
      </c>
      <c r="F367" s="28" t="n">
        <v>1.5</v>
      </c>
      <c r="G367" s="35" t="n">
        <v>1</v>
      </c>
      <c r="H367" s="1" t="n">
        <f aca="false">IF(G367=P367, 1, 0)</f>
        <v>1</v>
      </c>
      <c r="I367" s="34" t="n">
        <f aca="false">I366-0.1*T366</f>
        <v>0.236284522065361</v>
      </c>
      <c r="J367" s="36" t="n">
        <f aca="false">J366-0.1*U366</f>
        <v>-0.364103904694356</v>
      </c>
      <c r="K367" s="36" t="n">
        <f aca="false">K366-0.1*V366</f>
        <v>-0.473394978853275</v>
      </c>
      <c r="L367" s="36" t="n">
        <f aca="false">L366-0.1*W366</f>
        <v>1.03741263126177</v>
      </c>
      <c r="M367" s="36" t="n">
        <f aca="false">M366-0.1*X366</f>
        <v>0.7979821637105</v>
      </c>
      <c r="N367" s="31" t="n">
        <f aca="false">I367+J367*C367+K367*D367+L367*E367+F367*M367</f>
        <v>2.53673828397755</v>
      </c>
      <c r="O367" s="31" t="n">
        <f aca="false">1/(1+EXP(-N367))</f>
        <v>0.926677513241417</v>
      </c>
      <c r="P367" s="32" t="n">
        <f aca="false">IF(O367&gt;0.5,1,0)</f>
        <v>1</v>
      </c>
      <c r="Q367" s="32" t="n">
        <f aca="false">O367-G367</f>
        <v>-0.0733224867585827</v>
      </c>
      <c r="R367" s="33" t="n">
        <f aca="false">Q367^2</f>
        <v>0.00537618706446253</v>
      </c>
      <c r="T367" s="26" t="n">
        <f aca="false">2*(O367-G367)*(1-O367)*O367</f>
        <v>-0.00996398331923363</v>
      </c>
      <c r="U367" s="26" t="n">
        <f aca="false">2*(O367-G367)*(1-O367)*O367*C367</f>
        <v>-0.068751484902712</v>
      </c>
      <c r="V367" s="26" t="n">
        <f aca="false">2*(O367-G367)*(1-O367)*O367*D367</f>
        <v>-0.0308883482896242</v>
      </c>
      <c r="W367" s="26" t="n">
        <f aca="false">2*(O367-G367)*(1-O367)*O367*E367</f>
        <v>-0.0488235182642448</v>
      </c>
      <c r="X367" s="26" t="n">
        <f aca="false">2*(O367-G367)*(1-O367)*O367*F367</f>
        <v>-0.0149459749788504</v>
      </c>
    </row>
    <row r="368" customFormat="false" ht="14.25" hidden="false" customHeight="true" outlineLevel="0" collapsed="false">
      <c r="A368" s="37"/>
      <c r="B368" s="34" t="n">
        <v>44</v>
      </c>
      <c r="C368" s="28" t="n">
        <v>5.5</v>
      </c>
      <c r="D368" s="28" t="n">
        <v>2.3</v>
      </c>
      <c r="E368" s="28" t="n">
        <v>4</v>
      </c>
      <c r="F368" s="28" t="n">
        <v>1.3</v>
      </c>
      <c r="G368" s="35" t="n">
        <v>1</v>
      </c>
      <c r="H368" s="1" t="n">
        <f aca="false">IF(G368=P368, 1, 0)</f>
        <v>1</v>
      </c>
      <c r="I368" s="34" t="n">
        <f aca="false">I367-0.1*T367</f>
        <v>0.237280920397285</v>
      </c>
      <c r="J368" s="36" t="n">
        <f aca="false">J367-0.1*U367</f>
        <v>-0.357228756204085</v>
      </c>
      <c r="K368" s="36" t="n">
        <f aca="false">K367-0.1*V367</f>
        <v>-0.470306144024312</v>
      </c>
      <c r="L368" s="36" t="n">
        <f aca="false">L367-0.1*W367</f>
        <v>1.04229498308819</v>
      </c>
      <c r="M368" s="36" t="n">
        <f aca="false">M367-0.1*X367</f>
        <v>0.799476761208385</v>
      </c>
      <c r="N368" s="31" t="n">
        <f aca="false">I368+J368*C368+K368*D368+L368*E368+F368*M368</f>
        <v>2.39931835194256</v>
      </c>
      <c r="O368" s="31" t="n">
        <f aca="false">1/(1+EXP(-N368))</f>
        <v>0.916775309663131</v>
      </c>
      <c r="P368" s="32" t="n">
        <f aca="false">IF(O368&gt;0.5,1,0)</f>
        <v>1</v>
      </c>
      <c r="Q368" s="32" t="n">
        <f aca="false">O368-G368</f>
        <v>-0.0832246903368688</v>
      </c>
      <c r="R368" s="33" t="n">
        <f aca="false">Q368^2</f>
        <v>0.00692634908166769</v>
      </c>
      <c r="T368" s="26" t="n">
        <f aca="false">2*(O368-G368)*(1-O368)*O368</f>
        <v>-0.0126998116483617</v>
      </c>
      <c r="U368" s="26" t="n">
        <f aca="false">2*(O368-G368)*(1-O368)*O368*C368</f>
        <v>-0.0698489640659893</v>
      </c>
      <c r="V368" s="26" t="n">
        <f aca="false">2*(O368-G368)*(1-O368)*O368*D368</f>
        <v>-0.0292095667912319</v>
      </c>
      <c r="W368" s="26" t="n">
        <f aca="false">2*(O368-G368)*(1-O368)*O368*E368</f>
        <v>-0.0507992465934468</v>
      </c>
      <c r="X368" s="26" t="n">
        <f aca="false">2*(O368-G368)*(1-O368)*O368*F368</f>
        <v>-0.0165097551428702</v>
      </c>
    </row>
    <row r="369" customFormat="false" ht="14.25" hidden="false" customHeight="true" outlineLevel="0" collapsed="false">
      <c r="A369" s="37"/>
      <c r="B369" s="34" t="n">
        <v>45</v>
      </c>
      <c r="C369" s="28" t="n">
        <v>6.5</v>
      </c>
      <c r="D369" s="28" t="n">
        <v>2.8</v>
      </c>
      <c r="E369" s="28" t="n">
        <v>4.6</v>
      </c>
      <c r="F369" s="28" t="n">
        <v>1.5</v>
      </c>
      <c r="G369" s="35" t="n">
        <v>1</v>
      </c>
      <c r="H369" s="1" t="n">
        <f aca="false">IF(G369=P369, 1, 0)</f>
        <v>1</v>
      </c>
      <c r="I369" s="34" t="n">
        <f aca="false">I368-0.1*T368</f>
        <v>0.238550901562121</v>
      </c>
      <c r="J369" s="36" t="n">
        <f aca="false">J368-0.1*U368</f>
        <v>-0.350243859797486</v>
      </c>
      <c r="K369" s="36" t="n">
        <f aca="false">K368-0.1*V368</f>
        <v>-0.467385187345189</v>
      </c>
      <c r="L369" s="36" t="n">
        <f aca="false">L368-0.1*W368</f>
        <v>1.04737490774753</v>
      </c>
      <c r="M369" s="36" t="n">
        <f aca="false">M368-0.1*X368</f>
        <v>0.801127736722672</v>
      </c>
      <c r="N369" s="31" t="n">
        <f aca="false">I369+J369*C369+K369*D369+L369*E369+F369*M369</f>
        <v>2.6729034690346</v>
      </c>
      <c r="O369" s="31" t="n">
        <f aca="false">1/(1+EXP(-N369))</f>
        <v>0.935408678838069</v>
      </c>
      <c r="P369" s="32" t="n">
        <f aca="false">IF(O369&gt;0.5,1,0)</f>
        <v>1</v>
      </c>
      <c r="Q369" s="32" t="n">
        <f aca="false">O369-G369</f>
        <v>-0.0645913211619307</v>
      </c>
      <c r="R369" s="33" t="n">
        <f aca="false">Q369^2</f>
        <v>0.00417203876944367</v>
      </c>
      <c r="T369" s="26" t="n">
        <f aca="false">2*(O369-G369)*(1-O369)*O369</f>
        <v>-0.00780512254677302</v>
      </c>
      <c r="U369" s="26" t="n">
        <f aca="false">2*(O369-G369)*(1-O369)*O369*C369</f>
        <v>-0.0507332965540246</v>
      </c>
      <c r="V369" s="26" t="n">
        <f aca="false">2*(O369-G369)*(1-O369)*O369*D369</f>
        <v>-0.0218543431309645</v>
      </c>
      <c r="W369" s="26" t="n">
        <f aca="false">2*(O369-G369)*(1-O369)*O369*E369</f>
        <v>-0.0359035637151559</v>
      </c>
      <c r="X369" s="26" t="n">
        <f aca="false">2*(O369-G369)*(1-O369)*O369*F369</f>
        <v>-0.0117076838201595</v>
      </c>
    </row>
    <row r="370" customFormat="false" ht="14.25" hidden="false" customHeight="true" outlineLevel="0" collapsed="false">
      <c r="A370" s="37"/>
      <c r="B370" s="34" t="n">
        <v>46</v>
      </c>
      <c r="C370" s="28" t="n">
        <v>5.7</v>
      </c>
      <c r="D370" s="28" t="n">
        <v>2.8</v>
      </c>
      <c r="E370" s="28" t="n">
        <v>4.5</v>
      </c>
      <c r="F370" s="28" t="n">
        <v>1.3</v>
      </c>
      <c r="G370" s="35" t="n">
        <v>1</v>
      </c>
      <c r="H370" s="1" t="n">
        <f aca="false">IF(G370=P370, 1, 0)</f>
        <v>1</v>
      </c>
      <c r="I370" s="34" t="n">
        <f aca="false">I369-0.1*T369</f>
        <v>0.239331413816798</v>
      </c>
      <c r="J370" s="36" t="n">
        <f aca="false">J369-0.1*U369</f>
        <v>-0.345170530142083</v>
      </c>
      <c r="K370" s="36" t="n">
        <f aca="false">K369-0.1*V369</f>
        <v>-0.465199753032093</v>
      </c>
      <c r="L370" s="36" t="n">
        <f aca="false">L369-0.1*W369</f>
        <v>1.05096526411905</v>
      </c>
      <c r="M370" s="36" t="n">
        <f aca="false">M369-0.1*X369</f>
        <v>0.802298505104688</v>
      </c>
      <c r="N370" s="31" t="n">
        <f aca="false">I370+J370*C370+K370*D370+L370*E370+F370*M370</f>
        <v>2.74163182868888</v>
      </c>
      <c r="O370" s="31" t="n">
        <f aca="false">1/(1+EXP(-N370))</f>
        <v>0.939439003506848</v>
      </c>
      <c r="P370" s="32" t="n">
        <f aca="false">IF(O370&gt;0.5,1,0)</f>
        <v>1</v>
      </c>
      <c r="Q370" s="32" t="n">
        <f aca="false">O370-G370</f>
        <v>-0.0605609964931523</v>
      </c>
      <c r="R370" s="33" t="n">
        <f aca="false">Q370^2</f>
        <v>0.0036676342962436</v>
      </c>
      <c r="T370" s="26" t="n">
        <f aca="false">2*(O370-G370)*(1-O370)*O370</f>
        <v>-0.00689103741698126</v>
      </c>
      <c r="U370" s="26" t="n">
        <f aca="false">2*(O370-G370)*(1-O370)*O370*C370</f>
        <v>-0.0392789132767932</v>
      </c>
      <c r="V370" s="26" t="n">
        <f aca="false">2*(O370-G370)*(1-O370)*O370*D370</f>
        <v>-0.0192949047675475</v>
      </c>
      <c r="W370" s="26" t="n">
        <f aca="false">2*(O370-G370)*(1-O370)*O370*E370</f>
        <v>-0.0310096683764157</v>
      </c>
      <c r="X370" s="26" t="n">
        <f aca="false">2*(O370-G370)*(1-O370)*O370*F370</f>
        <v>-0.00895834864207563</v>
      </c>
    </row>
    <row r="371" customFormat="false" ht="14.25" hidden="false" customHeight="true" outlineLevel="0" collapsed="false">
      <c r="A371" s="37"/>
      <c r="B371" s="34" t="n">
        <v>47</v>
      </c>
      <c r="C371" s="28" t="n">
        <v>6.3</v>
      </c>
      <c r="D371" s="28" t="n">
        <v>3.3</v>
      </c>
      <c r="E371" s="28" t="n">
        <v>4.7</v>
      </c>
      <c r="F371" s="28" t="n">
        <v>1.6</v>
      </c>
      <c r="G371" s="35" t="n">
        <v>1</v>
      </c>
      <c r="H371" s="1" t="n">
        <f aca="false">IF(G371=P371, 1, 0)</f>
        <v>1</v>
      </c>
      <c r="I371" s="34" t="n">
        <f aca="false">I370-0.1*T370</f>
        <v>0.240020517558496</v>
      </c>
      <c r="J371" s="36" t="n">
        <f aca="false">J370-0.1*U370</f>
        <v>-0.341242638814404</v>
      </c>
      <c r="K371" s="36" t="n">
        <f aca="false">K370-0.1*V370</f>
        <v>-0.463270262555338</v>
      </c>
      <c r="L371" s="36" t="n">
        <f aca="false">L370-0.1*W370</f>
        <v>1.05406623095669</v>
      </c>
      <c r="M371" s="36" t="n">
        <f aca="false">M370-0.1*X370</f>
        <v>0.803194339968896</v>
      </c>
      <c r="N371" s="31" t="n">
        <f aca="false">I371+J371*C371+K371*D371+L371*E371+F371*M371</f>
        <v>2.80062225604182</v>
      </c>
      <c r="O371" s="31" t="n">
        <f aca="false">1/(1+EXP(-N371))</f>
        <v>0.942709440383578</v>
      </c>
      <c r="P371" s="32" t="n">
        <f aca="false">IF(O371&gt;0.5,1,0)</f>
        <v>1</v>
      </c>
      <c r="Q371" s="32" t="n">
        <f aca="false">O371-G371</f>
        <v>-0.0572905596164218</v>
      </c>
      <c r="R371" s="33" t="n">
        <f aca="false">Q371^2</f>
        <v>0.00328220822116278</v>
      </c>
      <c r="T371" s="26" t="n">
        <f aca="false">2*(O371-G371)*(1-O371)*O371</f>
        <v>-0.00618833735078949</v>
      </c>
      <c r="U371" s="26" t="n">
        <f aca="false">2*(O371-G371)*(1-O371)*O371*C371</f>
        <v>-0.0389865253099738</v>
      </c>
      <c r="V371" s="26" t="n">
        <f aca="false">2*(O371-G371)*(1-O371)*O371*D371</f>
        <v>-0.0204215132576053</v>
      </c>
      <c r="W371" s="26" t="n">
        <f aca="false">2*(O371-G371)*(1-O371)*O371*E371</f>
        <v>-0.0290851855487106</v>
      </c>
      <c r="X371" s="26" t="n">
        <f aca="false">2*(O371-G371)*(1-O371)*O371*F371</f>
        <v>-0.00990133976126319</v>
      </c>
    </row>
    <row r="372" customFormat="false" ht="14.25" hidden="false" customHeight="true" outlineLevel="0" collapsed="false">
      <c r="A372" s="37"/>
      <c r="B372" s="34" t="n">
        <v>48</v>
      </c>
      <c r="C372" s="28" t="n">
        <v>4.9</v>
      </c>
      <c r="D372" s="28" t="n">
        <v>2.4</v>
      </c>
      <c r="E372" s="28" t="n">
        <v>3.3</v>
      </c>
      <c r="F372" s="28" t="n">
        <v>1</v>
      </c>
      <c r="G372" s="35" t="n">
        <v>1</v>
      </c>
      <c r="H372" s="1" t="n">
        <f aca="false">IF(G372=P372, 1, 0)</f>
        <v>1</v>
      </c>
      <c r="I372" s="34" t="n">
        <f aca="false">I371-0.1*T371</f>
        <v>0.240639351293575</v>
      </c>
      <c r="J372" s="36" t="n">
        <f aca="false">J371-0.1*U371</f>
        <v>-0.337343986283407</v>
      </c>
      <c r="K372" s="36" t="n">
        <f aca="false">K371-0.1*V371</f>
        <v>-0.461228111229578</v>
      </c>
      <c r="L372" s="36" t="n">
        <f aca="false">L371-0.1*W371</f>
        <v>1.05697474951156</v>
      </c>
      <c r="M372" s="36" t="n">
        <f aca="false">M371-0.1*X371</f>
        <v>0.804184473945022</v>
      </c>
      <c r="N372" s="31" t="n">
        <f aca="false">I372+J372*C372+K372*D372+L372*E372+F372*M372</f>
        <v>1.77290749888707</v>
      </c>
      <c r="O372" s="31" t="n">
        <f aca="false">1/(1+EXP(-N372))</f>
        <v>0.85481887441984</v>
      </c>
      <c r="P372" s="32" t="n">
        <f aca="false">IF(O372&gt;0.5,1,0)</f>
        <v>1</v>
      </c>
      <c r="Q372" s="32" t="n">
        <f aca="false">O372-G372</f>
        <v>-0.14518112558016</v>
      </c>
      <c r="R372" s="33" t="n">
        <f aca="false">Q372^2</f>
        <v>0.0210775592247221</v>
      </c>
      <c r="T372" s="26" t="n">
        <f aca="false">2*(O372-G372)*(1-O372)*O372</f>
        <v>-0.036034990903989</v>
      </c>
      <c r="U372" s="26" t="n">
        <f aca="false">2*(O372-G372)*(1-O372)*O372*C372</f>
        <v>-0.176571455429546</v>
      </c>
      <c r="V372" s="26" t="n">
        <f aca="false">2*(O372-G372)*(1-O372)*O372*D372</f>
        <v>-0.0864839781695735</v>
      </c>
      <c r="W372" s="26" t="n">
        <f aca="false">2*(O372-G372)*(1-O372)*O372*E372</f>
        <v>-0.118915469983164</v>
      </c>
      <c r="X372" s="26" t="n">
        <f aca="false">2*(O372-G372)*(1-O372)*O372*F372</f>
        <v>-0.036034990903989</v>
      </c>
    </row>
    <row r="373" customFormat="false" ht="14.25" hidden="false" customHeight="true" outlineLevel="0" collapsed="false">
      <c r="A373" s="37"/>
      <c r="B373" s="34" t="n">
        <v>49</v>
      </c>
      <c r="C373" s="28" t="n">
        <v>6.6</v>
      </c>
      <c r="D373" s="28" t="n">
        <v>2.9</v>
      </c>
      <c r="E373" s="28" t="n">
        <v>4.6</v>
      </c>
      <c r="F373" s="28" t="n">
        <v>1.3</v>
      </c>
      <c r="G373" s="35" t="n">
        <v>1</v>
      </c>
      <c r="H373" s="1" t="n">
        <f aca="false">IF(G373=P373, 1, 0)</f>
        <v>1</v>
      </c>
      <c r="I373" s="34" t="n">
        <f aca="false">I372-0.1*T372</f>
        <v>0.244242850383974</v>
      </c>
      <c r="J373" s="36" t="n">
        <f aca="false">J372-0.1*U372</f>
        <v>-0.319686840740452</v>
      </c>
      <c r="K373" s="36" t="n">
        <f aca="false">K372-0.1*V372</f>
        <v>-0.45257971341262</v>
      </c>
      <c r="L373" s="36" t="n">
        <f aca="false">L372-0.1*W372</f>
        <v>1.06886629650988</v>
      </c>
      <c r="M373" s="36" t="n">
        <f aca="false">M372-0.1*X372</f>
        <v>0.807787973035421</v>
      </c>
      <c r="N373" s="31" t="n">
        <f aca="false">I373+J373*C373+K373*D373+L373*E373+F373*M373</f>
        <v>2.78873786149188</v>
      </c>
      <c r="O373" s="31" t="n">
        <f aca="false">1/(1+EXP(-N373))</f>
        <v>0.942064196578091</v>
      </c>
      <c r="P373" s="32" t="n">
        <f aca="false">IF(O373&gt;0.5,1,0)</f>
        <v>1</v>
      </c>
      <c r="Q373" s="32" t="n">
        <f aca="false">O373-G373</f>
        <v>-0.0579358034219087</v>
      </c>
      <c r="R373" s="33" t="n">
        <f aca="false">Q373^2</f>
        <v>0.00335655731814205</v>
      </c>
      <c r="T373" s="26" t="n">
        <f aca="false">2*(O373-G373)*(1-O373)*O373</f>
        <v>-0.00632418494636761</v>
      </c>
      <c r="U373" s="26" t="n">
        <f aca="false">2*(O373-G373)*(1-O373)*O373*C373</f>
        <v>-0.0417396206460262</v>
      </c>
      <c r="V373" s="26" t="n">
        <f aca="false">2*(O373-G373)*(1-O373)*O373*D373</f>
        <v>-0.0183401363444661</v>
      </c>
      <c r="W373" s="26" t="n">
        <f aca="false">2*(O373-G373)*(1-O373)*O373*E373</f>
        <v>-0.029091250753291</v>
      </c>
      <c r="X373" s="26" t="n">
        <f aca="false">2*(O373-G373)*(1-O373)*O373*F373</f>
        <v>-0.00822144043027789</v>
      </c>
    </row>
    <row r="374" customFormat="false" ht="14.25" hidden="false" customHeight="true" outlineLevel="0" collapsed="false">
      <c r="A374" s="37"/>
      <c r="B374" s="34" t="n">
        <v>50</v>
      </c>
      <c r="C374" s="28" t="n">
        <v>5.2</v>
      </c>
      <c r="D374" s="28" t="n">
        <v>2.7</v>
      </c>
      <c r="E374" s="28" t="n">
        <v>3.9</v>
      </c>
      <c r="F374" s="28" t="n">
        <v>1.4</v>
      </c>
      <c r="G374" s="35" t="n">
        <v>1</v>
      </c>
      <c r="H374" s="1" t="n">
        <f aca="false">IF(G374=P374, 1, 0)</f>
        <v>1</v>
      </c>
      <c r="I374" s="34" t="n">
        <f aca="false">I373-0.1*T373</f>
        <v>0.244875268878611</v>
      </c>
      <c r="J374" s="36" t="n">
        <f aca="false">J373-0.1*U373</f>
        <v>-0.31551287867585</v>
      </c>
      <c r="K374" s="36" t="n">
        <f aca="false">K373-0.1*V373</f>
        <v>-0.450745699778174</v>
      </c>
      <c r="L374" s="36" t="n">
        <f aca="false">L373-0.1*W373</f>
        <v>1.07177542158521</v>
      </c>
      <c r="M374" s="36" t="n">
        <f aca="false">M373-0.1*X373</f>
        <v>0.808610117078449</v>
      </c>
      <c r="N374" s="31" t="n">
        <f aca="false">I374+J374*C374+K374*D374+L374*E374+F374*M374</f>
        <v>2.69917321845526</v>
      </c>
      <c r="O374" s="31" t="n">
        <f aca="false">1/(1+EXP(-N374))</f>
        <v>0.936977839823929</v>
      </c>
      <c r="P374" s="32" t="n">
        <f aca="false">IF(O374&gt;0.5,1,0)</f>
        <v>1</v>
      </c>
      <c r="Q374" s="32" t="n">
        <f aca="false">O374-G374</f>
        <v>-0.0630221601760711</v>
      </c>
      <c r="R374" s="33" t="n">
        <f aca="false">Q374^2</f>
        <v>0.00397179267325836</v>
      </c>
      <c r="T374" s="26" t="n">
        <f aca="false">2*(O374-G374)*(1-O374)*O374</f>
        <v>-0.00744296343843626</v>
      </c>
      <c r="U374" s="26" t="n">
        <f aca="false">2*(O374-G374)*(1-O374)*O374*C374</f>
        <v>-0.0387034098798685</v>
      </c>
      <c r="V374" s="26" t="n">
        <f aca="false">2*(O374-G374)*(1-O374)*O374*D374</f>
        <v>-0.0200960012837779</v>
      </c>
      <c r="W374" s="26" t="n">
        <f aca="false">2*(O374-G374)*(1-O374)*O374*E374</f>
        <v>-0.0290275574099014</v>
      </c>
      <c r="X374" s="26" t="n">
        <f aca="false">2*(O374-G374)*(1-O374)*O374*F374</f>
        <v>-0.0104201488138108</v>
      </c>
    </row>
    <row r="375" customFormat="false" ht="14.25" hidden="false" customHeight="true" outlineLevel="0" collapsed="false">
      <c r="A375" s="37"/>
      <c r="B375" s="34" t="n">
        <v>51</v>
      </c>
      <c r="C375" s="28" t="n">
        <v>5</v>
      </c>
      <c r="D375" s="28" t="n">
        <v>2</v>
      </c>
      <c r="E375" s="28" t="n">
        <v>3.5</v>
      </c>
      <c r="F375" s="28" t="n">
        <v>1</v>
      </c>
      <c r="G375" s="35" t="n">
        <v>1</v>
      </c>
      <c r="H375" s="1" t="n">
        <f aca="false">IF(G375=P375, 1, 0)</f>
        <v>1</v>
      </c>
      <c r="I375" s="34" t="n">
        <f aca="false">I374-0.1*T374</f>
        <v>0.245619565222454</v>
      </c>
      <c r="J375" s="36" t="n">
        <f aca="false">J374-0.1*U374</f>
        <v>-0.311642537687863</v>
      </c>
      <c r="K375" s="36" t="n">
        <f aca="false">K374-0.1*V374</f>
        <v>-0.448736099649796</v>
      </c>
      <c r="L375" s="36" t="n">
        <f aca="false">L374-0.1*W374</f>
        <v>1.0746781773262</v>
      </c>
      <c r="M375" s="36" t="n">
        <f aca="false">M374-0.1*X374</f>
        <v>0.80965213195983</v>
      </c>
      <c r="N375" s="31" t="n">
        <f aca="false">I375+J375*C375+K375*D375+L375*E375+F375*M375</f>
        <v>2.36096043008507</v>
      </c>
      <c r="O375" s="31" t="n">
        <f aca="false">1/(1+EXP(-N375))</f>
        <v>0.913801487049411</v>
      </c>
      <c r="P375" s="32" t="n">
        <f aca="false">IF(O375&gt;0.5,1,0)</f>
        <v>1</v>
      </c>
      <c r="Q375" s="32" t="n">
        <f aca="false">O375-G375</f>
        <v>-0.0861985129505889</v>
      </c>
      <c r="R375" s="33" t="n">
        <f aca="false">Q375^2</f>
        <v>0.00743018363489284</v>
      </c>
      <c r="T375" s="26" t="n">
        <f aca="false">2*(O375-G375)*(1-O375)*O375</f>
        <v>-0.0135794257092306</v>
      </c>
      <c r="U375" s="26" t="n">
        <f aca="false">2*(O375-G375)*(1-O375)*O375*C375</f>
        <v>-0.0678971285461528</v>
      </c>
      <c r="V375" s="26" t="n">
        <f aca="false">2*(O375-G375)*(1-O375)*O375*D375</f>
        <v>-0.0271588514184611</v>
      </c>
      <c r="W375" s="26" t="n">
        <f aca="false">2*(O375-G375)*(1-O375)*O375*E375</f>
        <v>-0.0475279899823069</v>
      </c>
      <c r="X375" s="26" t="n">
        <f aca="false">2*(O375-G375)*(1-O375)*O375*F375</f>
        <v>-0.0135794257092306</v>
      </c>
    </row>
    <row r="376" customFormat="false" ht="14.25" hidden="false" customHeight="true" outlineLevel="0" collapsed="false">
      <c r="A376" s="37"/>
      <c r="B376" s="34" t="n">
        <v>52</v>
      </c>
      <c r="C376" s="28" t="n">
        <v>5.9</v>
      </c>
      <c r="D376" s="28" t="n">
        <v>3</v>
      </c>
      <c r="E376" s="28" t="n">
        <v>4.2</v>
      </c>
      <c r="F376" s="28" t="n">
        <v>1.5</v>
      </c>
      <c r="G376" s="35" t="n">
        <v>1</v>
      </c>
      <c r="H376" s="1" t="n">
        <f aca="false">IF(G376=P376, 1, 0)</f>
        <v>1</v>
      </c>
      <c r="I376" s="34" t="n">
        <f aca="false">I375-0.1*T375</f>
        <v>0.246977507793377</v>
      </c>
      <c r="J376" s="36" t="n">
        <f aca="false">J375-0.1*U375</f>
        <v>-0.304852824833247</v>
      </c>
      <c r="K376" s="36" t="n">
        <f aca="false">K375-0.1*V375</f>
        <v>-0.44602021450795</v>
      </c>
      <c r="L376" s="36" t="n">
        <f aca="false">L375-0.1*W375</f>
        <v>1.07943097632443</v>
      </c>
      <c r="M376" s="36" t="n">
        <f aca="false">M375-0.1*X375</f>
        <v>0.811010074530753</v>
      </c>
      <c r="N376" s="31" t="n">
        <f aca="false">I376+J376*C376+K376*D376+L376*E376+F376*M376</f>
        <v>2.8604104101121</v>
      </c>
      <c r="O376" s="31" t="n">
        <f aca="false">1/(1+EXP(-N376))</f>
        <v>0.945854322077321</v>
      </c>
      <c r="P376" s="32" t="n">
        <f aca="false">IF(O376&gt;0.5,1,0)</f>
        <v>1</v>
      </c>
      <c r="Q376" s="32" t="n">
        <f aca="false">O376-G376</f>
        <v>-0.0541456779226792</v>
      </c>
      <c r="R376" s="33" t="n">
        <f aca="false">Q376^2</f>
        <v>0.00293175443770651</v>
      </c>
      <c r="T376" s="26" t="n">
        <f aca="false">2*(O376-G376)*(1-O376)*O376</f>
        <v>-0.00554602521234814</v>
      </c>
      <c r="U376" s="26" t="n">
        <f aca="false">2*(O376-G376)*(1-O376)*O376*C376</f>
        <v>-0.032721548752854</v>
      </c>
      <c r="V376" s="26" t="n">
        <f aca="false">2*(O376-G376)*(1-O376)*O376*D376</f>
        <v>-0.0166380756370444</v>
      </c>
      <c r="W376" s="26" t="n">
        <f aca="false">2*(O376-G376)*(1-O376)*O376*E376</f>
        <v>-0.0232933058918622</v>
      </c>
      <c r="X376" s="26" t="n">
        <f aca="false">2*(O376-G376)*(1-O376)*O376*F376</f>
        <v>-0.00831903781852221</v>
      </c>
    </row>
    <row r="377" customFormat="false" ht="14.25" hidden="false" customHeight="true" outlineLevel="0" collapsed="false">
      <c r="A377" s="37"/>
      <c r="B377" s="34" t="n">
        <v>53</v>
      </c>
      <c r="C377" s="28" t="n">
        <v>6</v>
      </c>
      <c r="D377" s="28" t="n">
        <v>2.2</v>
      </c>
      <c r="E377" s="28" t="n">
        <v>4</v>
      </c>
      <c r="F377" s="28" t="n">
        <v>1</v>
      </c>
      <c r="G377" s="35" t="n">
        <v>1</v>
      </c>
      <c r="H377" s="1" t="n">
        <f aca="false">IF(G377=P377, 1, 0)</f>
        <v>1</v>
      </c>
      <c r="I377" s="34" t="n">
        <f aca="false">I376-0.1*T376</f>
        <v>0.247532110314612</v>
      </c>
      <c r="J377" s="36" t="n">
        <f aca="false">J376-0.1*U376</f>
        <v>-0.301580669957962</v>
      </c>
      <c r="K377" s="36" t="n">
        <f aca="false">K376-0.1*V376</f>
        <v>-0.444356406944245</v>
      </c>
      <c r="L377" s="36" t="n">
        <f aca="false">L376-0.1*W376</f>
        <v>1.08176030691362</v>
      </c>
      <c r="M377" s="36" t="n">
        <f aca="false">M376-0.1*X376</f>
        <v>0.811841978312605</v>
      </c>
      <c r="N377" s="31" t="n">
        <f aca="false">I377+J377*C377+K377*D377+L377*E377+F377*M377</f>
        <v>2.59934720125657</v>
      </c>
      <c r="O377" s="31" t="n">
        <f aca="false">1/(1+EXP(-N377))</f>
        <v>0.930819554821161</v>
      </c>
      <c r="P377" s="32" t="n">
        <f aca="false">IF(O377&gt;0.5,1,0)</f>
        <v>1</v>
      </c>
      <c r="Q377" s="32" t="n">
        <f aca="false">O377-G377</f>
        <v>-0.069180445178839</v>
      </c>
      <c r="R377" s="33" t="n">
        <f aca="false">Q377^2</f>
        <v>0.00478593399514235</v>
      </c>
      <c r="T377" s="26" t="n">
        <f aca="false">2*(O377-G377)*(1-O377)*O377</f>
        <v>-0.00890968190152373</v>
      </c>
      <c r="U377" s="26" t="n">
        <f aca="false">2*(O377-G377)*(1-O377)*O377*C377</f>
        <v>-0.0534580914091424</v>
      </c>
      <c r="V377" s="26" t="n">
        <f aca="false">2*(O377-G377)*(1-O377)*O377*D377</f>
        <v>-0.0196013001833522</v>
      </c>
      <c r="W377" s="26" t="n">
        <f aca="false">2*(O377-G377)*(1-O377)*O377*E377</f>
        <v>-0.0356387276060949</v>
      </c>
      <c r="X377" s="26" t="n">
        <f aca="false">2*(O377-G377)*(1-O377)*O377*F377</f>
        <v>-0.00890968190152373</v>
      </c>
    </row>
    <row r="378" customFormat="false" ht="14.25" hidden="false" customHeight="true" outlineLevel="0" collapsed="false">
      <c r="A378" s="37"/>
      <c r="B378" s="34" t="n">
        <v>54</v>
      </c>
      <c r="C378" s="28" t="n">
        <v>6.1</v>
      </c>
      <c r="D378" s="28" t="n">
        <v>2.9</v>
      </c>
      <c r="E378" s="28" t="n">
        <v>4.7</v>
      </c>
      <c r="F378" s="28" t="n">
        <v>1.4</v>
      </c>
      <c r="G378" s="35" t="n">
        <v>1</v>
      </c>
      <c r="H378" s="1" t="n">
        <f aca="false">IF(G378=P378, 1, 0)</f>
        <v>1</v>
      </c>
      <c r="I378" s="34" t="n">
        <f aca="false">I377-0.1*T377</f>
        <v>0.248423078504765</v>
      </c>
      <c r="J378" s="36" t="n">
        <f aca="false">J377-0.1*U377</f>
        <v>-0.296234860817048</v>
      </c>
      <c r="K378" s="36" t="n">
        <f aca="false">K377-0.1*V377</f>
        <v>-0.44239627692591</v>
      </c>
      <c r="L378" s="36" t="n">
        <f aca="false">L377-0.1*W377</f>
        <v>1.08532417967422</v>
      </c>
      <c r="M378" s="36" t="n">
        <f aca="false">M377-0.1*X377</f>
        <v>0.812732946502758</v>
      </c>
      <c r="N378" s="31" t="n">
        <f aca="false">I378+J378*C378+K378*D378+L378*E378+F378*M378</f>
        <v>3.39729099400835</v>
      </c>
      <c r="O378" s="31" t="n">
        <f aca="false">1/(1+EXP(-N378))</f>
        <v>0.967619764825839</v>
      </c>
      <c r="P378" s="32" t="n">
        <f aca="false">IF(O378&gt;0.5,1,0)</f>
        <v>1</v>
      </c>
      <c r="Q378" s="32" t="n">
        <f aca="false">O378-G378</f>
        <v>-0.0323802351741611</v>
      </c>
      <c r="R378" s="33" t="n">
        <f aca="false">Q378^2</f>
        <v>0.00104847962993398</v>
      </c>
      <c r="T378" s="26" t="n">
        <f aca="false">2*(O378-G378)*(1-O378)*O378</f>
        <v>-0.0020290592258828</v>
      </c>
      <c r="U378" s="26" t="n">
        <f aca="false">2*(O378-G378)*(1-O378)*O378*C378</f>
        <v>-0.0123772612778851</v>
      </c>
      <c r="V378" s="26" t="n">
        <f aca="false">2*(O378-G378)*(1-O378)*O378*D378</f>
        <v>-0.00588427175506012</v>
      </c>
      <c r="W378" s="26" t="n">
        <f aca="false">2*(O378-G378)*(1-O378)*O378*E378</f>
        <v>-0.00953657836164917</v>
      </c>
      <c r="X378" s="26" t="n">
        <f aca="false">2*(O378-G378)*(1-O378)*O378*F378</f>
        <v>-0.00284068291623592</v>
      </c>
    </row>
    <row r="379" customFormat="false" ht="14.25" hidden="false" customHeight="true" outlineLevel="0" collapsed="false">
      <c r="A379" s="37"/>
      <c r="B379" s="34" t="n">
        <v>55</v>
      </c>
      <c r="C379" s="28" t="n">
        <v>5.6</v>
      </c>
      <c r="D379" s="28" t="n">
        <v>2.9</v>
      </c>
      <c r="E379" s="28" t="n">
        <v>3.6</v>
      </c>
      <c r="F379" s="28" t="n">
        <v>1.3</v>
      </c>
      <c r="G379" s="35" t="n">
        <v>1</v>
      </c>
      <c r="H379" s="1" t="n">
        <f aca="false">IF(G379=P379, 1, 0)</f>
        <v>1</v>
      </c>
      <c r="I379" s="34" t="n">
        <f aca="false">I378-0.1*T378</f>
        <v>0.248625984427353</v>
      </c>
      <c r="J379" s="36" t="n">
        <f aca="false">J378-0.1*U378</f>
        <v>-0.294997134689259</v>
      </c>
      <c r="K379" s="36" t="n">
        <f aca="false">K378-0.1*V378</f>
        <v>-0.441807849750404</v>
      </c>
      <c r="L379" s="36" t="n">
        <f aca="false">L378-0.1*W378</f>
        <v>1.08627783751039</v>
      </c>
      <c r="M379" s="36" t="n">
        <f aca="false">M378-0.1*X378</f>
        <v>0.813017014794381</v>
      </c>
      <c r="N379" s="31" t="n">
        <f aca="false">I379+J379*C379+K379*D379+L379*E379+F379*M379</f>
        <v>2.28292160016143</v>
      </c>
      <c r="O379" s="31" t="n">
        <f aca="false">1/(1+EXP(-N379))</f>
        <v>0.90745270182805</v>
      </c>
      <c r="P379" s="32" t="n">
        <f aca="false">IF(O379&gt;0.5,1,0)</f>
        <v>1</v>
      </c>
      <c r="Q379" s="32" t="n">
        <f aca="false">O379-G379</f>
        <v>-0.0925472981719505</v>
      </c>
      <c r="R379" s="33" t="n">
        <f aca="false">Q379^2</f>
        <v>0.00856500239892791</v>
      </c>
      <c r="T379" s="26" t="n">
        <f aca="false">2*(O379-G379)*(1-O379)*O379</f>
        <v>-0.0155446691361417</v>
      </c>
      <c r="U379" s="26" t="n">
        <f aca="false">2*(O379-G379)*(1-O379)*O379*C379</f>
        <v>-0.0870501471623936</v>
      </c>
      <c r="V379" s="26" t="n">
        <f aca="false">2*(O379-G379)*(1-O379)*O379*D379</f>
        <v>-0.045079540494811</v>
      </c>
      <c r="W379" s="26" t="n">
        <f aca="false">2*(O379-G379)*(1-O379)*O379*E379</f>
        <v>-0.0559608088901102</v>
      </c>
      <c r="X379" s="26" t="n">
        <f aca="false">2*(O379-G379)*(1-O379)*O379*F379</f>
        <v>-0.0202080698769842</v>
      </c>
    </row>
    <row r="380" customFormat="false" ht="14.25" hidden="false" customHeight="true" outlineLevel="0" collapsed="false">
      <c r="A380" s="37"/>
      <c r="B380" s="34" t="n">
        <v>56</v>
      </c>
      <c r="C380" s="28" t="n">
        <v>6.7</v>
      </c>
      <c r="D380" s="28" t="n">
        <v>3.1</v>
      </c>
      <c r="E380" s="28" t="n">
        <v>4.4</v>
      </c>
      <c r="F380" s="28" t="n">
        <v>1.4</v>
      </c>
      <c r="G380" s="35" t="n">
        <v>1</v>
      </c>
      <c r="H380" s="1" t="n">
        <f aca="false">IF(G380=P380, 1, 0)</f>
        <v>1</v>
      </c>
      <c r="I380" s="34" t="n">
        <f aca="false">I379-0.1*T379</f>
        <v>0.250180451340967</v>
      </c>
      <c r="J380" s="36" t="n">
        <f aca="false">J379-0.1*U379</f>
        <v>-0.28629211997302</v>
      </c>
      <c r="K380" s="36" t="n">
        <f aca="false">K379-0.1*V379</f>
        <v>-0.437299895700923</v>
      </c>
      <c r="L380" s="36" t="n">
        <f aca="false">L379-0.1*W379</f>
        <v>1.0918739183994</v>
      </c>
      <c r="M380" s="36" t="n">
        <f aca="false">M379-0.1*X379</f>
        <v>0.81503782178208</v>
      </c>
      <c r="N380" s="31" t="n">
        <f aca="false">I380+J380*C380+K380*D380+L380*E380+F380*M380</f>
        <v>2.92169176230115</v>
      </c>
      <c r="O380" s="31" t="n">
        <f aca="false">1/(1+EXP(-N380))</f>
        <v>0.948908380177993</v>
      </c>
      <c r="P380" s="32" t="n">
        <f aca="false">IF(O380&gt;0.5,1,0)</f>
        <v>1</v>
      </c>
      <c r="Q380" s="32" t="n">
        <f aca="false">O380-G380</f>
        <v>-0.0510916198220074</v>
      </c>
      <c r="R380" s="33" t="n">
        <f aca="false">Q380^2</f>
        <v>0.00261035361603654</v>
      </c>
      <c r="T380" s="26" t="n">
        <f aca="false">2*(O380-G380)*(1-O380)*O380</f>
        <v>-0.00495397284296999</v>
      </c>
      <c r="U380" s="26" t="n">
        <f aca="false">2*(O380-G380)*(1-O380)*O380*C380</f>
        <v>-0.033191618047899</v>
      </c>
      <c r="V380" s="26" t="n">
        <f aca="false">2*(O380-G380)*(1-O380)*O380*D380</f>
        <v>-0.015357315813207</v>
      </c>
      <c r="W380" s="26" t="n">
        <f aca="false">2*(O380-G380)*(1-O380)*O380*E380</f>
        <v>-0.021797480509068</v>
      </c>
      <c r="X380" s="26" t="n">
        <f aca="false">2*(O380-G380)*(1-O380)*O380*F380</f>
        <v>-0.00693556198015799</v>
      </c>
    </row>
    <row r="381" customFormat="false" ht="14.25" hidden="false" customHeight="true" outlineLevel="0" collapsed="false">
      <c r="A381" s="37"/>
      <c r="B381" s="34" t="n">
        <v>57</v>
      </c>
      <c r="C381" s="28" t="n">
        <v>5.6</v>
      </c>
      <c r="D381" s="28" t="n">
        <v>3</v>
      </c>
      <c r="E381" s="28" t="n">
        <v>4.5</v>
      </c>
      <c r="F381" s="28" t="n">
        <v>1.5</v>
      </c>
      <c r="G381" s="35" t="n">
        <v>1</v>
      </c>
      <c r="H381" s="1" t="n">
        <f aca="false">IF(G381=P381, 1, 0)</f>
        <v>1</v>
      </c>
      <c r="I381" s="34" t="n">
        <f aca="false">I380-0.1*T380</f>
        <v>0.250675848625264</v>
      </c>
      <c r="J381" s="36" t="n">
        <f aca="false">J380-0.1*U380</f>
        <v>-0.28297295816823</v>
      </c>
      <c r="K381" s="36" t="n">
        <f aca="false">K380-0.1*V380</f>
        <v>-0.435764164119602</v>
      </c>
      <c r="L381" s="36" t="n">
        <f aca="false">L380-0.1*W380</f>
        <v>1.09405366645031</v>
      </c>
      <c r="M381" s="36" t="n">
        <f aca="false">M380-0.1*X380</f>
        <v>0.815731377980096</v>
      </c>
      <c r="N381" s="31" t="n">
        <f aca="false">I381+J381*C381+K381*D381+L381*E381+F381*M381</f>
        <v>3.5055733565209</v>
      </c>
      <c r="O381" s="31" t="n">
        <f aca="false">1/(1+EXP(-N381))</f>
        <v>0.970845932773339</v>
      </c>
      <c r="P381" s="32" t="n">
        <f aca="false">IF(O381&gt;0.5,1,0)</f>
        <v>1</v>
      </c>
      <c r="Q381" s="32" t="n">
        <f aca="false">O381-G381</f>
        <v>-0.0291540672266614</v>
      </c>
      <c r="R381" s="33" t="n">
        <f aca="false">Q381^2</f>
        <v>0.00084995963585669</v>
      </c>
      <c r="T381" s="26" t="n">
        <f aca="false">2*(O381-G381)*(1-O381)*O381</f>
        <v>-0.00165035971098595</v>
      </c>
      <c r="U381" s="26" t="n">
        <f aca="false">2*(O381-G381)*(1-O381)*O381*C381</f>
        <v>-0.00924201438152133</v>
      </c>
      <c r="V381" s="26" t="n">
        <f aca="false">2*(O381-G381)*(1-O381)*O381*D381</f>
        <v>-0.00495107913295785</v>
      </c>
      <c r="W381" s="26" t="n">
        <f aca="false">2*(O381-G381)*(1-O381)*O381*E381</f>
        <v>-0.00742661869943678</v>
      </c>
      <c r="X381" s="26" t="n">
        <f aca="false">2*(O381-G381)*(1-O381)*O381*F381</f>
        <v>-0.00247553956647893</v>
      </c>
    </row>
    <row r="382" customFormat="false" ht="14.25" hidden="false" customHeight="true" outlineLevel="0" collapsed="false">
      <c r="A382" s="37"/>
      <c r="B382" s="34" t="n">
        <v>58</v>
      </c>
      <c r="C382" s="28" t="n">
        <v>5.8</v>
      </c>
      <c r="D382" s="28" t="n">
        <v>2.7</v>
      </c>
      <c r="E382" s="28" t="n">
        <v>4.1</v>
      </c>
      <c r="F382" s="28" t="n">
        <v>1</v>
      </c>
      <c r="G382" s="35" t="n">
        <v>1</v>
      </c>
      <c r="H382" s="1" t="n">
        <f aca="false">IF(G382=P382, 1, 0)</f>
        <v>1</v>
      </c>
      <c r="I382" s="34" t="n">
        <f aca="false">I381-0.1*T381</f>
        <v>0.250840884596363</v>
      </c>
      <c r="J382" s="36" t="n">
        <f aca="false">J381-0.1*U381</f>
        <v>-0.282048756730078</v>
      </c>
      <c r="K382" s="36" t="n">
        <f aca="false">K381-0.1*V381</f>
        <v>-0.435269056206306</v>
      </c>
      <c r="L382" s="36" t="n">
        <f aca="false">L381-0.1*W381</f>
        <v>1.09479632832025</v>
      </c>
      <c r="M382" s="36" t="n">
        <f aca="false">M381-0.1*X381</f>
        <v>0.815978931936743</v>
      </c>
      <c r="N382" s="31" t="n">
        <f aca="false">I382+J382*C382+K382*D382+L382*E382+F382*M382</f>
        <v>2.74437552185466</v>
      </c>
      <c r="O382" s="31" t="n">
        <f aca="false">1/(1+EXP(-N382))</f>
        <v>0.939594913359786</v>
      </c>
      <c r="P382" s="32" t="n">
        <f aca="false">IF(O382&gt;0.5,1,0)</f>
        <v>1</v>
      </c>
      <c r="Q382" s="32" t="n">
        <f aca="false">O382-G382</f>
        <v>-0.0604050866402145</v>
      </c>
      <c r="R382" s="33" t="n">
        <f aca="false">Q382^2</f>
        <v>0.00364877449201182</v>
      </c>
      <c r="T382" s="26" t="n">
        <f aca="false">2*(O382-G382)*(1-O382)*O382</f>
        <v>-0.00685673990538248</v>
      </c>
      <c r="U382" s="26" t="n">
        <f aca="false">2*(O382-G382)*(1-O382)*O382*C382</f>
        <v>-0.0397690914512184</v>
      </c>
      <c r="V382" s="26" t="n">
        <f aca="false">2*(O382-G382)*(1-O382)*O382*D382</f>
        <v>-0.0185131977445327</v>
      </c>
      <c r="W382" s="26" t="n">
        <f aca="false">2*(O382-G382)*(1-O382)*O382*E382</f>
        <v>-0.0281126336120682</v>
      </c>
      <c r="X382" s="26" t="n">
        <f aca="false">2*(O382-G382)*(1-O382)*O382*F382</f>
        <v>-0.00685673990538248</v>
      </c>
    </row>
    <row r="383" customFormat="false" ht="14.25" hidden="false" customHeight="true" outlineLevel="0" collapsed="false">
      <c r="A383" s="37"/>
      <c r="B383" s="34" t="n">
        <v>59</v>
      </c>
      <c r="C383" s="28" t="n">
        <v>6.2</v>
      </c>
      <c r="D383" s="28" t="n">
        <v>2.2</v>
      </c>
      <c r="E383" s="28" t="n">
        <v>4.5</v>
      </c>
      <c r="F383" s="28" t="n">
        <v>1.5</v>
      </c>
      <c r="G383" s="35" t="n">
        <v>1</v>
      </c>
      <c r="H383" s="1" t="n">
        <f aca="false">IF(G383=P383, 1, 0)</f>
        <v>1</v>
      </c>
      <c r="I383" s="34" t="n">
        <f aca="false">I382-0.1*T382</f>
        <v>0.251526558586901</v>
      </c>
      <c r="J383" s="36" t="n">
        <f aca="false">J382-0.1*U382</f>
        <v>-0.278071847584956</v>
      </c>
      <c r="K383" s="36" t="n">
        <f aca="false">K382-0.1*V382</f>
        <v>-0.433417736431853</v>
      </c>
      <c r="L383" s="36" t="n">
        <f aca="false">L382-0.1*W382</f>
        <v>1.09760759168146</v>
      </c>
      <c r="M383" s="36" t="n">
        <f aca="false">M382-0.1*X382</f>
        <v>0.816664605927282</v>
      </c>
      <c r="N383" s="31" t="n">
        <f aca="false">I383+J383*C383+K383*D383+L383*E383+F383*M383</f>
        <v>3.73819315486758</v>
      </c>
      <c r="O383" s="31" t="n">
        <f aca="false">1/(1+EXP(-N383))</f>
        <v>0.97675607520239</v>
      </c>
      <c r="P383" s="32" t="n">
        <f aca="false">IF(O383&gt;0.5,1,0)</f>
        <v>1</v>
      </c>
      <c r="Q383" s="32" t="n">
        <f aca="false">O383-G383</f>
        <v>-0.0232439247976101</v>
      </c>
      <c r="R383" s="33" t="n">
        <f aca="false">Q383^2</f>
        <v>0.000540280039996952</v>
      </c>
      <c r="T383" s="26" t="n">
        <f aca="false">2*(O383-G383)*(1-O383)*O383</f>
        <v>-0.00105544362275523</v>
      </c>
      <c r="U383" s="26" t="n">
        <f aca="false">2*(O383-G383)*(1-O383)*O383*C383</f>
        <v>-0.0065437504610824</v>
      </c>
      <c r="V383" s="26" t="n">
        <f aca="false">2*(O383-G383)*(1-O383)*O383*D383</f>
        <v>-0.0023219759700615</v>
      </c>
      <c r="W383" s="26" t="n">
        <f aca="false">2*(O383-G383)*(1-O383)*O383*E383</f>
        <v>-0.00474949630239852</v>
      </c>
      <c r="X383" s="26" t="n">
        <f aca="false">2*(O383-G383)*(1-O383)*O383*F383</f>
        <v>-0.00158316543413284</v>
      </c>
    </row>
    <row r="384" customFormat="false" ht="14.25" hidden="false" customHeight="true" outlineLevel="0" collapsed="false">
      <c r="A384" s="37"/>
      <c r="B384" s="34" t="n">
        <v>60</v>
      </c>
      <c r="C384" s="28" t="n">
        <v>5.6</v>
      </c>
      <c r="D384" s="28" t="n">
        <v>2.5</v>
      </c>
      <c r="E384" s="28" t="n">
        <v>3.9</v>
      </c>
      <c r="F384" s="28" t="n">
        <v>1.1</v>
      </c>
      <c r="G384" s="35" t="n">
        <v>1</v>
      </c>
      <c r="H384" s="1" t="n">
        <f aca="false">IF(G384=P384, 1, 0)</f>
        <v>1</v>
      </c>
      <c r="I384" s="34" t="n">
        <f aca="false">I383-0.1*T383</f>
        <v>0.251632102949176</v>
      </c>
      <c r="J384" s="36" t="n">
        <f aca="false">J383-0.1*U383</f>
        <v>-0.277417472538848</v>
      </c>
      <c r="K384" s="36" t="n">
        <f aca="false">K383-0.1*V383</f>
        <v>-0.433185538834847</v>
      </c>
      <c r="L384" s="36" t="n">
        <f aca="false">L383-0.1*W383</f>
        <v>1.0980825413117</v>
      </c>
      <c r="M384" s="36" t="n">
        <f aca="false">M383-0.1*X383</f>
        <v>0.816822922470695</v>
      </c>
      <c r="N384" s="31" t="n">
        <f aca="false">I384+J384*C384+K384*D384+L384*E384+F384*M384</f>
        <v>2.7961575354779</v>
      </c>
      <c r="O384" s="31" t="n">
        <f aca="false">1/(1+EXP(-N384))</f>
        <v>0.942467831029074</v>
      </c>
      <c r="P384" s="32" t="n">
        <f aca="false">IF(O384&gt;0.5,1,0)</f>
        <v>1</v>
      </c>
      <c r="Q384" s="32" t="n">
        <f aca="false">O384-G384</f>
        <v>-0.0575321689709263</v>
      </c>
      <c r="R384" s="33" t="n">
        <f aca="false">Q384^2</f>
        <v>0.00330995046649921</v>
      </c>
      <c r="T384" s="26" t="n">
        <f aca="false">2*(O384-G384)*(1-O384)*O384</f>
        <v>-0.00623904367395037</v>
      </c>
      <c r="U384" s="26" t="n">
        <f aca="false">2*(O384-G384)*(1-O384)*O384*C384</f>
        <v>-0.0349386445741221</v>
      </c>
      <c r="V384" s="26" t="n">
        <f aca="false">2*(O384-G384)*(1-O384)*O384*D384</f>
        <v>-0.0155976091848759</v>
      </c>
      <c r="W384" s="26" t="n">
        <f aca="false">2*(O384-G384)*(1-O384)*O384*E384</f>
        <v>-0.0243322703284064</v>
      </c>
      <c r="X384" s="26" t="n">
        <f aca="false">2*(O384-G384)*(1-O384)*O384*F384</f>
        <v>-0.0068629480413454</v>
      </c>
    </row>
    <row r="385" customFormat="false" ht="14.25" hidden="false" customHeight="true" outlineLevel="0" collapsed="false">
      <c r="A385" s="37"/>
      <c r="B385" s="34" t="n">
        <v>61</v>
      </c>
      <c r="C385" s="28" t="n">
        <v>5.9</v>
      </c>
      <c r="D385" s="28" t="n">
        <v>3.2</v>
      </c>
      <c r="E385" s="28" t="n">
        <v>4.8</v>
      </c>
      <c r="F385" s="28" t="n">
        <v>1.8</v>
      </c>
      <c r="G385" s="35" t="n">
        <v>1</v>
      </c>
      <c r="H385" s="1" t="n">
        <f aca="false">IF(G385=P385, 1, 0)</f>
        <v>1</v>
      </c>
      <c r="I385" s="34" t="n">
        <f aca="false">I384-0.1*T384</f>
        <v>0.252256007316571</v>
      </c>
      <c r="J385" s="36" t="n">
        <f aca="false">J384-0.1*U384</f>
        <v>-0.273923608081436</v>
      </c>
      <c r="K385" s="36" t="n">
        <f aca="false">K384-0.1*V384</f>
        <v>-0.431625777916359</v>
      </c>
      <c r="L385" s="36" t="n">
        <f aca="false">L384-0.1*W384</f>
        <v>1.10051576834454</v>
      </c>
      <c r="M385" s="36" t="n">
        <f aca="false">M384-0.1*X384</f>
        <v>0.817509217274829</v>
      </c>
      <c r="N385" s="31" t="n">
        <f aca="false">I385+J385*C385+K385*D385+L385*E385+F385*M385</f>
        <v>4.00889650945223</v>
      </c>
      <c r="O385" s="31" t="n">
        <f aca="false">1/(1+EXP(-N385))</f>
        <v>0.982170254481579</v>
      </c>
      <c r="P385" s="32" t="n">
        <f aca="false">IF(O385&gt;0.5,1,0)</f>
        <v>1</v>
      </c>
      <c r="Q385" s="32" t="n">
        <f aca="false">O385-G385</f>
        <v>-0.0178297455184208</v>
      </c>
      <c r="R385" s="33" t="n">
        <f aca="false">Q385^2</f>
        <v>0.000317899825251645</v>
      </c>
      <c r="T385" s="26" t="n">
        <f aca="false">2*(O385-G385)*(1-O385)*O385</f>
        <v>-0.000624463504534116</v>
      </c>
      <c r="U385" s="26" t="n">
        <f aca="false">2*(O385-G385)*(1-O385)*O385*C385</f>
        <v>-0.00368433467675128</v>
      </c>
      <c r="V385" s="26" t="n">
        <f aca="false">2*(O385-G385)*(1-O385)*O385*D385</f>
        <v>-0.00199828321450917</v>
      </c>
      <c r="W385" s="26" t="n">
        <f aca="false">2*(O385-G385)*(1-O385)*O385*E385</f>
        <v>-0.00299742482176376</v>
      </c>
      <c r="X385" s="26" t="n">
        <f aca="false">2*(O385-G385)*(1-O385)*O385*F385</f>
        <v>-0.00112403430816141</v>
      </c>
    </row>
    <row r="386" customFormat="false" ht="14.25" hidden="false" customHeight="true" outlineLevel="0" collapsed="false">
      <c r="A386" s="37"/>
      <c r="B386" s="34" t="n">
        <v>62</v>
      </c>
      <c r="C386" s="28" t="n">
        <v>6.1</v>
      </c>
      <c r="D386" s="28" t="n">
        <v>2.8</v>
      </c>
      <c r="E386" s="28" t="n">
        <v>4</v>
      </c>
      <c r="F386" s="28" t="n">
        <v>1.3</v>
      </c>
      <c r="G386" s="35" t="n">
        <v>1</v>
      </c>
      <c r="H386" s="1" t="n">
        <f aca="false">IF(G386=P386, 1, 0)</f>
        <v>1</v>
      </c>
      <c r="I386" s="34" t="n">
        <f aca="false">I385-0.1*T385</f>
        <v>0.252318453667025</v>
      </c>
      <c r="J386" s="36" t="n">
        <f aca="false">J385-0.1*U385</f>
        <v>-0.27355517461376</v>
      </c>
      <c r="K386" s="36" t="n">
        <f aca="false">K385-0.1*V385</f>
        <v>-0.431425949594908</v>
      </c>
      <c r="L386" s="36" t="n">
        <f aca="false">L385-0.1*W385</f>
        <v>1.10081551082671</v>
      </c>
      <c r="M386" s="36" t="n">
        <f aca="false">M385-0.1*X385</f>
        <v>0.817621620705646</v>
      </c>
      <c r="N386" s="31" t="n">
        <f aca="false">I386+J386*C386+K386*D386+L386*E386+F386*M386</f>
        <v>2.84180937988154</v>
      </c>
      <c r="O386" s="31" t="n">
        <f aca="false">1/(1+EXP(-N386))</f>
        <v>0.944893751688334</v>
      </c>
      <c r="P386" s="32" t="n">
        <f aca="false">IF(O386&gt;0.5,1,0)</f>
        <v>1</v>
      </c>
      <c r="Q386" s="32" t="n">
        <f aca="false">O386-G386</f>
        <v>-0.055106248311666</v>
      </c>
      <c r="R386" s="33" t="n">
        <f aca="false">Q386^2</f>
        <v>0.00303669860298699</v>
      </c>
      <c r="T386" s="26" t="n">
        <f aca="false">2*(O386-G386)*(1-O386)*O386</f>
        <v>-0.0057387150714462</v>
      </c>
      <c r="U386" s="26" t="n">
        <f aca="false">2*(O386-G386)*(1-O386)*O386*C386</f>
        <v>-0.0350061619358218</v>
      </c>
      <c r="V386" s="26" t="n">
        <f aca="false">2*(O386-G386)*(1-O386)*O386*D386</f>
        <v>-0.0160684022000494</v>
      </c>
      <c r="W386" s="26" t="n">
        <f aca="false">2*(O386-G386)*(1-O386)*O386*E386</f>
        <v>-0.0229548602857848</v>
      </c>
      <c r="X386" s="26" t="n">
        <f aca="false">2*(O386-G386)*(1-O386)*O386*F386</f>
        <v>-0.00746032959288006</v>
      </c>
    </row>
    <row r="387" customFormat="false" ht="14.25" hidden="false" customHeight="true" outlineLevel="0" collapsed="false">
      <c r="A387" s="37"/>
      <c r="B387" s="34" t="n">
        <v>63</v>
      </c>
      <c r="C387" s="28" t="n">
        <v>6.3</v>
      </c>
      <c r="D387" s="28" t="n">
        <v>2.5</v>
      </c>
      <c r="E387" s="28" t="n">
        <v>4.9</v>
      </c>
      <c r="F387" s="28" t="n">
        <v>1.5</v>
      </c>
      <c r="G387" s="35" t="n">
        <v>1</v>
      </c>
      <c r="H387" s="1" t="n">
        <f aca="false">IF(G387=P387, 1, 0)</f>
        <v>1</v>
      </c>
      <c r="I387" s="34" t="n">
        <f aca="false">I386-0.1*T386</f>
        <v>0.25289232517417</v>
      </c>
      <c r="J387" s="36" t="n">
        <f aca="false">J386-0.1*U386</f>
        <v>-0.270054558420178</v>
      </c>
      <c r="K387" s="36" t="n">
        <f aca="false">K386-0.1*V386</f>
        <v>-0.429819109374904</v>
      </c>
      <c r="L387" s="36" t="n">
        <f aca="false">L386-0.1*W386</f>
        <v>1.10311099685529</v>
      </c>
      <c r="M387" s="36" t="n">
        <f aca="false">M386-0.1*X386</f>
        <v>0.818367653664934</v>
      </c>
      <c r="N387" s="31" t="n">
        <f aca="false">I387+J387*C387+K387*D387+L387*E387+F387*M387</f>
        <v>4.10979619877813</v>
      </c>
      <c r="O387" s="31" t="n">
        <f aca="false">1/(1+EXP(-N387))</f>
        <v>0.9838538574715</v>
      </c>
      <c r="P387" s="32" t="n">
        <f aca="false">IF(O387&gt;0.5,1,0)</f>
        <v>1</v>
      </c>
      <c r="Q387" s="32" t="n">
        <f aca="false">O387-G387</f>
        <v>-0.0161461425284999</v>
      </c>
      <c r="R387" s="33" t="n">
        <f aca="false">Q387^2</f>
        <v>0.000260697918550633</v>
      </c>
      <c r="T387" s="26" t="n">
        <f aca="false">2*(O387-G387)*(1-O387)*O387</f>
        <v>-0.000512977305601662</v>
      </c>
      <c r="U387" s="26" t="n">
        <f aca="false">2*(O387-G387)*(1-O387)*O387*C387</f>
        <v>-0.00323175702529047</v>
      </c>
      <c r="V387" s="26" t="n">
        <f aca="false">2*(O387-G387)*(1-O387)*O387*D387</f>
        <v>-0.00128244326400415</v>
      </c>
      <c r="W387" s="26" t="n">
        <f aca="false">2*(O387-G387)*(1-O387)*O387*E387</f>
        <v>-0.00251358879744814</v>
      </c>
      <c r="X387" s="26" t="n">
        <f aca="false">2*(O387-G387)*(1-O387)*O387*F387</f>
        <v>-0.000769465958402493</v>
      </c>
    </row>
    <row r="388" customFormat="false" ht="14.25" hidden="false" customHeight="true" outlineLevel="0" collapsed="false">
      <c r="A388" s="37"/>
      <c r="B388" s="34" t="n">
        <v>64</v>
      </c>
      <c r="C388" s="28" t="n">
        <v>6.1</v>
      </c>
      <c r="D388" s="28" t="n">
        <v>2.8</v>
      </c>
      <c r="E388" s="28" t="n">
        <v>4.7</v>
      </c>
      <c r="F388" s="28" t="n">
        <v>1.2</v>
      </c>
      <c r="G388" s="35" t="n">
        <v>1</v>
      </c>
      <c r="H388" s="1" t="n">
        <f aca="false">IF(G388=P388, 1, 0)</f>
        <v>1</v>
      </c>
      <c r="I388" s="34" t="n">
        <f aca="false">I387-0.1*T387</f>
        <v>0.25294362290473</v>
      </c>
      <c r="J388" s="36" t="n">
        <f aca="false">J387-0.1*U387</f>
        <v>-0.269731382717649</v>
      </c>
      <c r="K388" s="36" t="n">
        <f aca="false">K387-0.1*V387</f>
        <v>-0.429690865048503</v>
      </c>
      <c r="L388" s="36" t="n">
        <f aca="false">L387-0.1*W387</f>
        <v>1.10336235573504</v>
      </c>
      <c r="M388" s="36" t="n">
        <f aca="false">M387-0.1*X387</f>
        <v>0.818444600260774</v>
      </c>
      <c r="N388" s="31" t="n">
        <f aca="false">I388+J388*C388+K388*D388+L388*E388+F388*M388</f>
        <v>3.57238435845887</v>
      </c>
      <c r="O388" s="31" t="n">
        <f aca="false">1/(1+EXP(-N388))</f>
        <v>0.972678624644034</v>
      </c>
      <c r="P388" s="32" t="n">
        <f aca="false">IF(O388&gt;0.5,1,0)</f>
        <v>1</v>
      </c>
      <c r="Q388" s="32" t="n">
        <f aca="false">O388-G388</f>
        <v>-0.0273213753559656</v>
      </c>
      <c r="R388" s="33" t="n">
        <f aca="false">Q388^2</f>
        <v>0.000746457551341563</v>
      </c>
      <c r="T388" s="26" t="n">
        <f aca="false">2*(O388-G388)*(1-O388)*O388</f>
        <v>-0.00145212660878813</v>
      </c>
      <c r="U388" s="26" t="n">
        <f aca="false">2*(O388-G388)*(1-O388)*O388*C388</f>
        <v>-0.00885797231360759</v>
      </c>
      <c r="V388" s="26" t="n">
        <f aca="false">2*(O388-G388)*(1-O388)*O388*D388</f>
        <v>-0.00406595450460676</v>
      </c>
      <c r="W388" s="26" t="n">
        <f aca="false">2*(O388-G388)*(1-O388)*O388*E388</f>
        <v>-0.00682499506130421</v>
      </c>
      <c r="X388" s="26" t="n">
        <f aca="false">2*(O388-G388)*(1-O388)*O388*F388</f>
        <v>-0.00174255193054576</v>
      </c>
    </row>
    <row r="389" customFormat="false" ht="14.25" hidden="false" customHeight="true" outlineLevel="0" collapsed="false">
      <c r="A389" s="37"/>
      <c r="B389" s="34" t="n">
        <v>65</v>
      </c>
      <c r="C389" s="28" t="n">
        <v>6.4</v>
      </c>
      <c r="D389" s="28" t="n">
        <v>2.9</v>
      </c>
      <c r="E389" s="28" t="n">
        <v>4.3</v>
      </c>
      <c r="F389" s="28" t="n">
        <v>1.3</v>
      </c>
      <c r="G389" s="35" t="n">
        <v>1</v>
      </c>
      <c r="H389" s="1" t="n">
        <f aca="false">IF(G389=P389, 1, 0)</f>
        <v>1</v>
      </c>
      <c r="I389" s="34" t="n">
        <f aca="false">I388-0.1*T388</f>
        <v>0.253088835565608</v>
      </c>
      <c r="J389" s="36" t="n">
        <f aca="false">J388-0.1*U388</f>
        <v>-0.268845585486288</v>
      </c>
      <c r="K389" s="36" t="n">
        <f aca="false">K388-0.1*V388</f>
        <v>-0.429284269598042</v>
      </c>
      <c r="L389" s="36" t="n">
        <f aca="false">L388-0.1*W388</f>
        <v>1.10404485524117</v>
      </c>
      <c r="M389" s="36" t="n">
        <f aca="false">M388-0.1*X388</f>
        <v>0.818618855453828</v>
      </c>
      <c r="N389" s="31" t="n">
        <f aca="false">I389+J389*C389+K389*D389+L389*E389+F389*M389</f>
        <v>3.09915009624604</v>
      </c>
      <c r="O389" s="31" t="n">
        <f aca="false">1/(1+EXP(-N389))</f>
        <v>0.956857673745782</v>
      </c>
      <c r="P389" s="32" t="n">
        <f aca="false">IF(O389&gt;0.5,1,0)</f>
        <v>1</v>
      </c>
      <c r="Q389" s="32" t="n">
        <f aca="false">O389-G389</f>
        <v>-0.0431423262542179</v>
      </c>
      <c r="R389" s="33" t="n">
        <f aca="false">Q389^2</f>
        <v>0.00186126031462538</v>
      </c>
      <c r="T389" s="26" t="n">
        <f aca="false">2*(O389-G389)*(1-O389)*O389</f>
        <v>-0.00356192242977556</v>
      </c>
      <c r="U389" s="26" t="n">
        <f aca="false">2*(O389-G389)*(1-O389)*O389*C389</f>
        <v>-0.0227963035505636</v>
      </c>
      <c r="V389" s="26" t="n">
        <f aca="false">2*(O389-G389)*(1-O389)*O389*D389</f>
        <v>-0.0103295750463491</v>
      </c>
      <c r="W389" s="26" t="n">
        <f aca="false">2*(O389-G389)*(1-O389)*O389*E389</f>
        <v>-0.0153162664480349</v>
      </c>
      <c r="X389" s="26" t="n">
        <f aca="false">2*(O389-G389)*(1-O389)*O389*F389</f>
        <v>-0.00463049915870823</v>
      </c>
    </row>
    <row r="390" customFormat="false" ht="14.25" hidden="false" customHeight="true" outlineLevel="0" collapsed="false">
      <c r="A390" s="37"/>
      <c r="B390" s="34" t="n">
        <v>66</v>
      </c>
      <c r="C390" s="28" t="n">
        <v>6.6</v>
      </c>
      <c r="D390" s="28" t="n">
        <v>3</v>
      </c>
      <c r="E390" s="28" t="n">
        <v>4.4</v>
      </c>
      <c r="F390" s="28" t="n">
        <v>1.4</v>
      </c>
      <c r="G390" s="35" t="n">
        <v>1</v>
      </c>
      <c r="H390" s="1" t="n">
        <f aca="false">IF(G390=P390, 1, 0)</f>
        <v>1</v>
      </c>
      <c r="I390" s="34" t="n">
        <f aca="false">I389-0.1*T389</f>
        <v>0.253445027808586</v>
      </c>
      <c r="J390" s="36" t="n">
        <f aca="false">J389-0.1*U389</f>
        <v>-0.266565955131232</v>
      </c>
      <c r="K390" s="36" t="n">
        <f aca="false">K389-0.1*V389</f>
        <v>-0.428251312093408</v>
      </c>
      <c r="L390" s="36" t="n">
        <f aca="false">L389-0.1*W389</f>
        <v>1.10557648188597</v>
      </c>
      <c r="M390" s="36" t="n">
        <f aca="false">M389-0.1*X389</f>
        <v>0.819081905369699</v>
      </c>
      <c r="N390" s="31" t="n">
        <f aca="false">I390+J390*C390+K390*D390+L390*E390+F390*M390</f>
        <v>3.22060697547809</v>
      </c>
      <c r="O390" s="31" t="n">
        <f aca="false">1/(1+EXP(-N390))</f>
        <v>0.961602432252441</v>
      </c>
      <c r="P390" s="32" t="n">
        <f aca="false">IF(O390&gt;0.5,1,0)</f>
        <v>1</v>
      </c>
      <c r="Q390" s="32" t="n">
        <f aca="false">O390-G390</f>
        <v>-0.0383975677475593</v>
      </c>
      <c r="R390" s="33" t="n">
        <f aca="false">Q390^2</f>
        <v>0.00147437320892841</v>
      </c>
      <c r="T390" s="26" t="n">
        <f aca="false">2*(O390-G390)*(1-O390)*O390</f>
        <v>-0.00283552172750678</v>
      </c>
      <c r="U390" s="26" t="n">
        <f aca="false">2*(O390-G390)*(1-O390)*O390*C390</f>
        <v>-0.0187144434015448</v>
      </c>
      <c r="V390" s="26" t="n">
        <f aca="false">2*(O390-G390)*(1-O390)*O390*D390</f>
        <v>-0.00850656518252035</v>
      </c>
      <c r="W390" s="26" t="n">
        <f aca="false">2*(O390-G390)*(1-O390)*O390*E390</f>
        <v>-0.0124762956010299</v>
      </c>
      <c r="X390" s="26" t="n">
        <f aca="false">2*(O390-G390)*(1-O390)*O390*F390</f>
        <v>-0.0039697304185095</v>
      </c>
    </row>
    <row r="391" customFormat="false" ht="14.25" hidden="false" customHeight="true" outlineLevel="0" collapsed="false">
      <c r="A391" s="37"/>
      <c r="B391" s="34" t="n">
        <v>67</v>
      </c>
      <c r="C391" s="28" t="n">
        <v>6.8</v>
      </c>
      <c r="D391" s="28" t="n">
        <v>2.8</v>
      </c>
      <c r="E391" s="28" t="n">
        <v>4.8</v>
      </c>
      <c r="F391" s="28" t="n">
        <v>1.4</v>
      </c>
      <c r="G391" s="35" t="n">
        <v>1</v>
      </c>
      <c r="H391" s="1" t="n">
        <f aca="false">IF(G391=P391, 1, 0)</f>
        <v>1</v>
      </c>
      <c r="I391" s="34" t="n">
        <f aca="false">I390-0.1*T390</f>
        <v>0.253728579981337</v>
      </c>
      <c r="J391" s="36" t="n">
        <f aca="false">J390-0.1*U390</f>
        <v>-0.264694510791078</v>
      </c>
      <c r="K391" s="36" t="n">
        <f aca="false">K390-0.1*V390</f>
        <v>-0.427400655575155</v>
      </c>
      <c r="L391" s="36" t="n">
        <f aca="false">L390-0.1*W390</f>
        <v>1.10682411144608</v>
      </c>
      <c r="M391" s="36" t="n">
        <f aca="false">M390-0.1*X390</f>
        <v>0.81947887841155</v>
      </c>
      <c r="N391" s="31" t="n">
        <f aca="false">I391+J391*C391+K391*D391+L391*E391+F391*M391</f>
        <v>3.7171102357089</v>
      </c>
      <c r="O391" s="31" t="n">
        <f aca="false">1/(1+EXP(-N391))</f>
        <v>0.976272574137145</v>
      </c>
      <c r="P391" s="32" t="n">
        <f aca="false">IF(O391&gt;0.5,1,0)</f>
        <v>1</v>
      </c>
      <c r="Q391" s="32" t="n">
        <f aca="false">O391-G391</f>
        <v>-0.0237274258628549</v>
      </c>
      <c r="R391" s="33" t="n">
        <f aca="false">Q391^2</f>
        <v>0.000562990738077277</v>
      </c>
      <c r="T391" s="26" t="n">
        <f aca="false">2*(O391-G391)*(1-O391)*O391</f>
        <v>-0.00109926483415615</v>
      </c>
      <c r="U391" s="26" t="n">
        <f aca="false">2*(O391-G391)*(1-O391)*O391*C391</f>
        <v>-0.00747500087226181</v>
      </c>
      <c r="V391" s="26" t="n">
        <f aca="false">2*(O391-G391)*(1-O391)*O391*D391</f>
        <v>-0.00307794153563722</v>
      </c>
      <c r="W391" s="26" t="n">
        <f aca="false">2*(O391-G391)*(1-O391)*O391*E391</f>
        <v>-0.00527647120394951</v>
      </c>
      <c r="X391" s="26" t="n">
        <f aca="false">2*(O391-G391)*(1-O391)*O391*F391</f>
        <v>-0.00153897076781861</v>
      </c>
    </row>
    <row r="392" customFormat="false" ht="14.25" hidden="false" customHeight="true" outlineLevel="0" collapsed="false">
      <c r="A392" s="37"/>
      <c r="B392" s="34" t="n">
        <v>68</v>
      </c>
      <c r="C392" s="28" t="n">
        <v>6.7</v>
      </c>
      <c r="D392" s="28" t="n">
        <v>3</v>
      </c>
      <c r="E392" s="28" t="n">
        <v>5</v>
      </c>
      <c r="F392" s="28" t="n">
        <v>1.7</v>
      </c>
      <c r="G392" s="35" t="n">
        <v>1</v>
      </c>
      <c r="H392" s="1" t="n">
        <f aca="false">IF(G392=P392, 1, 0)</f>
        <v>1</v>
      </c>
      <c r="I392" s="34" t="n">
        <f aca="false">I391-0.1*T391</f>
        <v>0.253838506464752</v>
      </c>
      <c r="J392" s="36" t="n">
        <f aca="false">J391-0.1*U391</f>
        <v>-0.263947010703851</v>
      </c>
      <c r="K392" s="36" t="n">
        <f aca="false">K391-0.1*V391</f>
        <v>-0.427092861421592</v>
      </c>
      <c r="L392" s="36" t="n">
        <f aca="false">L391-0.1*W391</f>
        <v>1.10735175856647</v>
      </c>
      <c r="M392" s="36" t="n">
        <f aca="false">M391-0.1*X391</f>
        <v>0.819632775488332</v>
      </c>
      <c r="N392" s="31" t="n">
        <f aca="false">I392+J392*C392+K392*D392+L392*E392+F392*M392</f>
        <v>4.13424946164669</v>
      </c>
      <c r="O392" s="31" t="n">
        <f aca="false">1/(1+EXP(-N392))</f>
        <v>0.984237747186761</v>
      </c>
      <c r="P392" s="32" t="n">
        <f aca="false">IF(O392&gt;0.5,1,0)</f>
        <v>1</v>
      </c>
      <c r="Q392" s="32" t="n">
        <f aca="false">O392-G392</f>
        <v>-0.0157622528132386</v>
      </c>
      <c r="R392" s="33" t="n">
        <f aca="false">Q392^2</f>
        <v>0.000248448613748449</v>
      </c>
      <c r="T392" s="26" t="n">
        <f aca="false">2*(O392-G392)*(1-O392)*O392</f>
        <v>-0.000489065007774894</v>
      </c>
      <c r="U392" s="26" t="n">
        <f aca="false">2*(O392-G392)*(1-O392)*O392*C392</f>
        <v>-0.00327673555209179</v>
      </c>
      <c r="V392" s="26" t="n">
        <f aca="false">2*(O392-G392)*(1-O392)*O392*D392</f>
        <v>-0.00146719502332468</v>
      </c>
      <c r="W392" s="26" t="n">
        <f aca="false">2*(O392-G392)*(1-O392)*O392*E392</f>
        <v>-0.00244532503887447</v>
      </c>
      <c r="X392" s="26" t="n">
        <f aca="false">2*(O392-G392)*(1-O392)*O392*F392</f>
        <v>-0.00083141051321732</v>
      </c>
    </row>
    <row r="393" customFormat="false" ht="14.25" hidden="false" customHeight="true" outlineLevel="0" collapsed="false">
      <c r="A393" s="37"/>
      <c r="B393" s="34" t="n">
        <v>69</v>
      </c>
      <c r="C393" s="28" t="n">
        <v>6</v>
      </c>
      <c r="D393" s="28" t="n">
        <v>2.9</v>
      </c>
      <c r="E393" s="28" t="n">
        <v>4.5</v>
      </c>
      <c r="F393" s="28" t="n">
        <v>1.5</v>
      </c>
      <c r="G393" s="35" t="n">
        <v>1</v>
      </c>
      <c r="H393" s="1" t="n">
        <f aca="false">IF(G393=P393, 1, 0)</f>
        <v>1</v>
      </c>
      <c r="I393" s="34" t="n">
        <f aca="false">I392-0.1*T392</f>
        <v>0.25388741296553</v>
      </c>
      <c r="J393" s="36" t="n">
        <f aca="false">J392-0.1*U392</f>
        <v>-0.263619337148642</v>
      </c>
      <c r="K393" s="36" t="n">
        <f aca="false">K392-0.1*V392</f>
        <v>-0.426946141919259</v>
      </c>
      <c r="L393" s="36" t="n">
        <f aca="false">L392-0.1*W392</f>
        <v>1.10759629107036</v>
      </c>
      <c r="M393" s="36" t="n">
        <f aca="false">M392-0.1*X392</f>
        <v>0.819715916539654</v>
      </c>
      <c r="N393" s="31" t="n">
        <f aca="false">I393+J393*C393+K393*D393+L393*E393+F393*M393</f>
        <v>3.64778476313391</v>
      </c>
      <c r="O393" s="31" t="n">
        <f aca="false">1/(1+EXP(-N393))</f>
        <v>0.974612542902763</v>
      </c>
      <c r="P393" s="32" t="n">
        <f aca="false">IF(O393&gt;0.5,1,0)</f>
        <v>1</v>
      </c>
      <c r="Q393" s="32" t="n">
        <f aca="false">O393-G393</f>
        <v>-0.0253874570972367</v>
      </c>
      <c r="R393" s="33" t="n">
        <f aca="false">Q393^2</f>
        <v>0.000644522977864032</v>
      </c>
      <c r="T393" s="26" t="n">
        <f aca="false">2*(O393-G393)*(1-O393)*O393</f>
        <v>-0.00125632035683065</v>
      </c>
      <c r="U393" s="26" t="n">
        <f aca="false">2*(O393-G393)*(1-O393)*O393*C393</f>
        <v>-0.00753792214098391</v>
      </c>
      <c r="V393" s="26" t="n">
        <f aca="false">2*(O393-G393)*(1-O393)*O393*D393</f>
        <v>-0.00364332903480889</v>
      </c>
      <c r="W393" s="26" t="n">
        <f aca="false">2*(O393-G393)*(1-O393)*O393*E393</f>
        <v>-0.00565344160573793</v>
      </c>
      <c r="X393" s="26" t="n">
        <f aca="false">2*(O393-G393)*(1-O393)*O393*F393</f>
        <v>-0.00188448053524598</v>
      </c>
    </row>
    <row r="394" customFormat="false" ht="14.25" hidden="false" customHeight="true" outlineLevel="0" collapsed="false">
      <c r="A394" s="37"/>
      <c r="B394" s="34" t="n">
        <v>70</v>
      </c>
      <c r="C394" s="28" t="n">
        <v>5.7</v>
      </c>
      <c r="D394" s="28" t="n">
        <v>2.6</v>
      </c>
      <c r="E394" s="28" t="n">
        <v>3.5</v>
      </c>
      <c r="F394" s="28" t="n">
        <v>1</v>
      </c>
      <c r="G394" s="35" t="n">
        <v>1</v>
      </c>
      <c r="H394" s="1" t="n">
        <f aca="false">IF(G394=P394, 1, 0)</f>
        <v>1</v>
      </c>
      <c r="I394" s="34" t="n">
        <f aca="false">I393-0.1*T393</f>
        <v>0.254013045001213</v>
      </c>
      <c r="J394" s="36" t="n">
        <f aca="false">J393-0.1*U393</f>
        <v>-0.262865544934544</v>
      </c>
      <c r="K394" s="36" t="n">
        <f aca="false">K393-0.1*V393</f>
        <v>-0.426581809015778</v>
      </c>
      <c r="L394" s="36" t="n">
        <f aca="false">L393-0.1*W393</f>
        <v>1.10816163523093</v>
      </c>
      <c r="M394" s="36" t="n">
        <f aca="false">M393-0.1*X393</f>
        <v>0.819904364593178</v>
      </c>
      <c r="N394" s="31" t="n">
        <f aca="false">I394+J394*C394+K394*D394+L394*E394+F394*M394</f>
        <v>2.34503682333473</v>
      </c>
      <c r="O394" s="31" t="n">
        <f aca="false">1/(1+EXP(-N394))</f>
        <v>0.912538918495037</v>
      </c>
      <c r="P394" s="32" t="n">
        <f aca="false">IF(O394&gt;0.5,1,0)</f>
        <v>1</v>
      </c>
      <c r="Q394" s="32" t="n">
        <f aca="false">O394-G394</f>
        <v>-0.0874610815049632</v>
      </c>
      <c r="R394" s="33" t="n">
        <f aca="false">Q394^2</f>
        <v>0.00764944077801782</v>
      </c>
      <c r="T394" s="26" t="n">
        <f aca="false">2*(O394-G394)*(1-O394)*O394</f>
        <v>-0.0139608248293284</v>
      </c>
      <c r="U394" s="26" t="n">
        <f aca="false">2*(O394-G394)*(1-O394)*O394*C394</f>
        <v>-0.0795767015271721</v>
      </c>
      <c r="V394" s="26" t="n">
        <f aca="false">2*(O394-G394)*(1-O394)*O394*D394</f>
        <v>-0.0362981445562539</v>
      </c>
      <c r="W394" s="26" t="n">
        <f aca="false">2*(O394-G394)*(1-O394)*O394*E394</f>
        <v>-0.0488628869026495</v>
      </c>
      <c r="X394" s="26" t="n">
        <f aca="false">2*(O394-G394)*(1-O394)*O394*F394</f>
        <v>-0.0139608248293284</v>
      </c>
    </row>
    <row r="395" customFormat="false" ht="14.25" hidden="false" customHeight="true" outlineLevel="0" collapsed="false">
      <c r="A395" s="37"/>
      <c r="B395" s="34" t="n">
        <v>71</v>
      </c>
      <c r="C395" s="28" t="n">
        <v>5.5</v>
      </c>
      <c r="D395" s="28" t="n">
        <v>2.4</v>
      </c>
      <c r="E395" s="28" t="n">
        <v>3.8</v>
      </c>
      <c r="F395" s="28" t="n">
        <v>1.1</v>
      </c>
      <c r="G395" s="35" t="n">
        <v>1</v>
      </c>
      <c r="H395" s="1" t="n">
        <f aca="false">IF(G395=P395, 1, 0)</f>
        <v>1</v>
      </c>
      <c r="I395" s="34" t="n">
        <f aca="false">I394-0.1*T394</f>
        <v>0.255409127484146</v>
      </c>
      <c r="J395" s="36" t="n">
        <f aca="false">J394-0.1*U394</f>
        <v>-0.254907874781827</v>
      </c>
      <c r="K395" s="36" t="n">
        <f aca="false">K394-0.1*V394</f>
        <v>-0.422951994560153</v>
      </c>
      <c r="L395" s="36" t="n">
        <f aca="false">L394-0.1*W394</f>
        <v>1.1130479239212</v>
      </c>
      <c r="M395" s="36" t="n">
        <f aca="false">M394-0.1*X394</f>
        <v>0.821300447076111</v>
      </c>
      <c r="N395" s="31" t="n">
        <f aca="false">I395+J395*C395+K395*D395+L395*E395+F395*M395</f>
        <v>2.971343631924</v>
      </c>
      <c r="O395" s="31" t="n">
        <f aca="false">1/(1+EXP(-N395))</f>
        <v>0.951262608326857</v>
      </c>
      <c r="P395" s="32" t="n">
        <f aca="false">IF(O395&gt;0.5,1,0)</f>
        <v>1</v>
      </c>
      <c r="Q395" s="32" t="n">
        <f aca="false">O395-G395</f>
        <v>-0.0487373916731428</v>
      </c>
      <c r="R395" s="33" t="n">
        <f aca="false">Q395^2</f>
        <v>0.00237533334710133</v>
      </c>
      <c r="T395" s="26" t="n">
        <f aca="false">2*(O395-G395)*(1-O395)*O395</f>
        <v>-0.00451913159081876</v>
      </c>
      <c r="U395" s="26" t="n">
        <f aca="false">2*(O395-G395)*(1-O395)*O395*C395</f>
        <v>-0.0248552237495032</v>
      </c>
      <c r="V395" s="26" t="n">
        <f aca="false">2*(O395-G395)*(1-O395)*O395*D395</f>
        <v>-0.010845915817965</v>
      </c>
      <c r="W395" s="26" t="n">
        <f aca="false">2*(O395-G395)*(1-O395)*O395*E395</f>
        <v>-0.0171727000451113</v>
      </c>
      <c r="X395" s="26" t="n">
        <f aca="false">2*(O395-G395)*(1-O395)*O395*F395</f>
        <v>-0.00497104474990063</v>
      </c>
    </row>
    <row r="396" customFormat="false" ht="14.25" hidden="false" customHeight="true" outlineLevel="0" collapsed="false">
      <c r="A396" s="37"/>
      <c r="B396" s="34" t="n">
        <v>72</v>
      </c>
      <c r="C396" s="28" t="n">
        <v>5.5</v>
      </c>
      <c r="D396" s="28" t="n">
        <v>2.4</v>
      </c>
      <c r="E396" s="28" t="n">
        <v>3.7</v>
      </c>
      <c r="F396" s="28" t="n">
        <v>1</v>
      </c>
      <c r="G396" s="35" t="n">
        <v>1</v>
      </c>
      <c r="H396" s="1" t="n">
        <f aca="false">IF(G396=P396, 1, 0)</f>
        <v>1</v>
      </c>
      <c r="I396" s="34" t="n">
        <f aca="false">I395-0.1*T395</f>
        <v>0.255861040643228</v>
      </c>
      <c r="J396" s="36" t="n">
        <f aca="false">J395-0.1*U395</f>
        <v>-0.252422352406876</v>
      </c>
      <c r="K396" s="36" t="n">
        <f aca="false">K395-0.1*V395</f>
        <v>-0.421867402978356</v>
      </c>
      <c r="L396" s="36" t="n">
        <f aca="false">L395-0.1*W395</f>
        <v>1.11476519392571</v>
      </c>
      <c r="M396" s="36" t="n">
        <f aca="false">M395-0.1*X395</f>
        <v>0.821797551551101</v>
      </c>
      <c r="N396" s="31" t="n">
        <f aca="false">I396+J396*C396+K396*D396+L396*E396+F396*M396</f>
        <v>2.80148510433357</v>
      </c>
      <c r="O396" s="31" t="n">
        <f aca="false">1/(1+EXP(-N396))</f>
        <v>0.942756023600056</v>
      </c>
      <c r="P396" s="32" t="n">
        <f aca="false">IF(O396&gt;0.5,1,0)</f>
        <v>1</v>
      </c>
      <c r="Q396" s="32" t="n">
        <f aca="false">O396-G396</f>
        <v>-0.0572439763999436</v>
      </c>
      <c r="R396" s="33" t="n">
        <f aca="false">Q396^2</f>
        <v>0.0032768728340773</v>
      </c>
      <c r="T396" s="26" t="n">
        <f aca="false">2*(O396-G396)*(1-O396)*O396</f>
        <v>-0.00617858320579553</v>
      </c>
      <c r="U396" s="26" t="n">
        <f aca="false">2*(O396-G396)*(1-O396)*O396*C396</f>
        <v>-0.0339822076318754</v>
      </c>
      <c r="V396" s="26" t="n">
        <f aca="false">2*(O396-G396)*(1-O396)*O396*D396</f>
        <v>-0.0148285996939093</v>
      </c>
      <c r="W396" s="26" t="n">
        <f aca="false">2*(O396-G396)*(1-O396)*O396*E396</f>
        <v>-0.0228607578614435</v>
      </c>
      <c r="X396" s="26" t="n">
        <f aca="false">2*(O396-G396)*(1-O396)*O396*F396</f>
        <v>-0.00617858320579553</v>
      </c>
    </row>
    <row r="397" customFormat="false" ht="14.25" hidden="false" customHeight="true" outlineLevel="0" collapsed="false">
      <c r="A397" s="37"/>
      <c r="B397" s="34" t="n">
        <v>73</v>
      </c>
      <c r="C397" s="28" t="n">
        <v>5.8</v>
      </c>
      <c r="D397" s="28" t="n">
        <v>2.7</v>
      </c>
      <c r="E397" s="28" t="n">
        <v>3.9</v>
      </c>
      <c r="F397" s="28" t="n">
        <v>1.2</v>
      </c>
      <c r="G397" s="35" t="n">
        <v>1</v>
      </c>
      <c r="H397" s="1" t="n">
        <f aca="false">IF(G397=P397, 1, 0)</f>
        <v>1</v>
      </c>
      <c r="I397" s="34" t="n">
        <f aca="false">I396-0.1*T396</f>
        <v>0.256478898963807</v>
      </c>
      <c r="J397" s="36" t="n">
        <f aca="false">J396-0.1*U396</f>
        <v>-0.249024131643689</v>
      </c>
      <c r="K397" s="36" t="n">
        <f aca="false">K396-0.1*V396</f>
        <v>-0.420384543008966</v>
      </c>
      <c r="L397" s="36" t="n">
        <f aca="false">L396-0.1*W396</f>
        <v>1.11705126971185</v>
      </c>
      <c r="M397" s="36" t="n">
        <f aca="false">M396-0.1*X396</f>
        <v>0.822415409871681</v>
      </c>
      <c r="N397" s="31" t="n">
        <f aca="false">I397+J397*C397+K397*D397+L397*E397+F397*M397</f>
        <v>3.02049911302844</v>
      </c>
      <c r="O397" s="31" t="n">
        <f aca="false">1/(1+EXP(-N397))</f>
        <v>0.953491663818073</v>
      </c>
      <c r="P397" s="32" t="n">
        <f aca="false">IF(O397&gt;0.5,1,0)</f>
        <v>1</v>
      </c>
      <c r="Q397" s="32" t="n">
        <f aca="false">O397-G397</f>
        <v>-0.0465083361819268</v>
      </c>
      <c r="R397" s="33" t="n">
        <f aca="false">Q397^2</f>
        <v>0.00216302533441113</v>
      </c>
      <c r="T397" s="26" t="n">
        <f aca="false">2*(O397-G397)*(1-O397)*O397</f>
        <v>-0.00412485324997662</v>
      </c>
      <c r="U397" s="26" t="n">
        <f aca="false">2*(O397-G397)*(1-O397)*O397*C397</f>
        <v>-0.0239241488498644</v>
      </c>
      <c r="V397" s="26" t="n">
        <f aca="false">2*(O397-G397)*(1-O397)*O397*D397</f>
        <v>-0.0111371037749369</v>
      </c>
      <c r="W397" s="26" t="n">
        <f aca="false">2*(O397-G397)*(1-O397)*O397*E397</f>
        <v>-0.0160869276749088</v>
      </c>
      <c r="X397" s="26" t="n">
        <f aca="false">2*(O397-G397)*(1-O397)*O397*F397</f>
        <v>-0.00494982389997194</v>
      </c>
    </row>
    <row r="398" customFormat="false" ht="14.25" hidden="false" customHeight="true" outlineLevel="0" collapsed="false">
      <c r="A398" s="37"/>
      <c r="B398" s="34" t="n">
        <v>74</v>
      </c>
      <c r="C398" s="28" t="n">
        <v>6</v>
      </c>
      <c r="D398" s="28" t="n">
        <v>2.7</v>
      </c>
      <c r="E398" s="28" t="n">
        <v>5.1</v>
      </c>
      <c r="F398" s="28" t="n">
        <v>1.6</v>
      </c>
      <c r="G398" s="35" t="n">
        <v>1</v>
      </c>
      <c r="H398" s="1" t="n">
        <f aca="false">IF(G398=P398, 1, 0)</f>
        <v>1</v>
      </c>
      <c r="I398" s="34" t="n">
        <f aca="false">I397-0.1*T397</f>
        <v>0.256891384288805</v>
      </c>
      <c r="J398" s="36" t="n">
        <f aca="false">J397-0.1*U397</f>
        <v>-0.246631716758702</v>
      </c>
      <c r="K398" s="36" t="n">
        <f aca="false">K397-0.1*V397</f>
        <v>-0.419270832631472</v>
      </c>
      <c r="L398" s="36" t="n">
        <f aca="false">L397-0.1*W397</f>
        <v>1.11865996247934</v>
      </c>
      <c r="M398" s="36" t="n">
        <f aca="false">M397-0.1*X397</f>
        <v>0.822910392261678</v>
      </c>
      <c r="N398" s="31" t="n">
        <f aca="false">I398+J398*C398+K398*D398+L398*E398+F398*M398</f>
        <v>4.66689227189495</v>
      </c>
      <c r="O398" s="31" t="n">
        <f aca="false">1/(1+EXP(-N398))</f>
        <v>0.990686122573966</v>
      </c>
      <c r="P398" s="32" t="n">
        <f aca="false">IF(O398&gt;0.5,1,0)</f>
        <v>1</v>
      </c>
      <c r="Q398" s="32" t="n">
        <f aca="false">O398-G398</f>
        <v>-0.00931387742603429</v>
      </c>
      <c r="R398" s="33" t="n">
        <f aca="false">Q398^2</f>
        <v>8.67483127071911E-005</v>
      </c>
      <c r="T398" s="26" t="n">
        <f aca="false">2*(O398-G398)*(1-O398)*O398</f>
        <v>-0.000171880699111442</v>
      </c>
      <c r="U398" s="26" t="n">
        <f aca="false">2*(O398-G398)*(1-O398)*O398*C398</f>
        <v>-0.00103128419466865</v>
      </c>
      <c r="V398" s="26" t="n">
        <f aca="false">2*(O398-G398)*(1-O398)*O398*D398</f>
        <v>-0.000464077887600894</v>
      </c>
      <c r="W398" s="26" t="n">
        <f aca="false">2*(O398-G398)*(1-O398)*O398*E398</f>
        <v>-0.000876591565468355</v>
      </c>
      <c r="X398" s="26" t="n">
        <f aca="false">2*(O398-G398)*(1-O398)*O398*F398</f>
        <v>-0.000275009118578307</v>
      </c>
    </row>
    <row r="399" customFormat="false" ht="14.25" hidden="false" customHeight="true" outlineLevel="0" collapsed="false">
      <c r="A399" s="37"/>
      <c r="B399" s="34" t="n">
        <v>75</v>
      </c>
      <c r="C399" s="28" t="n">
        <v>5.4</v>
      </c>
      <c r="D399" s="28" t="n">
        <v>3</v>
      </c>
      <c r="E399" s="28" t="n">
        <v>4.5</v>
      </c>
      <c r="F399" s="28" t="n">
        <v>1.5</v>
      </c>
      <c r="G399" s="35" t="n">
        <v>1</v>
      </c>
      <c r="H399" s="1" t="n">
        <f aca="false">IF(G399=P399, 1, 0)</f>
        <v>1</v>
      </c>
      <c r="I399" s="34" t="n">
        <f aca="false">I398-0.1*T398</f>
        <v>0.256908572358716</v>
      </c>
      <c r="J399" s="36" t="n">
        <f aca="false">J398-0.1*U398</f>
        <v>-0.246528588339236</v>
      </c>
      <c r="K399" s="36" t="n">
        <f aca="false">K398-0.1*V398</f>
        <v>-0.419224424842712</v>
      </c>
      <c r="L399" s="36" t="n">
        <f aca="false">L398-0.1*W398</f>
        <v>1.11874762163589</v>
      </c>
      <c r="M399" s="36" t="n">
        <f aca="false">M398-0.1*X398</f>
        <v>0.822937893173536</v>
      </c>
      <c r="N399" s="31" t="n">
        <f aca="false">I399+J399*C399+K399*D399+L399*E399+F399*M399</f>
        <v>3.93675205792052</v>
      </c>
      <c r="O399" s="31" t="n">
        <f aca="false">1/(1+EXP(-N399))</f>
        <v>0.980861928073901</v>
      </c>
      <c r="P399" s="32" t="n">
        <f aca="false">IF(O399&gt;0.5,1,0)</f>
        <v>1</v>
      </c>
      <c r="Q399" s="32" t="n">
        <f aca="false">O399-G399</f>
        <v>-0.0191380719260992</v>
      </c>
      <c r="R399" s="33" t="n">
        <f aca="false">Q399^2</f>
        <v>0.000366265797048545</v>
      </c>
      <c r="T399" s="26" t="n">
        <f aca="false">2*(O399-G399)*(1-O399)*O399</f>
        <v>-0.000718512351761121</v>
      </c>
      <c r="U399" s="26" t="n">
        <f aca="false">2*(O399-G399)*(1-O399)*O399*C399</f>
        <v>-0.00387996669951005</v>
      </c>
      <c r="V399" s="26" t="n">
        <f aca="false">2*(O399-G399)*(1-O399)*O399*D399</f>
        <v>-0.00215553705528336</v>
      </c>
      <c r="W399" s="26" t="n">
        <f aca="false">2*(O399-G399)*(1-O399)*O399*E399</f>
        <v>-0.00323330558292504</v>
      </c>
      <c r="X399" s="26" t="n">
        <f aca="false">2*(O399-G399)*(1-O399)*O399*F399</f>
        <v>-0.00107776852764168</v>
      </c>
    </row>
    <row r="400" customFormat="false" ht="14.25" hidden="false" customHeight="true" outlineLevel="0" collapsed="false">
      <c r="A400" s="37"/>
      <c r="B400" s="34" t="n">
        <v>76</v>
      </c>
      <c r="C400" s="28" t="n">
        <v>6</v>
      </c>
      <c r="D400" s="28" t="n">
        <v>3.4</v>
      </c>
      <c r="E400" s="28" t="n">
        <v>4.5</v>
      </c>
      <c r="F400" s="28" t="n">
        <v>1.6</v>
      </c>
      <c r="G400" s="35" t="n">
        <v>1</v>
      </c>
      <c r="H400" s="1" t="n">
        <f aca="false">IF(G400=P400, 1, 0)</f>
        <v>1</v>
      </c>
      <c r="I400" s="34" t="n">
        <f aca="false">I399-0.1*T399</f>
        <v>0.256980423593892</v>
      </c>
      <c r="J400" s="36" t="n">
        <f aca="false">J399-0.1*U399</f>
        <v>-0.246140591669285</v>
      </c>
      <c r="K400" s="36" t="n">
        <f aca="false">K399-0.1*V399</f>
        <v>-0.419008871137183</v>
      </c>
      <c r="L400" s="36" t="n">
        <f aca="false">L399-0.1*W399</f>
        <v>1.11907095219418</v>
      </c>
      <c r="M400" s="36" t="n">
        <f aca="false">M399-0.1*X399</f>
        <v>0.8230456700263</v>
      </c>
      <c r="N400" s="31" t="n">
        <f aca="false">I400+J400*C400+K400*D400+L400*E400+F400*M400</f>
        <v>3.70819906862766</v>
      </c>
      <c r="O400" s="31" t="n">
        <f aca="false">1/(1+EXP(-N400))</f>
        <v>0.976065273543526</v>
      </c>
      <c r="P400" s="32" t="n">
        <f aca="false">IF(O400&gt;0.5,1,0)</f>
        <v>1</v>
      </c>
      <c r="Q400" s="32" t="n">
        <f aca="false">O400-G400</f>
        <v>-0.0239347264564745</v>
      </c>
      <c r="R400" s="33" t="n">
        <f aca="false">Q400^2</f>
        <v>0.000572871130546262</v>
      </c>
      <c r="T400" s="26" t="n">
        <f aca="false">2*(O400-G400)*(1-O400)*O400</f>
        <v>-0.00111831923348365</v>
      </c>
      <c r="U400" s="26" t="n">
        <f aca="false">2*(O400-G400)*(1-O400)*O400*C400</f>
        <v>-0.00670991540090192</v>
      </c>
      <c r="V400" s="26" t="n">
        <f aca="false">2*(O400-G400)*(1-O400)*O400*D400</f>
        <v>-0.00380228539384442</v>
      </c>
      <c r="W400" s="26" t="n">
        <f aca="false">2*(O400-G400)*(1-O400)*O400*E400</f>
        <v>-0.00503243655067644</v>
      </c>
      <c r="X400" s="26" t="n">
        <f aca="false">2*(O400-G400)*(1-O400)*O400*F400</f>
        <v>-0.00178931077357384</v>
      </c>
    </row>
    <row r="401" customFormat="false" ht="14.25" hidden="false" customHeight="true" outlineLevel="0" collapsed="false">
      <c r="A401" s="37"/>
      <c r="B401" s="34" t="n">
        <v>77</v>
      </c>
      <c r="C401" s="28" t="n">
        <v>6.7</v>
      </c>
      <c r="D401" s="28" t="n">
        <v>3.1</v>
      </c>
      <c r="E401" s="28" t="n">
        <v>4.7</v>
      </c>
      <c r="F401" s="28" t="n">
        <v>1.5</v>
      </c>
      <c r="G401" s="35" t="n">
        <v>1</v>
      </c>
      <c r="H401" s="1" t="n">
        <f aca="false">IF(G401=P401, 1, 0)</f>
        <v>1</v>
      </c>
      <c r="I401" s="34" t="n">
        <f aca="false">I400-0.1*T400</f>
        <v>0.25709225551724</v>
      </c>
      <c r="J401" s="36" t="n">
        <f aca="false">J400-0.1*U400</f>
        <v>-0.245469600129194</v>
      </c>
      <c r="K401" s="36" t="n">
        <f aca="false">K400-0.1*V400</f>
        <v>-0.418628642597799</v>
      </c>
      <c r="L401" s="36" t="n">
        <f aca="false">L400-0.1*W400</f>
        <v>1.11957419584925</v>
      </c>
      <c r="M401" s="36" t="n">
        <f aca="false">M400-0.1*X400</f>
        <v>0.823224601103657</v>
      </c>
      <c r="N401" s="31" t="n">
        <f aca="false">I401+J401*C401+K401*D401+L401*E401+F401*M401</f>
        <v>3.81153276474542</v>
      </c>
      <c r="O401" s="31" t="n">
        <f aca="false">1/(1+EXP(-N401))</f>
        <v>0.978364202572025</v>
      </c>
      <c r="P401" s="32" t="n">
        <f aca="false">IF(O401&gt;0.5,1,0)</f>
        <v>1</v>
      </c>
      <c r="Q401" s="32" t="n">
        <f aca="false">O401-G401</f>
        <v>-0.0216357974279751</v>
      </c>
      <c r="R401" s="33" t="n">
        <f aca="false">Q401^2</f>
        <v>0.000468107730344372</v>
      </c>
      <c r="T401" s="26" t="n">
        <f aca="false">2*(O401-G401)*(1-O401)*O401</f>
        <v>-0.000915959692632344</v>
      </c>
      <c r="U401" s="26" t="n">
        <f aca="false">2*(O401-G401)*(1-O401)*O401*C401</f>
        <v>-0.00613692994063671</v>
      </c>
      <c r="V401" s="26" t="n">
        <f aca="false">2*(O401-G401)*(1-O401)*O401*D401</f>
        <v>-0.00283947504716027</v>
      </c>
      <c r="W401" s="26" t="n">
        <f aca="false">2*(O401-G401)*(1-O401)*O401*E401</f>
        <v>-0.00430501055537202</v>
      </c>
      <c r="X401" s="26" t="n">
        <f aca="false">2*(O401-G401)*(1-O401)*O401*F401</f>
        <v>-0.00137393953894852</v>
      </c>
    </row>
    <row r="402" customFormat="false" ht="14.25" hidden="false" customHeight="true" outlineLevel="0" collapsed="false">
      <c r="A402" s="37"/>
      <c r="B402" s="34" t="n">
        <v>78</v>
      </c>
      <c r="C402" s="28" t="n">
        <v>6.3</v>
      </c>
      <c r="D402" s="28" t="n">
        <v>2.3</v>
      </c>
      <c r="E402" s="28" t="n">
        <v>4.4</v>
      </c>
      <c r="F402" s="28" t="n">
        <v>1.3</v>
      </c>
      <c r="G402" s="35" t="n">
        <v>1</v>
      </c>
      <c r="H402" s="1" t="n">
        <f aca="false">IF(G402=P402, 1, 0)</f>
        <v>1</v>
      </c>
      <c r="I402" s="34" t="n">
        <f aca="false">I401-0.1*T401</f>
        <v>0.257183851486504</v>
      </c>
      <c r="J402" s="36" t="n">
        <f aca="false">J401-0.1*U401</f>
        <v>-0.244855907135131</v>
      </c>
      <c r="K402" s="36" t="n">
        <f aca="false">K401-0.1*V401</f>
        <v>-0.418344695093083</v>
      </c>
      <c r="L402" s="36" t="n">
        <f aca="false">L401-0.1*W401</f>
        <v>1.12000469690479</v>
      </c>
      <c r="M402" s="36" t="n">
        <f aca="false">M401-0.1*X401</f>
        <v>0.823361995057552</v>
      </c>
      <c r="N402" s="31" t="n">
        <f aca="false">I402+J402*C402+K402*D402+L402*E402+F402*M402</f>
        <v>3.75079009777697</v>
      </c>
      <c r="O402" s="31" t="n">
        <f aca="false">1/(1+EXP(-N402))</f>
        <v>0.977040360635744</v>
      </c>
      <c r="P402" s="32" t="n">
        <f aca="false">IF(O402&gt;0.5,1,0)</f>
        <v>1</v>
      </c>
      <c r="Q402" s="32" t="n">
        <f aca="false">O402-G402</f>
        <v>-0.0229596393642565</v>
      </c>
      <c r="R402" s="33" t="n">
        <f aca="false">Q402^2</f>
        <v>0.000527145039736716</v>
      </c>
      <c r="T402" s="26" t="n">
        <f aca="false">2*(O402-G402)*(1-O402)*O402</f>
        <v>-0.00103008395946341</v>
      </c>
      <c r="U402" s="26" t="n">
        <f aca="false">2*(O402-G402)*(1-O402)*O402*C402</f>
        <v>-0.00648952894461948</v>
      </c>
      <c r="V402" s="26" t="n">
        <f aca="false">2*(O402-G402)*(1-O402)*O402*D402</f>
        <v>-0.00236919310676584</v>
      </c>
      <c r="W402" s="26" t="n">
        <f aca="false">2*(O402-G402)*(1-O402)*O402*E402</f>
        <v>-0.004532369421639</v>
      </c>
      <c r="X402" s="26" t="n">
        <f aca="false">2*(O402-G402)*(1-O402)*O402*F402</f>
        <v>-0.00133910914730243</v>
      </c>
    </row>
    <row r="403" customFormat="false" ht="14.25" hidden="false" customHeight="true" outlineLevel="0" collapsed="false">
      <c r="A403" s="37"/>
      <c r="B403" s="34" t="n">
        <v>79</v>
      </c>
      <c r="C403" s="28" t="n">
        <v>5.6</v>
      </c>
      <c r="D403" s="28" t="n">
        <v>3</v>
      </c>
      <c r="E403" s="28" t="n">
        <v>4.1</v>
      </c>
      <c r="F403" s="28" t="n">
        <v>1.3</v>
      </c>
      <c r="G403" s="35" t="n">
        <v>1</v>
      </c>
      <c r="H403" s="1" t="n">
        <f aca="false">IF(G403=P403, 1, 0)</f>
        <v>1</v>
      </c>
      <c r="I403" s="34" t="n">
        <f aca="false">I402-0.1*T402</f>
        <v>0.25728685988245</v>
      </c>
      <c r="J403" s="36" t="n">
        <f aca="false">J402-0.1*U402</f>
        <v>-0.244206954240669</v>
      </c>
      <c r="K403" s="36" t="n">
        <f aca="false">K402-0.1*V402</f>
        <v>-0.418107775782406</v>
      </c>
      <c r="L403" s="36" t="n">
        <f aca="false">L402-0.1*W402</f>
        <v>1.12045793384695</v>
      </c>
      <c r="M403" s="36" t="n">
        <f aca="false">M402-0.1*X402</f>
        <v>0.823495905972283</v>
      </c>
      <c r="N403" s="31" t="n">
        <f aca="false">I403+J403*C403+K403*D403+L403*E403+F403*M403</f>
        <v>3.29982679532395</v>
      </c>
      <c r="O403" s="31" t="n">
        <f aca="false">1/(1+EXP(-N403))</f>
        <v>0.964422868310572</v>
      </c>
      <c r="P403" s="32" t="n">
        <f aca="false">IF(O403&gt;0.5,1,0)</f>
        <v>1</v>
      </c>
      <c r="Q403" s="32" t="n">
        <f aca="false">O403-G403</f>
        <v>-0.0355771316894282</v>
      </c>
      <c r="R403" s="33" t="n">
        <f aca="false">Q403^2</f>
        <v>0.00126573229924692</v>
      </c>
      <c r="T403" s="26" t="n">
        <f aca="false">2*(O403-G403)*(1-O403)*O403</f>
        <v>-0.0024414023491061</v>
      </c>
      <c r="U403" s="26" t="n">
        <f aca="false">2*(O403-G403)*(1-O403)*O403*C403</f>
        <v>-0.0136718531549941</v>
      </c>
      <c r="V403" s="26" t="n">
        <f aca="false">2*(O403-G403)*(1-O403)*O403*D403</f>
        <v>-0.00732420704731828</v>
      </c>
      <c r="W403" s="26" t="n">
        <f aca="false">2*(O403-G403)*(1-O403)*O403*E403</f>
        <v>-0.010009749631335</v>
      </c>
      <c r="X403" s="26" t="n">
        <f aca="false">2*(O403-G403)*(1-O403)*O403*F403</f>
        <v>-0.00317382305383792</v>
      </c>
    </row>
    <row r="404" customFormat="false" ht="14.25" hidden="false" customHeight="true" outlineLevel="0" collapsed="false">
      <c r="A404" s="37"/>
      <c r="B404" s="34" t="n">
        <v>80</v>
      </c>
      <c r="C404" s="28" t="n">
        <v>5.5</v>
      </c>
      <c r="D404" s="28" t="n">
        <v>2.5</v>
      </c>
      <c r="E404" s="28" t="n">
        <v>4</v>
      </c>
      <c r="F404" s="28" t="n">
        <v>1.3</v>
      </c>
      <c r="G404" s="35" t="n">
        <v>1</v>
      </c>
      <c r="H404" s="1" t="n">
        <f aca="false">IF(G404=P404, 1, 0)</f>
        <v>1</v>
      </c>
      <c r="I404" s="34" t="n">
        <f aca="false">I403-0.1*T403</f>
        <v>0.257531000117361</v>
      </c>
      <c r="J404" s="36" t="n">
        <f aca="false">J403-0.1*U403</f>
        <v>-0.242839768925169</v>
      </c>
      <c r="K404" s="36" t="n">
        <f aca="false">K403-0.1*V403</f>
        <v>-0.417375355077675</v>
      </c>
      <c r="L404" s="36" t="n">
        <f aca="false">L403-0.1*W403</f>
        <v>1.12145890881008</v>
      </c>
      <c r="M404" s="36" t="n">
        <f aca="false">M403-0.1*X403</f>
        <v>0.823813288277666</v>
      </c>
      <c r="N404" s="31" t="n">
        <f aca="false">I404+J404*C404+K404*D404+L404*E404+F404*M404</f>
        <v>3.43526679333605</v>
      </c>
      <c r="O404" s="31" t="n">
        <f aca="false">1/(1+EXP(-N404))</f>
        <v>0.968788714326686</v>
      </c>
      <c r="P404" s="32" t="n">
        <f aca="false">IF(O404&gt;0.5,1,0)</f>
        <v>1</v>
      </c>
      <c r="Q404" s="32" t="n">
        <f aca="false">O404-G404</f>
        <v>-0.0312112856733137</v>
      </c>
      <c r="R404" s="33" t="n">
        <f aca="false">Q404^2</f>
        <v>0.000974144353381195</v>
      </c>
      <c r="S404" s="1" t="n">
        <f aca="false">AVERAGE(R325:R404)</f>
        <v>0.0127401582089266</v>
      </c>
      <c r="T404" s="26" t="n">
        <f aca="false">2*(O404-G404)*(1-O404)*O404</f>
        <v>-0.00188748011136154</v>
      </c>
      <c r="U404" s="26" t="n">
        <f aca="false">2*(O404-G404)*(1-O404)*O404*C404</f>
        <v>-0.0103811406124885</v>
      </c>
      <c r="V404" s="26" t="n">
        <f aca="false">2*(O404-G404)*(1-O404)*O404*D404</f>
        <v>-0.00471870027840384</v>
      </c>
      <c r="W404" s="26" t="n">
        <f aca="false">2*(O404-G404)*(1-O404)*O404*E404</f>
        <v>-0.00754992044544615</v>
      </c>
      <c r="X404" s="26" t="n">
        <f aca="false">2*(O404-G404)*(1-O404)*O404*F404</f>
        <v>-0.00245372414477</v>
      </c>
    </row>
    <row r="405" customFormat="false" ht="14.25" hidden="false" customHeight="true" outlineLevel="0" collapsed="false">
      <c r="B405" s="34"/>
      <c r="C405" s="38"/>
      <c r="D405" s="36"/>
      <c r="E405" s="36"/>
      <c r="F405" s="36"/>
      <c r="G405" s="35"/>
      <c r="I405" s="34"/>
      <c r="J405" s="36"/>
      <c r="K405" s="36"/>
      <c r="L405" s="36"/>
      <c r="M405" s="36"/>
      <c r="N405" s="31"/>
      <c r="O405" s="31"/>
      <c r="P405" s="32"/>
      <c r="Q405" s="32"/>
      <c r="R405" s="33"/>
      <c r="T405" s="26"/>
      <c r="U405" s="26"/>
      <c r="V405" s="26"/>
      <c r="W405" s="26"/>
      <c r="X405" s="26"/>
    </row>
    <row r="406" customFormat="false" ht="14.25" hidden="false" customHeight="true" outlineLevel="0" collapsed="false">
      <c r="B406" s="34"/>
      <c r="C406" s="38"/>
      <c r="D406" s="36"/>
      <c r="E406" s="36"/>
      <c r="F406" s="36"/>
      <c r="G406" s="35"/>
      <c r="I406" s="34"/>
      <c r="J406" s="36"/>
      <c r="K406" s="36"/>
      <c r="L406" s="36"/>
      <c r="M406" s="36"/>
      <c r="N406" s="31"/>
      <c r="O406" s="31"/>
      <c r="P406" s="32"/>
      <c r="Q406" s="32"/>
      <c r="R406" s="33"/>
      <c r="T406" s="26"/>
      <c r="U406" s="26"/>
      <c r="V406" s="26"/>
      <c r="W406" s="26"/>
      <c r="X406" s="26"/>
    </row>
    <row r="407" customFormat="false" ht="14.25" hidden="false" customHeight="true" outlineLevel="0" collapsed="false">
      <c r="B407" s="34" t="s">
        <v>37</v>
      </c>
      <c r="C407" s="38"/>
      <c r="D407" s="36"/>
      <c r="E407" s="36" t="s">
        <v>38</v>
      </c>
      <c r="F407" s="36"/>
      <c r="G407" s="35"/>
      <c r="I407" s="34"/>
      <c r="J407" s="36"/>
      <c r="K407" s="36"/>
      <c r="L407" s="36"/>
      <c r="M407" s="36"/>
      <c r="N407" s="31"/>
      <c r="O407" s="31"/>
      <c r="P407" s="32"/>
      <c r="Q407" s="32"/>
      <c r="R407" s="33"/>
      <c r="T407" s="26"/>
      <c r="U407" s="26"/>
      <c r="V407" s="26"/>
      <c r="W407" s="26"/>
      <c r="X407" s="26"/>
    </row>
    <row r="408" customFormat="false" ht="14.25" hidden="false" customHeight="true" outlineLevel="0" collapsed="false">
      <c r="B408" s="34" t="s">
        <v>39</v>
      </c>
      <c r="C408" s="38" t="s">
        <v>40</v>
      </c>
      <c r="D408" s="36"/>
      <c r="E408" s="36" t="s">
        <v>39</v>
      </c>
      <c r="F408" s="36" t="s">
        <v>41</v>
      </c>
      <c r="G408" s="35"/>
      <c r="I408" s="34"/>
      <c r="J408" s="36"/>
      <c r="K408" s="36"/>
      <c r="L408" s="36"/>
      <c r="M408" s="36"/>
      <c r="N408" s="31"/>
      <c r="O408" s="31"/>
      <c r="P408" s="32"/>
      <c r="Q408" s="32"/>
      <c r="R408" s="33"/>
      <c r="T408" s="26"/>
      <c r="U408" s="26"/>
      <c r="V408" s="26"/>
      <c r="W408" s="26"/>
      <c r="X408" s="26"/>
    </row>
    <row r="409" customFormat="false" ht="14.25" hidden="false" customHeight="true" outlineLevel="0" collapsed="false">
      <c r="B409" s="34" t="s">
        <v>42</v>
      </c>
      <c r="C409" s="38" t="n">
        <f aca="false">S84</f>
        <v>0.449888655139529</v>
      </c>
      <c r="D409" s="36"/>
      <c r="E409" s="36" t="s">
        <v>42</v>
      </c>
      <c r="F409" s="36" t="n">
        <f aca="false">SUM(H5:H84)/80</f>
        <v>0.525</v>
      </c>
      <c r="G409" s="35"/>
      <c r="I409" s="34"/>
      <c r="J409" s="36"/>
      <c r="K409" s="36"/>
      <c r="L409" s="36"/>
      <c r="M409" s="36"/>
      <c r="N409" s="31"/>
      <c r="O409" s="31"/>
      <c r="P409" s="32"/>
      <c r="Q409" s="32"/>
      <c r="R409" s="33"/>
      <c r="T409" s="26"/>
      <c r="U409" s="26"/>
      <c r="V409" s="26"/>
      <c r="W409" s="26"/>
      <c r="X409" s="26"/>
    </row>
    <row r="410" customFormat="false" ht="14.25" hidden="false" customHeight="true" outlineLevel="0" collapsed="false">
      <c r="B410" s="34" t="s">
        <v>43</v>
      </c>
      <c r="C410" s="38" t="n">
        <f aca="false">S164</f>
        <v>0.0374519142280995</v>
      </c>
      <c r="D410" s="36"/>
      <c r="E410" s="36" t="s">
        <v>43</v>
      </c>
      <c r="F410" s="36" t="n">
        <f aca="false">SUM(H85:H164)/80</f>
        <v>0.95</v>
      </c>
      <c r="G410" s="35"/>
      <c r="I410" s="34"/>
      <c r="J410" s="36"/>
      <c r="K410" s="36"/>
      <c r="L410" s="36"/>
      <c r="M410" s="36"/>
      <c r="N410" s="31"/>
      <c r="O410" s="31"/>
      <c r="P410" s="32"/>
      <c r="Q410" s="32"/>
      <c r="R410" s="33"/>
      <c r="T410" s="26"/>
      <c r="U410" s="26"/>
      <c r="V410" s="26"/>
      <c r="W410" s="26"/>
      <c r="X410" s="26"/>
    </row>
    <row r="411" customFormat="false" ht="14.25" hidden="false" customHeight="true" outlineLevel="0" collapsed="false">
      <c r="B411" s="34" t="s">
        <v>44</v>
      </c>
      <c r="C411" s="38" t="n">
        <f aca="false">S244</f>
        <v>0.0243721949963938</v>
      </c>
      <c r="D411" s="36"/>
      <c r="E411" s="36" t="s">
        <v>44</v>
      </c>
      <c r="F411" s="36" t="n">
        <f aca="false">SUM(H165:H244)/80</f>
        <v>0.975</v>
      </c>
      <c r="G411" s="35"/>
      <c r="I411" s="34"/>
      <c r="J411" s="36"/>
      <c r="K411" s="36"/>
      <c r="L411" s="36"/>
      <c r="M411" s="36"/>
      <c r="N411" s="31"/>
      <c r="O411" s="31"/>
      <c r="P411" s="32"/>
      <c r="Q411" s="32"/>
      <c r="R411" s="33"/>
      <c r="T411" s="26"/>
      <c r="U411" s="26"/>
      <c r="V411" s="26"/>
      <c r="W411" s="26"/>
      <c r="X411" s="26"/>
    </row>
    <row r="412" customFormat="false" ht="14.25" hidden="false" customHeight="true" outlineLevel="0" collapsed="false">
      <c r="B412" s="34" t="s">
        <v>45</v>
      </c>
      <c r="C412" s="38" t="n">
        <f aca="false">S324</f>
        <v>0.0173572016784266</v>
      </c>
      <c r="D412" s="36"/>
      <c r="E412" s="36" t="s">
        <v>45</v>
      </c>
      <c r="F412" s="36" t="n">
        <f aca="false">SUM(H245:H324)/80</f>
        <v>0.975</v>
      </c>
      <c r="G412" s="35"/>
      <c r="I412" s="34"/>
      <c r="J412" s="36"/>
      <c r="K412" s="36"/>
      <c r="L412" s="36"/>
      <c r="M412" s="36"/>
      <c r="N412" s="31"/>
      <c r="O412" s="31"/>
      <c r="P412" s="32"/>
      <c r="Q412" s="32"/>
      <c r="R412" s="33"/>
      <c r="T412" s="26"/>
      <c r="U412" s="26"/>
      <c r="V412" s="26"/>
      <c r="W412" s="26"/>
      <c r="X412" s="26"/>
    </row>
    <row r="413" customFormat="false" ht="14.25" hidden="false" customHeight="true" outlineLevel="0" collapsed="false">
      <c r="B413" s="34" t="s">
        <v>46</v>
      </c>
      <c r="C413" s="38" t="n">
        <f aca="false">S404</f>
        <v>0.0127401582089266</v>
      </c>
      <c r="D413" s="36"/>
      <c r="E413" s="36" t="s">
        <v>46</v>
      </c>
      <c r="F413" s="36" t="n">
        <f aca="false">SUM(H325:H404)/80</f>
        <v>0.9875</v>
      </c>
      <c r="G413" s="35"/>
      <c r="I413" s="34"/>
      <c r="J413" s="36"/>
      <c r="K413" s="36"/>
      <c r="L413" s="36"/>
      <c r="M413" s="36"/>
      <c r="N413" s="31"/>
      <c r="O413" s="31"/>
      <c r="P413" s="32"/>
      <c r="Q413" s="32"/>
      <c r="R413" s="33"/>
      <c r="T413" s="26"/>
      <c r="U413" s="26"/>
      <c r="V413" s="26"/>
      <c r="W413" s="26"/>
      <c r="X413" s="26"/>
    </row>
    <row r="414" customFormat="false" ht="14.25" hidden="false" customHeight="true" outlineLevel="0" collapsed="false">
      <c r="B414" s="34"/>
      <c r="C414" s="38"/>
      <c r="D414" s="36"/>
      <c r="E414" s="36"/>
      <c r="F414" s="36"/>
      <c r="G414" s="35"/>
      <c r="I414" s="34"/>
      <c r="J414" s="36"/>
      <c r="K414" s="36"/>
      <c r="L414" s="36"/>
      <c r="M414" s="36"/>
      <c r="N414" s="31"/>
      <c r="O414" s="31"/>
      <c r="P414" s="32"/>
      <c r="Q414" s="32"/>
      <c r="R414" s="33"/>
      <c r="T414" s="26"/>
      <c r="U414" s="26"/>
      <c r="V414" s="26"/>
      <c r="W414" s="26"/>
      <c r="X414" s="26"/>
    </row>
    <row r="415" customFormat="false" ht="14.25" hidden="false" customHeight="true" outlineLevel="0" collapsed="false">
      <c r="B415" s="34"/>
      <c r="C415" s="38"/>
      <c r="D415" s="36"/>
      <c r="E415" s="36"/>
      <c r="F415" s="36"/>
      <c r="G415" s="35"/>
      <c r="I415" s="34"/>
      <c r="J415" s="36"/>
      <c r="K415" s="36"/>
      <c r="L415" s="36"/>
      <c r="M415" s="36"/>
      <c r="N415" s="31"/>
      <c r="O415" s="31"/>
      <c r="P415" s="32"/>
      <c r="Q415" s="32"/>
      <c r="R415" s="33"/>
      <c r="T415" s="26"/>
      <c r="U415" s="26"/>
      <c r="V415" s="26"/>
      <c r="W415" s="26"/>
      <c r="X415" s="26"/>
    </row>
    <row r="416" customFormat="false" ht="14.25" hidden="false" customHeight="true" outlineLevel="0" collapsed="false">
      <c r="B416" s="34"/>
      <c r="C416" s="38"/>
      <c r="D416" s="36"/>
      <c r="E416" s="36"/>
      <c r="F416" s="36"/>
      <c r="G416" s="35"/>
      <c r="I416" s="34"/>
      <c r="J416" s="36"/>
      <c r="K416" s="36"/>
      <c r="L416" s="36"/>
      <c r="M416" s="36"/>
      <c r="N416" s="31"/>
      <c r="O416" s="31"/>
      <c r="P416" s="32"/>
      <c r="Q416" s="32"/>
      <c r="R416" s="33"/>
      <c r="T416" s="26"/>
      <c r="U416" s="26"/>
      <c r="V416" s="26"/>
      <c r="W416" s="26"/>
      <c r="X416" s="26"/>
    </row>
    <row r="417" customFormat="false" ht="14.25" hidden="false" customHeight="true" outlineLevel="0" collapsed="false">
      <c r="B417" s="34"/>
      <c r="C417" s="38"/>
      <c r="D417" s="36"/>
      <c r="E417" s="36"/>
      <c r="F417" s="36"/>
      <c r="G417" s="35"/>
      <c r="I417" s="34"/>
      <c r="J417" s="36"/>
      <c r="K417" s="36"/>
      <c r="L417" s="36"/>
      <c r="M417" s="36"/>
      <c r="N417" s="31"/>
      <c r="O417" s="31"/>
      <c r="P417" s="32"/>
      <c r="Q417" s="32"/>
      <c r="R417" s="33"/>
      <c r="T417" s="26"/>
      <c r="U417" s="26"/>
      <c r="V417" s="26"/>
      <c r="W417" s="26"/>
      <c r="X417" s="26"/>
    </row>
    <row r="418" customFormat="false" ht="14.25" hidden="false" customHeight="true" outlineLevel="0" collapsed="false">
      <c r="B418" s="34"/>
      <c r="C418" s="38"/>
      <c r="D418" s="36"/>
      <c r="E418" s="36"/>
      <c r="F418" s="36"/>
      <c r="G418" s="35"/>
      <c r="I418" s="34"/>
      <c r="J418" s="36"/>
      <c r="K418" s="36"/>
      <c r="L418" s="36"/>
      <c r="M418" s="36"/>
      <c r="N418" s="31"/>
      <c r="O418" s="31"/>
      <c r="P418" s="32"/>
      <c r="Q418" s="32"/>
      <c r="R418" s="33"/>
      <c r="T418" s="26"/>
      <c r="U418" s="26"/>
      <c r="V418" s="26"/>
      <c r="W418" s="26"/>
      <c r="X418" s="26"/>
    </row>
    <row r="419" customFormat="false" ht="14.25" hidden="false" customHeight="true" outlineLevel="0" collapsed="false">
      <c r="B419" s="34"/>
      <c r="C419" s="38"/>
      <c r="D419" s="36"/>
      <c r="E419" s="36"/>
      <c r="F419" s="36"/>
      <c r="G419" s="35"/>
      <c r="I419" s="34"/>
      <c r="J419" s="36"/>
      <c r="K419" s="36"/>
      <c r="L419" s="36"/>
      <c r="M419" s="36"/>
      <c r="N419" s="31"/>
      <c r="O419" s="31"/>
      <c r="P419" s="32"/>
      <c r="Q419" s="32"/>
      <c r="R419" s="33"/>
      <c r="T419" s="26"/>
      <c r="U419" s="26"/>
      <c r="V419" s="26"/>
      <c r="W419" s="26"/>
      <c r="X419" s="26"/>
    </row>
    <row r="420" customFormat="false" ht="14.25" hidden="false" customHeight="true" outlineLevel="0" collapsed="false">
      <c r="B420" s="34"/>
      <c r="C420" s="38"/>
      <c r="D420" s="36"/>
      <c r="E420" s="36"/>
      <c r="F420" s="36"/>
      <c r="G420" s="35"/>
      <c r="I420" s="34"/>
      <c r="J420" s="36"/>
      <c r="K420" s="36"/>
      <c r="L420" s="36"/>
      <c r="M420" s="36"/>
      <c r="N420" s="31"/>
      <c r="O420" s="31"/>
      <c r="P420" s="32"/>
      <c r="Q420" s="32"/>
      <c r="R420" s="33"/>
      <c r="T420" s="26"/>
      <c r="U420" s="26"/>
      <c r="V420" s="26"/>
      <c r="W420" s="26"/>
      <c r="X420" s="26"/>
    </row>
    <row r="421" customFormat="false" ht="14.25" hidden="false" customHeight="true" outlineLevel="0" collapsed="false">
      <c r="B421" s="34"/>
      <c r="C421" s="38"/>
      <c r="D421" s="36"/>
      <c r="E421" s="36"/>
      <c r="F421" s="36"/>
      <c r="G421" s="35"/>
      <c r="I421" s="34"/>
      <c r="J421" s="36"/>
      <c r="K421" s="36"/>
      <c r="L421" s="36"/>
      <c r="M421" s="36"/>
      <c r="N421" s="31"/>
      <c r="O421" s="31"/>
      <c r="P421" s="32"/>
      <c r="Q421" s="32"/>
      <c r="R421" s="33"/>
      <c r="T421" s="26"/>
      <c r="U421" s="26"/>
      <c r="V421" s="26"/>
      <c r="W421" s="26"/>
      <c r="X421" s="26"/>
    </row>
    <row r="422" customFormat="false" ht="14.25" hidden="false" customHeight="true" outlineLevel="0" collapsed="false">
      <c r="B422" s="34"/>
      <c r="C422" s="38"/>
      <c r="D422" s="36"/>
      <c r="E422" s="36"/>
      <c r="F422" s="36"/>
      <c r="G422" s="35"/>
      <c r="I422" s="34"/>
      <c r="J422" s="36"/>
      <c r="K422" s="36"/>
      <c r="L422" s="36"/>
      <c r="M422" s="36"/>
      <c r="N422" s="31"/>
      <c r="O422" s="31"/>
      <c r="P422" s="32"/>
      <c r="Q422" s="32"/>
      <c r="R422" s="33"/>
      <c r="T422" s="26"/>
      <c r="U422" s="26"/>
      <c r="V422" s="26"/>
      <c r="W422" s="26"/>
      <c r="X422" s="26"/>
    </row>
    <row r="423" customFormat="false" ht="14.25" hidden="false" customHeight="true" outlineLevel="0" collapsed="false">
      <c r="B423" s="34"/>
      <c r="C423" s="38"/>
      <c r="D423" s="36"/>
      <c r="E423" s="36"/>
      <c r="F423" s="36"/>
      <c r="G423" s="35"/>
      <c r="I423" s="34"/>
      <c r="J423" s="36"/>
      <c r="K423" s="36"/>
      <c r="L423" s="36"/>
      <c r="M423" s="36"/>
      <c r="N423" s="31"/>
      <c r="O423" s="31"/>
      <c r="P423" s="32"/>
      <c r="Q423" s="32"/>
      <c r="R423" s="33"/>
      <c r="T423" s="26"/>
      <c r="U423" s="26"/>
      <c r="V423" s="26"/>
      <c r="W423" s="26"/>
      <c r="X423" s="26"/>
    </row>
    <row r="424" customFormat="false" ht="14.25" hidden="false" customHeight="true" outlineLevel="0" collapsed="false">
      <c r="B424" s="34"/>
      <c r="C424" s="38"/>
      <c r="D424" s="36"/>
      <c r="E424" s="36"/>
      <c r="F424" s="36"/>
      <c r="G424" s="35"/>
      <c r="I424" s="34"/>
      <c r="J424" s="36"/>
      <c r="K424" s="36"/>
      <c r="L424" s="36"/>
      <c r="M424" s="36"/>
      <c r="N424" s="31"/>
      <c r="O424" s="31"/>
      <c r="P424" s="32"/>
      <c r="Q424" s="32"/>
      <c r="R424" s="33"/>
      <c r="T424" s="26"/>
      <c r="U424" s="26"/>
      <c r="V424" s="26"/>
      <c r="W424" s="26"/>
      <c r="X424" s="26"/>
    </row>
    <row r="425" customFormat="false" ht="14.25" hidden="false" customHeight="true" outlineLevel="0" collapsed="false">
      <c r="B425" s="34"/>
      <c r="C425" s="38"/>
      <c r="D425" s="36"/>
      <c r="E425" s="36"/>
      <c r="F425" s="36"/>
      <c r="G425" s="35"/>
      <c r="I425" s="34"/>
      <c r="J425" s="36"/>
      <c r="K425" s="36"/>
      <c r="L425" s="36"/>
      <c r="M425" s="36"/>
      <c r="N425" s="31"/>
      <c r="O425" s="31"/>
      <c r="P425" s="32"/>
      <c r="Q425" s="32"/>
      <c r="R425" s="33"/>
      <c r="T425" s="26"/>
      <c r="U425" s="26"/>
      <c r="V425" s="26"/>
      <c r="W425" s="26"/>
      <c r="X425" s="26"/>
    </row>
    <row r="426" customFormat="false" ht="14.25" hidden="false" customHeight="true" outlineLevel="0" collapsed="false">
      <c r="B426" s="34"/>
      <c r="C426" s="38"/>
      <c r="D426" s="36"/>
      <c r="E426" s="36"/>
      <c r="F426" s="36"/>
      <c r="G426" s="35"/>
      <c r="I426" s="34"/>
      <c r="J426" s="36"/>
      <c r="K426" s="36"/>
      <c r="L426" s="36"/>
      <c r="M426" s="36"/>
      <c r="N426" s="31"/>
      <c r="O426" s="31"/>
      <c r="P426" s="32"/>
      <c r="Q426" s="32"/>
      <c r="R426" s="33"/>
      <c r="T426" s="26"/>
      <c r="U426" s="26"/>
      <c r="V426" s="26"/>
      <c r="W426" s="26"/>
      <c r="X426" s="26"/>
    </row>
    <row r="427" customFormat="false" ht="14.25" hidden="false" customHeight="true" outlineLevel="0" collapsed="false">
      <c r="B427" s="34"/>
      <c r="C427" s="38"/>
      <c r="D427" s="36"/>
      <c r="E427" s="36"/>
      <c r="F427" s="36"/>
      <c r="G427" s="35"/>
      <c r="I427" s="34"/>
      <c r="J427" s="36"/>
      <c r="K427" s="36"/>
      <c r="L427" s="36"/>
      <c r="M427" s="36"/>
      <c r="N427" s="31"/>
      <c r="O427" s="31"/>
      <c r="P427" s="32"/>
      <c r="Q427" s="32"/>
      <c r="R427" s="33"/>
      <c r="T427" s="26"/>
      <c r="U427" s="26"/>
      <c r="V427" s="26"/>
      <c r="W427" s="26"/>
      <c r="X427" s="26"/>
    </row>
    <row r="428" customFormat="false" ht="14.25" hidden="false" customHeight="true" outlineLevel="0" collapsed="false">
      <c r="B428" s="34"/>
      <c r="C428" s="38"/>
      <c r="D428" s="36"/>
      <c r="E428" s="36"/>
      <c r="F428" s="36"/>
      <c r="G428" s="35"/>
      <c r="I428" s="34"/>
      <c r="J428" s="36"/>
      <c r="K428" s="36"/>
      <c r="L428" s="36"/>
      <c r="M428" s="36"/>
      <c r="N428" s="31"/>
      <c r="O428" s="31"/>
      <c r="P428" s="32"/>
      <c r="Q428" s="32"/>
      <c r="R428" s="33"/>
      <c r="T428" s="26"/>
      <c r="U428" s="26"/>
      <c r="V428" s="26"/>
      <c r="W428" s="26"/>
      <c r="X428" s="26"/>
    </row>
    <row r="429" customFormat="false" ht="14.25" hidden="false" customHeight="true" outlineLevel="0" collapsed="false">
      <c r="B429" s="34"/>
      <c r="C429" s="38"/>
      <c r="D429" s="36"/>
      <c r="E429" s="36"/>
      <c r="F429" s="36"/>
      <c r="G429" s="35"/>
      <c r="I429" s="34"/>
      <c r="J429" s="36"/>
      <c r="K429" s="36"/>
      <c r="L429" s="36"/>
      <c r="M429" s="36"/>
      <c r="N429" s="31"/>
      <c r="O429" s="31"/>
      <c r="P429" s="32"/>
      <c r="Q429" s="32"/>
      <c r="R429" s="33"/>
      <c r="T429" s="26"/>
      <c r="U429" s="26"/>
      <c r="V429" s="26"/>
      <c r="W429" s="26"/>
      <c r="X429" s="26"/>
    </row>
    <row r="430" customFormat="false" ht="14.25" hidden="false" customHeight="true" outlineLevel="0" collapsed="false">
      <c r="B430" s="34"/>
      <c r="C430" s="38"/>
      <c r="D430" s="36"/>
      <c r="E430" s="36"/>
      <c r="F430" s="36"/>
      <c r="G430" s="35"/>
      <c r="I430" s="34"/>
      <c r="J430" s="36"/>
      <c r="K430" s="36"/>
      <c r="L430" s="36"/>
      <c r="M430" s="36"/>
      <c r="N430" s="31"/>
      <c r="O430" s="31"/>
      <c r="P430" s="32"/>
      <c r="Q430" s="32"/>
      <c r="R430" s="33"/>
      <c r="T430" s="26"/>
      <c r="U430" s="26"/>
      <c r="V430" s="26"/>
      <c r="W430" s="26"/>
      <c r="X430" s="26"/>
    </row>
    <row r="431" customFormat="false" ht="14.25" hidden="false" customHeight="true" outlineLevel="0" collapsed="false">
      <c r="B431" s="34"/>
      <c r="C431" s="38"/>
      <c r="D431" s="36"/>
      <c r="E431" s="36"/>
      <c r="F431" s="36"/>
      <c r="G431" s="35"/>
      <c r="I431" s="34"/>
      <c r="J431" s="36"/>
      <c r="K431" s="36"/>
      <c r="L431" s="36"/>
      <c r="M431" s="36"/>
      <c r="N431" s="31"/>
      <c r="O431" s="31"/>
      <c r="P431" s="32"/>
      <c r="Q431" s="32"/>
      <c r="R431" s="33"/>
      <c r="T431" s="26"/>
      <c r="U431" s="26"/>
      <c r="V431" s="26"/>
      <c r="W431" s="26"/>
      <c r="X431" s="26"/>
    </row>
    <row r="432" customFormat="false" ht="14.25" hidden="false" customHeight="true" outlineLevel="0" collapsed="false">
      <c r="B432" s="34"/>
      <c r="C432" s="38"/>
      <c r="D432" s="36"/>
      <c r="E432" s="36"/>
      <c r="F432" s="36"/>
      <c r="G432" s="35"/>
      <c r="I432" s="34"/>
      <c r="J432" s="36"/>
      <c r="K432" s="36"/>
      <c r="L432" s="36"/>
      <c r="M432" s="36"/>
      <c r="N432" s="31"/>
      <c r="O432" s="31"/>
      <c r="P432" s="32"/>
      <c r="Q432" s="32"/>
      <c r="R432" s="33"/>
      <c r="T432" s="26"/>
      <c r="U432" s="26"/>
      <c r="V432" s="26"/>
      <c r="W432" s="26"/>
      <c r="X432" s="26"/>
    </row>
    <row r="433" customFormat="false" ht="14.25" hidden="false" customHeight="true" outlineLevel="0" collapsed="false">
      <c r="B433" s="34"/>
      <c r="C433" s="38"/>
      <c r="D433" s="36"/>
      <c r="E433" s="36"/>
      <c r="F433" s="36"/>
      <c r="G433" s="35"/>
      <c r="I433" s="34"/>
      <c r="J433" s="36"/>
      <c r="K433" s="36"/>
      <c r="L433" s="36"/>
      <c r="M433" s="36"/>
      <c r="N433" s="31"/>
      <c r="O433" s="31"/>
      <c r="P433" s="32"/>
      <c r="Q433" s="32"/>
      <c r="R433" s="33"/>
      <c r="T433" s="26"/>
      <c r="U433" s="26"/>
      <c r="V433" s="26"/>
      <c r="W433" s="26"/>
      <c r="X433" s="26"/>
    </row>
    <row r="434" customFormat="false" ht="14.25" hidden="false" customHeight="true" outlineLevel="0" collapsed="false">
      <c r="B434" s="34"/>
      <c r="C434" s="38"/>
      <c r="D434" s="36"/>
      <c r="E434" s="36"/>
      <c r="F434" s="36"/>
      <c r="G434" s="35"/>
      <c r="I434" s="34"/>
      <c r="J434" s="36"/>
      <c r="K434" s="36"/>
      <c r="L434" s="36"/>
      <c r="M434" s="36"/>
      <c r="N434" s="31"/>
      <c r="O434" s="31"/>
      <c r="P434" s="32"/>
      <c r="Q434" s="32"/>
      <c r="R434" s="33"/>
      <c r="T434" s="26"/>
      <c r="U434" s="26"/>
      <c r="V434" s="26"/>
      <c r="W434" s="26"/>
      <c r="X434" s="26"/>
    </row>
    <row r="435" customFormat="false" ht="14.25" hidden="false" customHeight="true" outlineLevel="0" collapsed="false">
      <c r="B435" s="34"/>
      <c r="C435" s="38"/>
      <c r="D435" s="36"/>
      <c r="E435" s="36"/>
      <c r="F435" s="36"/>
      <c r="G435" s="35"/>
      <c r="I435" s="34"/>
      <c r="J435" s="36"/>
      <c r="K435" s="36"/>
      <c r="L435" s="36"/>
      <c r="M435" s="36"/>
      <c r="N435" s="31"/>
      <c r="O435" s="31"/>
      <c r="P435" s="32"/>
      <c r="Q435" s="32"/>
      <c r="R435" s="33"/>
      <c r="T435" s="26"/>
      <c r="U435" s="26"/>
      <c r="V435" s="26"/>
      <c r="W435" s="26"/>
      <c r="X435" s="26"/>
    </row>
    <row r="436" customFormat="false" ht="14.25" hidden="false" customHeight="true" outlineLevel="0" collapsed="false">
      <c r="B436" s="34"/>
      <c r="C436" s="38"/>
      <c r="D436" s="36"/>
      <c r="E436" s="36"/>
      <c r="F436" s="36"/>
      <c r="G436" s="35"/>
      <c r="I436" s="34"/>
      <c r="J436" s="36"/>
      <c r="K436" s="36"/>
      <c r="L436" s="36"/>
      <c r="M436" s="36"/>
      <c r="N436" s="31"/>
      <c r="O436" s="31"/>
      <c r="P436" s="32"/>
      <c r="Q436" s="32"/>
      <c r="R436" s="33"/>
      <c r="T436" s="26"/>
      <c r="U436" s="26"/>
      <c r="V436" s="26"/>
      <c r="W436" s="26"/>
      <c r="X436" s="26"/>
    </row>
    <row r="437" customFormat="false" ht="14.25" hidden="false" customHeight="true" outlineLevel="0" collapsed="false">
      <c r="B437" s="34"/>
      <c r="C437" s="38"/>
      <c r="D437" s="36"/>
      <c r="E437" s="36"/>
      <c r="F437" s="36"/>
      <c r="G437" s="35"/>
      <c r="I437" s="34"/>
      <c r="J437" s="36"/>
      <c r="K437" s="36"/>
      <c r="L437" s="36"/>
      <c r="M437" s="36"/>
      <c r="N437" s="31"/>
      <c r="O437" s="31"/>
      <c r="P437" s="32"/>
      <c r="Q437" s="32"/>
      <c r="R437" s="33"/>
      <c r="T437" s="26"/>
      <c r="U437" s="26"/>
      <c r="V437" s="26"/>
      <c r="W437" s="26"/>
      <c r="X437" s="26"/>
    </row>
    <row r="438" customFormat="false" ht="14.25" hidden="false" customHeight="true" outlineLevel="0" collapsed="false">
      <c r="B438" s="34"/>
      <c r="C438" s="38"/>
      <c r="D438" s="36"/>
      <c r="E438" s="36"/>
      <c r="F438" s="36"/>
      <c r="G438" s="35"/>
      <c r="I438" s="34"/>
      <c r="J438" s="36"/>
      <c r="K438" s="36"/>
      <c r="L438" s="36"/>
      <c r="M438" s="36"/>
      <c r="N438" s="31"/>
      <c r="O438" s="31"/>
      <c r="P438" s="32"/>
      <c r="Q438" s="32"/>
      <c r="R438" s="33"/>
      <c r="T438" s="26"/>
      <c r="U438" s="26"/>
      <c r="V438" s="26"/>
      <c r="W438" s="26"/>
      <c r="X438" s="26"/>
    </row>
    <row r="439" customFormat="false" ht="14.25" hidden="false" customHeight="true" outlineLevel="0" collapsed="false">
      <c r="B439" s="34"/>
      <c r="C439" s="38"/>
      <c r="D439" s="36"/>
      <c r="E439" s="36"/>
      <c r="F439" s="36"/>
      <c r="G439" s="35"/>
      <c r="I439" s="34"/>
      <c r="J439" s="36"/>
      <c r="K439" s="36"/>
      <c r="L439" s="36"/>
      <c r="M439" s="36"/>
      <c r="N439" s="31"/>
      <c r="O439" s="31"/>
      <c r="P439" s="32"/>
      <c r="Q439" s="32"/>
      <c r="R439" s="33"/>
      <c r="T439" s="26"/>
      <c r="U439" s="26"/>
      <c r="V439" s="26"/>
      <c r="W439" s="26"/>
      <c r="X439" s="26"/>
    </row>
    <row r="440" customFormat="false" ht="14.25" hidden="false" customHeight="true" outlineLevel="0" collapsed="false">
      <c r="B440" s="34"/>
      <c r="C440" s="38"/>
      <c r="D440" s="36"/>
      <c r="E440" s="36"/>
      <c r="F440" s="36"/>
      <c r="G440" s="35"/>
      <c r="I440" s="34"/>
      <c r="J440" s="36"/>
      <c r="K440" s="36"/>
      <c r="L440" s="36"/>
      <c r="M440" s="36"/>
      <c r="N440" s="31"/>
      <c r="O440" s="31"/>
      <c r="P440" s="32"/>
      <c r="Q440" s="32"/>
      <c r="R440" s="33"/>
      <c r="T440" s="26"/>
      <c r="U440" s="26"/>
      <c r="V440" s="26"/>
      <c r="W440" s="26"/>
      <c r="X440" s="26"/>
    </row>
    <row r="441" customFormat="false" ht="14.25" hidden="false" customHeight="true" outlineLevel="0" collapsed="false">
      <c r="B441" s="34"/>
      <c r="C441" s="38"/>
      <c r="D441" s="36"/>
      <c r="E441" s="36"/>
      <c r="F441" s="36"/>
      <c r="G441" s="35"/>
      <c r="I441" s="34"/>
      <c r="J441" s="36"/>
      <c r="K441" s="36"/>
      <c r="L441" s="36"/>
      <c r="M441" s="36"/>
      <c r="N441" s="31"/>
      <c r="O441" s="31"/>
      <c r="P441" s="32"/>
      <c r="Q441" s="32"/>
      <c r="R441" s="33"/>
      <c r="T441" s="26"/>
      <c r="U441" s="26"/>
      <c r="V441" s="26"/>
      <c r="W441" s="26"/>
      <c r="X441" s="26"/>
    </row>
    <row r="442" customFormat="false" ht="14.25" hidden="false" customHeight="true" outlineLevel="0" collapsed="false">
      <c r="B442" s="34"/>
      <c r="C442" s="38"/>
      <c r="D442" s="36"/>
      <c r="E442" s="36"/>
      <c r="F442" s="36"/>
      <c r="G442" s="35"/>
      <c r="I442" s="34"/>
      <c r="J442" s="36"/>
      <c r="K442" s="36"/>
      <c r="L442" s="36"/>
      <c r="M442" s="36"/>
      <c r="N442" s="31"/>
      <c r="O442" s="31"/>
      <c r="P442" s="32"/>
      <c r="Q442" s="32"/>
      <c r="R442" s="33"/>
      <c r="T442" s="26"/>
      <c r="U442" s="26"/>
      <c r="V442" s="26"/>
      <c r="W442" s="26"/>
      <c r="X442" s="26"/>
    </row>
    <row r="443" customFormat="false" ht="14.25" hidden="false" customHeight="true" outlineLevel="0" collapsed="false">
      <c r="B443" s="34"/>
      <c r="C443" s="38"/>
      <c r="D443" s="36"/>
      <c r="E443" s="36"/>
      <c r="F443" s="36"/>
      <c r="G443" s="35"/>
      <c r="I443" s="34"/>
      <c r="J443" s="36"/>
      <c r="K443" s="36"/>
      <c r="L443" s="36"/>
      <c r="M443" s="36"/>
      <c r="N443" s="31"/>
      <c r="O443" s="31"/>
      <c r="P443" s="32"/>
      <c r="Q443" s="32"/>
      <c r="R443" s="33"/>
      <c r="T443" s="26"/>
      <c r="U443" s="26"/>
      <c r="V443" s="26"/>
      <c r="W443" s="26"/>
      <c r="X443" s="26"/>
    </row>
    <row r="444" customFormat="false" ht="14.25" hidden="false" customHeight="true" outlineLevel="0" collapsed="false">
      <c r="B444" s="34"/>
      <c r="C444" s="38"/>
      <c r="D444" s="36"/>
      <c r="E444" s="36"/>
      <c r="F444" s="36"/>
      <c r="G444" s="35"/>
      <c r="I444" s="34"/>
      <c r="J444" s="36"/>
      <c r="K444" s="36"/>
      <c r="L444" s="36"/>
      <c r="M444" s="36"/>
      <c r="N444" s="31"/>
      <c r="O444" s="31"/>
      <c r="P444" s="32"/>
      <c r="Q444" s="32"/>
      <c r="R444" s="33"/>
      <c r="T444" s="26"/>
      <c r="U444" s="26"/>
      <c r="V444" s="26"/>
      <c r="W444" s="26"/>
      <c r="X444" s="26"/>
    </row>
    <row r="445" customFormat="false" ht="14.25" hidden="false" customHeight="true" outlineLevel="0" collapsed="false">
      <c r="B445" s="34"/>
      <c r="C445" s="38"/>
      <c r="D445" s="36"/>
      <c r="E445" s="36"/>
      <c r="F445" s="36"/>
      <c r="G445" s="35"/>
      <c r="I445" s="34"/>
      <c r="J445" s="36"/>
      <c r="K445" s="36"/>
      <c r="L445" s="36"/>
      <c r="M445" s="36"/>
      <c r="N445" s="31"/>
      <c r="O445" s="31"/>
      <c r="P445" s="32"/>
      <c r="Q445" s="32"/>
      <c r="R445" s="33"/>
      <c r="T445" s="26"/>
      <c r="U445" s="26"/>
      <c r="V445" s="26"/>
      <c r="W445" s="26"/>
      <c r="X445" s="26"/>
    </row>
    <row r="446" customFormat="false" ht="14.25" hidden="false" customHeight="true" outlineLevel="0" collapsed="false">
      <c r="B446" s="34"/>
      <c r="C446" s="38"/>
      <c r="D446" s="36"/>
      <c r="E446" s="36"/>
      <c r="F446" s="36"/>
      <c r="G446" s="35"/>
      <c r="I446" s="34"/>
      <c r="J446" s="36"/>
      <c r="K446" s="36"/>
      <c r="L446" s="36"/>
      <c r="M446" s="36"/>
      <c r="N446" s="31"/>
      <c r="O446" s="31"/>
      <c r="P446" s="32"/>
      <c r="Q446" s="32"/>
      <c r="R446" s="33"/>
      <c r="T446" s="26"/>
      <c r="U446" s="26"/>
      <c r="V446" s="26"/>
      <c r="W446" s="26"/>
      <c r="X446" s="26"/>
    </row>
    <row r="447" customFormat="false" ht="14.25" hidden="false" customHeight="true" outlineLevel="0" collapsed="false">
      <c r="B447" s="34"/>
      <c r="C447" s="38"/>
      <c r="D447" s="36"/>
      <c r="E447" s="36"/>
      <c r="F447" s="36"/>
      <c r="G447" s="35"/>
      <c r="I447" s="34"/>
      <c r="J447" s="36"/>
      <c r="K447" s="36"/>
      <c r="L447" s="36"/>
      <c r="M447" s="36"/>
      <c r="N447" s="31"/>
      <c r="O447" s="31"/>
      <c r="P447" s="32"/>
      <c r="Q447" s="32"/>
      <c r="R447" s="33"/>
      <c r="T447" s="26"/>
      <c r="U447" s="26"/>
      <c r="V447" s="26"/>
      <c r="W447" s="26"/>
      <c r="X447" s="26"/>
    </row>
    <row r="448" customFormat="false" ht="14.25" hidden="false" customHeight="true" outlineLevel="0" collapsed="false">
      <c r="B448" s="34"/>
      <c r="C448" s="38"/>
      <c r="D448" s="36"/>
      <c r="E448" s="36"/>
      <c r="F448" s="36"/>
      <c r="G448" s="35"/>
      <c r="I448" s="34"/>
      <c r="J448" s="36"/>
      <c r="K448" s="36"/>
      <c r="L448" s="36"/>
      <c r="M448" s="36"/>
      <c r="N448" s="31"/>
      <c r="O448" s="31"/>
      <c r="P448" s="32"/>
      <c r="Q448" s="32"/>
      <c r="R448" s="33"/>
      <c r="T448" s="26"/>
      <c r="U448" s="26"/>
      <c r="V448" s="26"/>
      <c r="W448" s="26"/>
      <c r="X448" s="26"/>
    </row>
    <row r="449" customFormat="false" ht="14.25" hidden="false" customHeight="true" outlineLevel="0" collapsed="false">
      <c r="B449" s="34"/>
      <c r="C449" s="38"/>
      <c r="D449" s="36"/>
      <c r="E449" s="36"/>
      <c r="F449" s="36"/>
      <c r="G449" s="35"/>
      <c r="I449" s="34"/>
      <c r="J449" s="36"/>
      <c r="K449" s="36"/>
      <c r="L449" s="36"/>
      <c r="M449" s="36"/>
      <c r="N449" s="31"/>
      <c r="O449" s="31"/>
      <c r="P449" s="32"/>
      <c r="Q449" s="32"/>
      <c r="R449" s="33"/>
      <c r="T449" s="26"/>
      <c r="U449" s="26"/>
      <c r="V449" s="26"/>
      <c r="W449" s="26"/>
      <c r="X449" s="26"/>
    </row>
    <row r="450" customFormat="false" ht="14.25" hidden="false" customHeight="true" outlineLevel="0" collapsed="false">
      <c r="B450" s="34"/>
      <c r="C450" s="38"/>
      <c r="D450" s="36"/>
      <c r="E450" s="36"/>
      <c r="F450" s="36"/>
      <c r="G450" s="35"/>
      <c r="I450" s="34"/>
      <c r="J450" s="36"/>
      <c r="K450" s="36"/>
      <c r="L450" s="36"/>
      <c r="M450" s="36"/>
      <c r="N450" s="31"/>
      <c r="O450" s="31"/>
      <c r="P450" s="32"/>
      <c r="Q450" s="32"/>
      <c r="R450" s="33"/>
      <c r="T450" s="26"/>
      <c r="U450" s="26"/>
      <c r="V450" s="26"/>
      <c r="W450" s="26"/>
      <c r="X450" s="26"/>
    </row>
    <row r="451" customFormat="false" ht="14.25" hidden="false" customHeight="true" outlineLevel="0" collapsed="false">
      <c r="B451" s="34"/>
      <c r="C451" s="38"/>
      <c r="D451" s="36"/>
      <c r="E451" s="36"/>
      <c r="F451" s="36"/>
      <c r="G451" s="35"/>
      <c r="I451" s="34"/>
      <c r="J451" s="36"/>
      <c r="K451" s="36"/>
      <c r="L451" s="36"/>
      <c r="M451" s="36"/>
      <c r="N451" s="31"/>
      <c r="O451" s="31"/>
      <c r="P451" s="32"/>
      <c r="Q451" s="32"/>
      <c r="R451" s="33"/>
      <c r="T451" s="26"/>
      <c r="U451" s="26"/>
      <c r="V451" s="26"/>
      <c r="W451" s="26"/>
      <c r="X451" s="26"/>
    </row>
    <row r="452" customFormat="false" ht="14.25" hidden="false" customHeight="true" outlineLevel="0" collapsed="false">
      <c r="B452" s="34"/>
      <c r="C452" s="38"/>
      <c r="D452" s="36"/>
      <c r="E452" s="36"/>
      <c r="F452" s="36"/>
      <c r="G452" s="35"/>
      <c r="I452" s="34"/>
      <c r="J452" s="36"/>
      <c r="K452" s="36"/>
      <c r="L452" s="36"/>
      <c r="M452" s="36"/>
      <c r="N452" s="31"/>
      <c r="O452" s="31"/>
      <c r="P452" s="32"/>
      <c r="Q452" s="32"/>
      <c r="R452" s="33"/>
      <c r="T452" s="26"/>
      <c r="U452" s="26"/>
      <c r="V452" s="26"/>
      <c r="W452" s="26"/>
      <c r="X452" s="26"/>
    </row>
    <row r="453" customFormat="false" ht="14.25" hidden="false" customHeight="true" outlineLevel="0" collapsed="false">
      <c r="B453" s="34"/>
      <c r="C453" s="38"/>
      <c r="D453" s="36"/>
      <c r="E453" s="36"/>
      <c r="F453" s="36"/>
      <c r="G453" s="35"/>
      <c r="I453" s="34"/>
      <c r="J453" s="36"/>
      <c r="K453" s="36"/>
      <c r="L453" s="36"/>
      <c r="M453" s="36"/>
      <c r="N453" s="31"/>
      <c r="O453" s="31"/>
      <c r="P453" s="32"/>
      <c r="Q453" s="32"/>
      <c r="R453" s="33"/>
      <c r="T453" s="26"/>
      <c r="U453" s="26"/>
      <c r="V453" s="26"/>
      <c r="W453" s="26"/>
      <c r="X453" s="26"/>
    </row>
    <row r="454" customFormat="false" ht="14.25" hidden="false" customHeight="true" outlineLevel="0" collapsed="false">
      <c r="B454" s="34"/>
      <c r="C454" s="38"/>
      <c r="D454" s="36"/>
      <c r="E454" s="36"/>
      <c r="F454" s="36"/>
      <c r="G454" s="35"/>
      <c r="I454" s="34"/>
      <c r="J454" s="36"/>
      <c r="K454" s="36"/>
      <c r="L454" s="36"/>
      <c r="M454" s="36"/>
      <c r="N454" s="31"/>
      <c r="O454" s="31"/>
      <c r="P454" s="32"/>
      <c r="Q454" s="32"/>
      <c r="R454" s="33"/>
      <c r="T454" s="26"/>
      <c r="U454" s="26"/>
      <c r="V454" s="26"/>
      <c r="W454" s="26"/>
      <c r="X454" s="26"/>
    </row>
    <row r="455" customFormat="false" ht="14.25" hidden="false" customHeight="true" outlineLevel="0" collapsed="false">
      <c r="B455" s="34"/>
      <c r="C455" s="38"/>
      <c r="D455" s="36"/>
      <c r="E455" s="36"/>
      <c r="F455" s="36"/>
      <c r="G455" s="35"/>
      <c r="I455" s="34"/>
      <c r="J455" s="36"/>
      <c r="K455" s="36"/>
      <c r="L455" s="36"/>
      <c r="M455" s="36"/>
      <c r="N455" s="31"/>
      <c r="O455" s="31"/>
      <c r="P455" s="32"/>
      <c r="Q455" s="32"/>
      <c r="R455" s="33"/>
      <c r="T455" s="26"/>
      <c r="U455" s="26"/>
      <c r="V455" s="26"/>
      <c r="W455" s="26"/>
      <c r="X455" s="26"/>
    </row>
    <row r="456" customFormat="false" ht="14.25" hidden="false" customHeight="true" outlineLevel="0" collapsed="false">
      <c r="B456" s="34"/>
      <c r="C456" s="38"/>
      <c r="D456" s="36"/>
      <c r="E456" s="36"/>
      <c r="F456" s="36"/>
      <c r="G456" s="35"/>
      <c r="I456" s="34"/>
      <c r="J456" s="36"/>
      <c r="K456" s="36"/>
      <c r="L456" s="36"/>
      <c r="M456" s="36"/>
      <c r="N456" s="31"/>
      <c r="O456" s="31"/>
      <c r="P456" s="32"/>
      <c r="Q456" s="32"/>
      <c r="R456" s="33"/>
      <c r="T456" s="26"/>
      <c r="U456" s="26"/>
      <c r="V456" s="26"/>
      <c r="W456" s="26"/>
      <c r="X456" s="26"/>
    </row>
    <row r="457" customFormat="false" ht="14.25" hidden="false" customHeight="true" outlineLevel="0" collapsed="false">
      <c r="B457" s="34"/>
      <c r="C457" s="38"/>
      <c r="D457" s="36"/>
      <c r="E457" s="36"/>
      <c r="F457" s="36"/>
      <c r="G457" s="35"/>
      <c r="I457" s="34"/>
      <c r="J457" s="36"/>
      <c r="K457" s="36"/>
      <c r="L457" s="36"/>
      <c r="M457" s="36"/>
      <c r="N457" s="31"/>
      <c r="O457" s="31"/>
      <c r="P457" s="32"/>
      <c r="Q457" s="32"/>
      <c r="R457" s="33"/>
      <c r="T457" s="26"/>
      <c r="U457" s="26"/>
      <c r="V457" s="26"/>
      <c r="W457" s="26"/>
      <c r="X457" s="26"/>
    </row>
    <row r="458" customFormat="false" ht="14.25" hidden="false" customHeight="true" outlineLevel="0" collapsed="false">
      <c r="B458" s="34"/>
      <c r="C458" s="38"/>
      <c r="D458" s="36"/>
      <c r="E458" s="36"/>
      <c r="F458" s="36"/>
      <c r="G458" s="35"/>
      <c r="I458" s="34"/>
      <c r="J458" s="36"/>
      <c r="K458" s="36"/>
      <c r="L458" s="36"/>
      <c r="M458" s="36"/>
      <c r="N458" s="31"/>
      <c r="O458" s="31"/>
      <c r="P458" s="32"/>
      <c r="Q458" s="32"/>
      <c r="R458" s="33"/>
      <c r="T458" s="26"/>
      <c r="U458" s="26"/>
      <c r="V458" s="26"/>
      <c r="W458" s="26"/>
      <c r="X458" s="26"/>
    </row>
    <row r="459" customFormat="false" ht="14.25" hidden="false" customHeight="true" outlineLevel="0" collapsed="false">
      <c r="B459" s="34"/>
      <c r="C459" s="38"/>
      <c r="D459" s="36"/>
      <c r="E459" s="36"/>
      <c r="F459" s="36"/>
      <c r="G459" s="35"/>
      <c r="I459" s="34"/>
      <c r="J459" s="36"/>
      <c r="K459" s="36"/>
      <c r="L459" s="36"/>
      <c r="M459" s="36"/>
      <c r="N459" s="31"/>
      <c r="O459" s="31"/>
      <c r="P459" s="32"/>
      <c r="Q459" s="32"/>
      <c r="R459" s="33"/>
      <c r="T459" s="26"/>
      <c r="U459" s="26"/>
      <c r="V459" s="26"/>
      <c r="W459" s="26"/>
      <c r="X459" s="26"/>
    </row>
    <row r="460" customFormat="false" ht="14.25" hidden="false" customHeight="true" outlineLevel="0" collapsed="false">
      <c r="B460" s="34"/>
      <c r="C460" s="38"/>
      <c r="D460" s="36"/>
      <c r="E460" s="36"/>
      <c r="F460" s="36"/>
      <c r="G460" s="35"/>
      <c r="I460" s="34"/>
      <c r="J460" s="36"/>
      <c r="K460" s="36"/>
      <c r="L460" s="36"/>
      <c r="M460" s="36"/>
      <c r="N460" s="31"/>
      <c r="O460" s="31"/>
      <c r="P460" s="32"/>
      <c r="Q460" s="32"/>
      <c r="R460" s="33"/>
      <c r="T460" s="26"/>
      <c r="U460" s="26"/>
      <c r="V460" s="26"/>
      <c r="W460" s="26"/>
      <c r="X460" s="26"/>
    </row>
    <row r="461" customFormat="false" ht="14.25" hidden="false" customHeight="true" outlineLevel="0" collapsed="false">
      <c r="B461" s="34"/>
      <c r="C461" s="38"/>
      <c r="D461" s="36"/>
      <c r="E461" s="36"/>
      <c r="F461" s="36"/>
      <c r="G461" s="35"/>
      <c r="I461" s="34"/>
      <c r="J461" s="36"/>
      <c r="K461" s="36"/>
      <c r="L461" s="36"/>
      <c r="M461" s="36"/>
      <c r="N461" s="31"/>
      <c r="O461" s="31"/>
      <c r="P461" s="32"/>
      <c r="Q461" s="32"/>
      <c r="R461" s="33"/>
      <c r="T461" s="26"/>
      <c r="U461" s="26"/>
      <c r="V461" s="26"/>
      <c r="W461" s="26"/>
      <c r="X461" s="26"/>
    </row>
    <row r="462" customFormat="false" ht="14.25" hidden="false" customHeight="true" outlineLevel="0" collapsed="false">
      <c r="B462" s="34"/>
      <c r="C462" s="38"/>
      <c r="D462" s="36"/>
      <c r="E462" s="36"/>
      <c r="F462" s="36"/>
      <c r="G462" s="35"/>
      <c r="I462" s="34"/>
      <c r="J462" s="36"/>
      <c r="K462" s="36"/>
      <c r="L462" s="36"/>
      <c r="M462" s="36"/>
      <c r="N462" s="31"/>
      <c r="O462" s="31"/>
      <c r="P462" s="32"/>
      <c r="Q462" s="32"/>
      <c r="R462" s="33"/>
      <c r="T462" s="26"/>
      <c r="U462" s="26"/>
      <c r="V462" s="26"/>
      <c r="W462" s="26"/>
      <c r="X462" s="26"/>
    </row>
    <row r="463" customFormat="false" ht="14.25" hidden="false" customHeight="true" outlineLevel="0" collapsed="false">
      <c r="B463" s="34"/>
      <c r="C463" s="38"/>
      <c r="D463" s="36"/>
      <c r="E463" s="36"/>
      <c r="F463" s="36"/>
      <c r="G463" s="35"/>
      <c r="I463" s="34"/>
      <c r="J463" s="36"/>
      <c r="K463" s="36"/>
      <c r="L463" s="36"/>
      <c r="M463" s="36"/>
      <c r="N463" s="31"/>
      <c r="O463" s="31"/>
      <c r="P463" s="32"/>
      <c r="Q463" s="32"/>
      <c r="R463" s="33"/>
      <c r="T463" s="26"/>
      <c r="U463" s="26"/>
      <c r="V463" s="26"/>
      <c r="W463" s="26"/>
      <c r="X463" s="26"/>
    </row>
    <row r="464" customFormat="false" ht="14.25" hidden="false" customHeight="true" outlineLevel="0" collapsed="false">
      <c r="B464" s="34"/>
      <c r="C464" s="38"/>
      <c r="D464" s="36"/>
      <c r="E464" s="36"/>
      <c r="F464" s="36"/>
      <c r="G464" s="35"/>
      <c r="I464" s="34"/>
      <c r="J464" s="36"/>
      <c r="K464" s="36"/>
      <c r="L464" s="36"/>
      <c r="M464" s="36"/>
      <c r="N464" s="31"/>
      <c r="O464" s="31"/>
      <c r="P464" s="32"/>
      <c r="Q464" s="32"/>
      <c r="R464" s="33"/>
      <c r="T464" s="26"/>
      <c r="U464" s="26"/>
      <c r="V464" s="26"/>
      <c r="W464" s="26"/>
      <c r="X464" s="26"/>
    </row>
    <row r="465" customFormat="false" ht="14.25" hidden="false" customHeight="true" outlineLevel="0" collapsed="false">
      <c r="B465" s="34"/>
      <c r="C465" s="38"/>
      <c r="D465" s="36"/>
      <c r="E465" s="36"/>
      <c r="F465" s="36"/>
      <c r="G465" s="35"/>
      <c r="I465" s="34"/>
      <c r="J465" s="36"/>
      <c r="K465" s="36"/>
      <c r="L465" s="36"/>
      <c r="M465" s="36"/>
      <c r="N465" s="31"/>
      <c r="O465" s="31"/>
      <c r="P465" s="32"/>
      <c r="Q465" s="32"/>
      <c r="R465" s="33"/>
      <c r="T465" s="26"/>
      <c r="U465" s="26"/>
      <c r="V465" s="26"/>
      <c r="W465" s="26"/>
      <c r="X465" s="26"/>
    </row>
    <row r="466" customFormat="false" ht="14.25" hidden="false" customHeight="true" outlineLevel="0" collapsed="false">
      <c r="B466" s="34"/>
      <c r="C466" s="38"/>
      <c r="D466" s="36"/>
      <c r="E466" s="36"/>
      <c r="F466" s="36"/>
      <c r="G466" s="35"/>
      <c r="I466" s="34"/>
      <c r="J466" s="36"/>
      <c r="K466" s="36"/>
      <c r="L466" s="36"/>
      <c r="M466" s="36"/>
      <c r="N466" s="31"/>
      <c r="O466" s="31"/>
      <c r="P466" s="32"/>
      <c r="Q466" s="32"/>
      <c r="R466" s="33"/>
      <c r="T466" s="26"/>
      <c r="U466" s="26"/>
      <c r="V466" s="26"/>
      <c r="W466" s="26"/>
      <c r="X466" s="26"/>
    </row>
    <row r="467" customFormat="false" ht="14.25" hidden="false" customHeight="true" outlineLevel="0" collapsed="false">
      <c r="B467" s="34"/>
      <c r="C467" s="38"/>
      <c r="D467" s="36"/>
      <c r="E467" s="36"/>
      <c r="F467" s="36"/>
      <c r="G467" s="35"/>
      <c r="I467" s="34"/>
      <c r="J467" s="36"/>
      <c r="K467" s="36"/>
      <c r="L467" s="36"/>
      <c r="M467" s="36"/>
      <c r="N467" s="31"/>
      <c r="O467" s="31"/>
      <c r="P467" s="32"/>
      <c r="Q467" s="32"/>
      <c r="R467" s="33"/>
      <c r="T467" s="26"/>
      <c r="U467" s="26"/>
      <c r="V467" s="26"/>
      <c r="W467" s="26"/>
      <c r="X467" s="26"/>
    </row>
    <row r="468" customFormat="false" ht="14.25" hidden="false" customHeight="true" outlineLevel="0" collapsed="false">
      <c r="B468" s="34"/>
      <c r="C468" s="38"/>
      <c r="D468" s="36"/>
      <c r="E468" s="36"/>
      <c r="F468" s="36"/>
      <c r="G468" s="35"/>
      <c r="I468" s="34"/>
      <c r="J468" s="36"/>
      <c r="K468" s="36"/>
      <c r="L468" s="36"/>
      <c r="M468" s="36"/>
      <c r="N468" s="31"/>
      <c r="O468" s="31"/>
      <c r="P468" s="32"/>
      <c r="Q468" s="32"/>
      <c r="R468" s="33"/>
      <c r="T468" s="26"/>
      <c r="U468" s="26"/>
      <c r="V468" s="26"/>
      <c r="W468" s="26"/>
      <c r="X468" s="26"/>
    </row>
    <row r="469" customFormat="false" ht="14.25" hidden="false" customHeight="true" outlineLevel="0" collapsed="false">
      <c r="B469" s="34"/>
      <c r="C469" s="38"/>
      <c r="D469" s="36"/>
      <c r="E469" s="36"/>
      <c r="F469" s="36"/>
      <c r="G469" s="35"/>
      <c r="I469" s="34"/>
      <c r="J469" s="36"/>
      <c r="K469" s="36"/>
      <c r="L469" s="36"/>
      <c r="M469" s="36"/>
      <c r="N469" s="31"/>
      <c r="O469" s="31"/>
      <c r="P469" s="32"/>
      <c r="Q469" s="32"/>
      <c r="R469" s="33"/>
      <c r="T469" s="26"/>
      <c r="U469" s="26"/>
      <c r="V469" s="26"/>
      <c r="W469" s="26"/>
      <c r="X469" s="26"/>
    </row>
    <row r="470" customFormat="false" ht="14.25" hidden="false" customHeight="true" outlineLevel="0" collapsed="false">
      <c r="B470" s="34"/>
      <c r="C470" s="38"/>
      <c r="D470" s="36"/>
      <c r="E470" s="36"/>
      <c r="F470" s="36"/>
      <c r="G470" s="35"/>
      <c r="I470" s="34"/>
      <c r="J470" s="36"/>
      <c r="K470" s="36"/>
      <c r="L470" s="36"/>
      <c r="M470" s="36"/>
      <c r="N470" s="31"/>
      <c r="O470" s="31"/>
      <c r="P470" s="32"/>
      <c r="Q470" s="32"/>
      <c r="R470" s="33"/>
      <c r="T470" s="26"/>
      <c r="U470" s="26"/>
      <c r="V470" s="26"/>
      <c r="W470" s="26"/>
      <c r="X470" s="26"/>
    </row>
    <row r="471" customFormat="false" ht="14.25" hidden="false" customHeight="true" outlineLevel="0" collapsed="false">
      <c r="B471" s="34"/>
      <c r="C471" s="38"/>
      <c r="D471" s="36"/>
      <c r="E471" s="36"/>
      <c r="F471" s="36"/>
      <c r="G471" s="35"/>
      <c r="I471" s="34"/>
      <c r="J471" s="36"/>
      <c r="K471" s="36"/>
      <c r="L471" s="36"/>
      <c r="M471" s="36"/>
      <c r="N471" s="31"/>
      <c r="O471" s="31"/>
      <c r="P471" s="32"/>
      <c r="Q471" s="32"/>
      <c r="R471" s="33"/>
      <c r="T471" s="26"/>
      <c r="U471" s="26"/>
      <c r="V471" s="26"/>
      <c r="W471" s="26"/>
      <c r="X471" s="26"/>
    </row>
    <row r="472" customFormat="false" ht="14.25" hidden="false" customHeight="true" outlineLevel="0" collapsed="false">
      <c r="B472" s="34"/>
      <c r="C472" s="38"/>
      <c r="D472" s="36"/>
      <c r="E472" s="36"/>
      <c r="F472" s="36"/>
      <c r="G472" s="35"/>
      <c r="I472" s="34"/>
      <c r="J472" s="36"/>
      <c r="K472" s="36"/>
      <c r="L472" s="36"/>
      <c r="M472" s="36"/>
      <c r="N472" s="31"/>
      <c r="O472" s="31"/>
      <c r="P472" s="32"/>
      <c r="Q472" s="32"/>
      <c r="R472" s="33"/>
      <c r="T472" s="26"/>
      <c r="U472" s="26"/>
      <c r="V472" s="26"/>
      <c r="W472" s="26"/>
      <c r="X472" s="26"/>
    </row>
    <row r="473" customFormat="false" ht="14.25" hidden="false" customHeight="true" outlineLevel="0" collapsed="false">
      <c r="B473" s="34"/>
      <c r="C473" s="38"/>
      <c r="D473" s="36"/>
      <c r="E473" s="36"/>
      <c r="F473" s="36"/>
      <c r="G473" s="35"/>
      <c r="I473" s="34"/>
      <c r="J473" s="36"/>
      <c r="K473" s="36"/>
      <c r="L473" s="36"/>
      <c r="M473" s="36"/>
      <c r="N473" s="31"/>
      <c r="O473" s="31"/>
      <c r="P473" s="32"/>
      <c r="Q473" s="32"/>
      <c r="R473" s="33"/>
      <c r="T473" s="26"/>
      <c r="U473" s="26"/>
      <c r="V473" s="26"/>
      <c r="W473" s="26"/>
      <c r="X473" s="26"/>
    </row>
    <row r="474" customFormat="false" ht="14.25" hidden="false" customHeight="true" outlineLevel="0" collapsed="false">
      <c r="B474" s="34"/>
      <c r="C474" s="38"/>
      <c r="D474" s="36"/>
      <c r="E474" s="36"/>
      <c r="F474" s="36"/>
      <c r="G474" s="35"/>
      <c r="I474" s="34"/>
      <c r="J474" s="36"/>
      <c r="K474" s="36"/>
      <c r="L474" s="36"/>
      <c r="M474" s="36"/>
      <c r="N474" s="31"/>
      <c r="O474" s="31"/>
      <c r="P474" s="32"/>
      <c r="Q474" s="32"/>
      <c r="R474" s="33"/>
      <c r="T474" s="26"/>
      <c r="U474" s="26"/>
      <c r="V474" s="26"/>
      <c r="W474" s="26"/>
      <c r="X474" s="26"/>
    </row>
    <row r="475" customFormat="false" ht="14.25" hidden="false" customHeight="true" outlineLevel="0" collapsed="false">
      <c r="B475" s="34"/>
      <c r="C475" s="38"/>
      <c r="D475" s="36"/>
      <c r="E475" s="36"/>
      <c r="F475" s="36"/>
      <c r="G475" s="35"/>
      <c r="I475" s="34"/>
      <c r="J475" s="36"/>
      <c r="K475" s="36"/>
      <c r="L475" s="36"/>
      <c r="M475" s="36"/>
      <c r="N475" s="31"/>
      <c r="O475" s="31"/>
      <c r="P475" s="32"/>
      <c r="Q475" s="32"/>
      <c r="R475" s="33"/>
      <c r="T475" s="26"/>
      <c r="U475" s="26"/>
      <c r="V475" s="26"/>
      <c r="W475" s="26"/>
      <c r="X475" s="26"/>
    </row>
    <row r="476" customFormat="false" ht="14.25" hidden="false" customHeight="true" outlineLevel="0" collapsed="false">
      <c r="B476" s="34"/>
      <c r="C476" s="38"/>
      <c r="D476" s="36"/>
      <c r="E476" s="36"/>
      <c r="F476" s="36"/>
      <c r="G476" s="35"/>
      <c r="I476" s="34"/>
      <c r="J476" s="36"/>
      <c r="K476" s="36"/>
      <c r="L476" s="36"/>
      <c r="M476" s="36"/>
      <c r="N476" s="31"/>
      <c r="O476" s="31"/>
      <c r="P476" s="32"/>
      <c r="Q476" s="32"/>
      <c r="R476" s="33"/>
      <c r="T476" s="26"/>
      <c r="U476" s="26"/>
      <c r="V476" s="26"/>
      <c r="W476" s="26"/>
      <c r="X476" s="26"/>
    </row>
    <row r="477" customFormat="false" ht="14.25" hidden="false" customHeight="true" outlineLevel="0" collapsed="false">
      <c r="B477" s="34"/>
      <c r="C477" s="38"/>
      <c r="D477" s="36"/>
      <c r="E477" s="36"/>
      <c r="F477" s="36"/>
      <c r="G477" s="35"/>
      <c r="I477" s="34"/>
      <c r="J477" s="36"/>
      <c r="K477" s="36"/>
      <c r="L477" s="36"/>
      <c r="M477" s="36"/>
      <c r="N477" s="31"/>
      <c r="O477" s="31"/>
      <c r="P477" s="32"/>
      <c r="Q477" s="32"/>
      <c r="R477" s="33"/>
      <c r="T477" s="26"/>
      <c r="U477" s="26"/>
      <c r="V477" s="26"/>
      <c r="W477" s="26"/>
      <c r="X477" s="26"/>
    </row>
    <row r="478" customFormat="false" ht="14.25" hidden="false" customHeight="true" outlineLevel="0" collapsed="false">
      <c r="B478" s="34"/>
      <c r="C478" s="38"/>
      <c r="D478" s="36"/>
      <c r="E478" s="36"/>
      <c r="F478" s="36"/>
      <c r="G478" s="35"/>
      <c r="I478" s="34"/>
      <c r="J478" s="36"/>
      <c r="K478" s="36"/>
      <c r="L478" s="36"/>
      <c r="M478" s="36"/>
      <c r="N478" s="31"/>
      <c r="O478" s="31"/>
      <c r="P478" s="32"/>
      <c r="Q478" s="32"/>
      <c r="R478" s="33"/>
      <c r="T478" s="26"/>
      <c r="U478" s="26"/>
      <c r="V478" s="26"/>
      <c r="W478" s="26"/>
      <c r="X478" s="26"/>
    </row>
    <row r="479" customFormat="false" ht="14.25" hidden="false" customHeight="true" outlineLevel="0" collapsed="false">
      <c r="B479" s="34"/>
      <c r="C479" s="38"/>
      <c r="D479" s="36"/>
      <c r="E479" s="36"/>
      <c r="F479" s="36"/>
      <c r="G479" s="35"/>
      <c r="I479" s="34"/>
      <c r="J479" s="36"/>
      <c r="K479" s="36"/>
      <c r="L479" s="36"/>
      <c r="M479" s="36"/>
      <c r="N479" s="31"/>
      <c r="O479" s="31"/>
      <c r="P479" s="32"/>
      <c r="Q479" s="32"/>
      <c r="R479" s="33"/>
      <c r="T479" s="26"/>
      <c r="U479" s="26"/>
      <c r="V479" s="26"/>
      <c r="W479" s="26"/>
      <c r="X479" s="26"/>
    </row>
    <row r="480" customFormat="false" ht="14.25" hidden="false" customHeight="true" outlineLevel="0" collapsed="false">
      <c r="B480" s="34"/>
      <c r="C480" s="38"/>
      <c r="D480" s="36"/>
      <c r="E480" s="36"/>
      <c r="F480" s="36"/>
      <c r="G480" s="35"/>
      <c r="I480" s="34"/>
      <c r="J480" s="36"/>
      <c r="K480" s="36"/>
      <c r="L480" s="36"/>
      <c r="M480" s="36"/>
      <c r="N480" s="31"/>
      <c r="O480" s="31"/>
      <c r="P480" s="32"/>
      <c r="Q480" s="32"/>
      <c r="R480" s="33"/>
      <c r="T480" s="26"/>
      <c r="U480" s="26"/>
      <c r="V480" s="26"/>
      <c r="W480" s="26"/>
      <c r="X480" s="26"/>
    </row>
    <row r="481" customFormat="false" ht="14.25" hidden="false" customHeight="true" outlineLevel="0" collapsed="false">
      <c r="B481" s="34"/>
      <c r="C481" s="38"/>
      <c r="D481" s="36"/>
      <c r="E481" s="36"/>
      <c r="F481" s="36"/>
      <c r="G481" s="35"/>
      <c r="I481" s="34"/>
      <c r="J481" s="36"/>
      <c r="K481" s="36"/>
      <c r="L481" s="36"/>
      <c r="M481" s="36"/>
      <c r="N481" s="31"/>
      <c r="O481" s="31"/>
      <c r="P481" s="32"/>
      <c r="Q481" s="32"/>
      <c r="R481" s="33"/>
      <c r="T481" s="26"/>
      <c r="U481" s="26"/>
      <c r="V481" s="26"/>
      <c r="W481" s="26"/>
      <c r="X481" s="26"/>
    </row>
    <row r="482" customFormat="false" ht="14.25" hidden="false" customHeight="true" outlineLevel="0" collapsed="false">
      <c r="B482" s="34"/>
      <c r="C482" s="38"/>
      <c r="D482" s="36"/>
      <c r="E482" s="36"/>
      <c r="F482" s="36"/>
      <c r="G482" s="35"/>
      <c r="I482" s="34"/>
      <c r="J482" s="36"/>
      <c r="K482" s="36"/>
      <c r="L482" s="36"/>
      <c r="M482" s="36"/>
      <c r="N482" s="31"/>
      <c r="O482" s="31"/>
      <c r="P482" s="32"/>
      <c r="Q482" s="32"/>
      <c r="R482" s="33"/>
      <c r="T482" s="26"/>
      <c r="U482" s="26"/>
      <c r="V482" s="26"/>
      <c r="W482" s="26"/>
      <c r="X482" s="26"/>
    </row>
    <row r="483" customFormat="false" ht="14.25" hidden="false" customHeight="true" outlineLevel="0" collapsed="false">
      <c r="B483" s="34"/>
      <c r="C483" s="38"/>
      <c r="D483" s="36"/>
      <c r="E483" s="36"/>
      <c r="F483" s="36"/>
      <c r="G483" s="35"/>
      <c r="I483" s="34"/>
      <c r="J483" s="36"/>
      <c r="K483" s="36"/>
      <c r="L483" s="36"/>
      <c r="M483" s="36"/>
      <c r="N483" s="31"/>
      <c r="O483" s="31"/>
      <c r="P483" s="32"/>
      <c r="Q483" s="32"/>
      <c r="R483" s="33"/>
      <c r="T483" s="26"/>
      <c r="U483" s="26"/>
      <c r="V483" s="26"/>
      <c r="W483" s="26"/>
      <c r="X483" s="26"/>
    </row>
    <row r="484" customFormat="false" ht="14.25" hidden="false" customHeight="true" outlineLevel="0" collapsed="false">
      <c r="B484" s="34"/>
      <c r="C484" s="38"/>
      <c r="D484" s="36"/>
      <c r="E484" s="36"/>
      <c r="F484" s="36"/>
      <c r="G484" s="35"/>
      <c r="I484" s="34"/>
      <c r="J484" s="36"/>
      <c r="K484" s="36"/>
      <c r="L484" s="36"/>
      <c r="M484" s="36"/>
      <c r="N484" s="31"/>
      <c r="O484" s="31"/>
      <c r="P484" s="32"/>
      <c r="Q484" s="32"/>
      <c r="R484" s="33"/>
      <c r="T484" s="26"/>
      <c r="U484" s="26"/>
      <c r="V484" s="26"/>
      <c r="W484" s="26"/>
      <c r="X484" s="26"/>
    </row>
    <row r="485" customFormat="false" ht="14.25" hidden="false" customHeight="true" outlineLevel="0" collapsed="false">
      <c r="P485" s="10"/>
      <c r="Q485" s="10"/>
      <c r="R485" s="10"/>
    </row>
    <row r="486" customFormat="false" ht="14.25" hidden="false" customHeight="true" outlineLevel="0" collapsed="false">
      <c r="B486" s="39"/>
      <c r="C486" s="39"/>
      <c r="E486" s="39"/>
      <c r="F486" s="40"/>
      <c r="G486" s="41"/>
      <c r="H486" s="41"/>
      <c r="P486" s="10"/>
      <c r="Q486" s="42"/>
    </row>
    <row r="487" customFormat="false" ht="14.25" hidden="false" customHeight="true" outlineLevel="0" collapsed="false">
      <c r="B487" s="39"/>
      <c r="C487" s="39"/>
      <c r="E487" s="39"/>
      <c r="F487" s="39"/>
      <c r="P487" s="10"/>
      <c r="Q487" s="39"/>
      <c r="R487" s="39"/>
    </row>
    <row r="488" customFormat="false" ht="14.25" hidden="false" customHeight="true" outlineLevel="0" collapsed="false">
      <c r="B488" s="43"/>
      <c r="E488" s="43"/>
      <c r="F488" s="44"/>
      <c r="G488" s="10"/>
      <c r="P488" s="10"/>
      <c r="Q488" s="10"/>
      <c r="R488" s="10"/>
    </row>
    <row r="489" customFormat="false" ht="14.25" hidden="false" customHeight="true" outlineLevel="0" collapsed="false">
      <c r="B489" s="43"/>
      <c r="E489" s="43"/>
      <c r="F489" s="44"/>
      <c r="G489" s="10"/>
      <c r="P489" s="10"/>
      <c r="Q489" s="10"/>
      <c r="R489" s="10"/>
    </row>
    <row r="490" customFormat="false" ht="14.25" hidden="false" customHeight="true" outlineLevel="0" collapsed="false">
      <c r="B490" s="43"/>
      <c r="E490" s="43"/>
      <c r="F490" s="44"/>
      <c r="G490" s="10"/>
      <c r="P490" s="10"/>
      <c r="Q490" s="10"/>
      <c r="R490" s="10"/>
    </row>
    <row r="491" customFormat="false" ht="14.25" hidden="false" customHeight="true" outlineLevel="0" collapsed="false">
      <c r="B491" s="43"/>
      <c r="E491" s="43"/>
      <c r="F491" s="44"/>
      <c r="G491" s="10"/>
      <c r="P491" s="10"/>
      <c r="Q491" s="10"/>
      <c r="R491" s="10"/>
    </row>
    <row r="492" customFormat="false" ht="14.25" hidden="false" customHeight="true" outlineLevel="0" collapsed="false">
      <c r="B492" s="43"/>
      <c r="E492" s="43"/>
      <c r="F492" s="44"/>
      <c r="G492" s="10"/>
      <c r="P492" s="10"/>
      <c r="Q492" s="10"/>
      <c r="R492" s="10"/>
    </row>
    <row r="493" customFormat="false" ht="14.25" hidden="false" customHeight="true" outlineLevel="0" collapsed="false">
      <c r="P493" s="10"/>
      <c r="Q493" s="10"/>
      <c r="R493" s="10"/>
    </row>
    <row r="494" customFormat="false" ht="14.25" hidden="false" customHeight="true" outlineLevel="0" collapsed="false">
      <c r="P494" s="10"/>
      <c r="Q494" s="10"/>
      <c r="R494" s="10"/>
    </row>
    <row r="495" customFormat="false" ht="14.25" hidden="false" customHeight="true" outlineLevel="0" collapsed="false">
      <c r="P495" s="10"/>
      <c r="Q495" s="10"/>
      <c r="R495" s="10"/>
    </row>
    <row r="496" customFormat="false" ht="14.25" hidden="false" customHeight="true" outlineLevel="0" collapsed="false">
      <c r="P496" s="10"/>
      <c r="Q496" s="10"/>
      <c r="R496" s="10"/>
    </row>
    <row r="497" customFormat="false" ht="14.25" hidden="false" customHeight="true" outlineLevel="0" collapsed="false">
      <c r="P497" s="10"/>
      <c r="Q497" s="10"/>
      <c r="R497" s="10"/>
    </row>
    <row r="498" customFormat="false" ht="14.25" hidden="false" customHeight="true" outlineLevel="0" collapsed="false">
      <c r="P498" s="10"/>
      <c r="Q498" s="10"/>
      <c r="R498" s="10"/>
    </row>
    <row r="499" customFormat="false" ht="14.25" hidden="false" customHeight="true" outlineLevel="0" collapsed="false">
      <c r="P499" s="10"/>
      <c r="Q499" s="10"/>
      <c r="R499" s="10"/>
    </row>
    <row r="500" customFormat="false" ht="14.25" hidden="false" customHeight="true" outlineLevel="0" collapsed="false">
      <c r="P500" s="10"/>
      <c r="Q500" s="10"/>
      <c r="R500" s="10"/>
    </row>
    <row r="501" customFormat="false" ht="14.25" hidden="false" customHeight="true" outlineLevel="0" collapsed="false">
      <c r="P501" s="10"/>
      <c r="Q501" s="10"/>
      <c r="R501" s="10"/>
    </row>
    <row r="502" customFormat="false" ht="14.25" hidden="false" customHeight="true" outlineLevel="0" collapsed="false">
      <c r="P502" s="10"/>
      <c r="Q502" s="10"/>
      <c r="R502" s="10"/>
    </row>
    <row r="503" customFormat="false" ht="14.25" hidden="false" customHeight="true" outlineLevel="0" collapsed="false">
      <c r="P503" s="10"/>
      <c r="Q503" s="10"/>
      <c r="R503" s="10"/>
    </row>
    <row r="504" customFormat="false" ht="14.25" hidden="false" customHeight="true" outlineLevel="0" collapsed="false">
      <c r="P504" s="10"/>
      <c r="Q504" s="10"/>
      <c r="R504" s="10"/>
    </row>
    <row r="505" customFormat="false" ht="14.25" hidden="false" customHeight="true" outlineLevel="0" collapsed="false">
      <c r="P505" s="10"/>
      <c r="Q505" s="10"/>
      <c r="R505" s="10"/>
    </row>
    <row r="506" customFormat="false" ht="14.25" hidden="false" customHeight="true" outlineLevel="0" collapsed="false">
      <c r="P506" s="10"/>
      <c r="Q506" s="10"/>
      <c r="R506" s="10"/>
    </row>
    <row r="507" customFormat="false" ht="14.25" hidden="false" customHeight="true" outlineLevel="0" collapsed="false">
      <c r="P507" s="10"/>
      <c r="Q507" s="10"/>
      <c r="R507" s="10"/>
    </row>
    <row r="508" customFormat="false" ht="14.25" hidden="false" customHeight="true" outlineLevel="0" collapsed="false">
      <c r="P508" s="10"/>
      <c r="Q508" s="10"/>
      <c r="R508" s="10"/>
    </row>
    <row r="509" customFormat="false" ht="14.25" hidden="false" customHeight="true" outlineLevel="0" collapsed="false">
      <c r="P509" s="10"/>
      <c r="Q509" s="10"/>
      <c r="R509" s="10"/>
    </row>
    <row r="510" customFormat="false" ht="14.25" hidden="false" customHeight="true" outlineLevel="0" collapsed="false">
      <c r="P510" s="10"/>
      <c r="Q510" s="10"/>
      <c r="R510" s="10"/>
    </row>
    <row r="511" customFormat="false" ht="14.25" hidden="false" customHeight="true" outlineLevel="0" collapsed="false">
      <c r="P511" s="10"/>
      <c r="Q511" s="10"/>
      <c r="R511" s="10"/>
    </row>
    <row r="512" customFormat="false" ht="14.25" hidden="false" customHeight="true" outlineLevel="0" collapsed="false">
      <c r="P512" s="10"/>
      <c r="Q512" s="10"/>
      <c r="R512" s="10"/>
    </row>
    <row r="513" customFormat="false" ht="14.25" hidden="false" customHeight="true" outlineLevel="0" collapsed="false">
      <c r="P513" s="10"/>
      <c r="Q513" s="10"/>
      <c r="R513" s="10"/>
    </row>
    <row r="514" customFormat="false" ht="14.25" hidden="false" customHeight="true" outlineLevel="0" collapsed="false">
      <c r="P514" s="10"/>
      <c r="Q514" s="10"/>
      <c r="R514" s="10"/>
    </row>
    <row r="515" customFormat="false" ht="14.25" hidden="false" customHeight="true" outlineLevel="0" collapsed="false">
      <c r="P515" s="10"/>
      <c r="Q515" s="10"/>
      <c r="R515" s="10"/>
    </row>
    <row r="516" customFormat="false" ht="14.25" hidden="false" customHeight="true" outlineLevel="0" collapsed="false">
      <c r="P516" s="10"/>
      <c r="Q516" s="10"/>
      <c r="R516" s="10"/>
    </row>
    <row r="517" customFormat="false" ht="14.25" hidden="false" customHeight="true" outlineLevel="0" collapsed="false">
      <c r="P517" s="10"/>
      <c r="Q517" s="10"/>
      <c r="R517" s="10"/>
    </row>
    <row r="518" customFormat="false" ht="14.25" hidden="false" customHeight="true" outlineLevel="0" collapsed="false">
      <c r="P518" s="10"/>
      <c r="Q518" s="10"/>
      <c r="R518" s="10"/>
    </row>
    <row r="519" customFormat="false" ht="14.25" hidden="false" customHeight="true" outlineLevel="0" collapsed="false">
      <c r="P519" s="10"/>
      <c r="Q519" s="10"/>
      <c r="R519" s="10"/>
    </row>
    <row r="520" customFormat="false" ht="14.25" hidden="false" customHeight="true" outlineLevel="0" collapsed="false">
      <c r="P520" s="10"/>
      <c r="Q520" s="10"/>
      <c r="R520" s="10"/>
    </row>
    <row r="521" customFormat="false" ht="14.25" hidden="false" customHeight="true" outlineLevel="0" collapsed="false">
      <c r="P521" s="10"/>
      <c r="Q521" s="10"/>
      <c r="R521" s="10"/>
    </row>
    <row r="522" customFormat="false" ht="14.25" hidden="false" customHeight="true" outlineLevel="0" collapsed="false">
      <c r="P522" s="10"/>
      <c r="Q522" s="10"/>
      <c r="R522" s="10"/>
    </row>
    <row r="523" customFormat="false" ht="14.25" hidden="false" customHeight="true" outlineLevel="0" collapsed="false">
      <c r="P523" s="10"/>
      <c r="Q523" s="10"/>
      <c r="R523" s="10"/>
    </row>
    <row r="524" customFormat="false" ht="14.25" hidden="false" customHeight="true" outlineLevel="0" collapsed="false">
      <c r="P524" s="10"/>
      <c r="Q524" s="10"/>
      <c r="R524" s="10"/>
    </row>
    <row r="525" customFormat="false" ht="14.25" hidden="false" customHeight="true" outlineLevel="0" collapsed="false">
      <c r="P525" s="10"/>
      <c r="Q525" s="10"/>
      <c r="R525" s="10"/>
    </row>
    <row r="526" customFormat="false" ht="14.25" hidden="false" customHeight="true" outlineLevel="0" collapsed="false">
      <c r="P526" s="10"/>
      <c r="Q526" s="10"/>
      <c r="R526" s="10"/>
    </row>
    <row r="527" customFormat="false" ht="14.25" hidden="false" customHeight="true" outlineLevel="0" collapsed="false">
      <c r="P527" s="10"/>
      <c r="Q527" s="10"/>
      <c r="R527" s="10"/>
    </row>
    <row r="528" customFormat="false" ht="14.25" hidden="false" customHeight="true" outlineLevel="0" collapsed="false">
      <c r="P528" s="10"/>
      <c r="Q528" s="10"/>
      <c r="R528" s="10"/>
    </row>
    <row r="529" customFormat="false" ht="14.25" hidden="false" customHeight="true" outlineLevel="0" collapsed="false">
      <c r="P529" s="10"/>
      <c r="Q529" s="10"/>
      <c r="R529" s="10"/>
    </row>
    <row r="530" customFormat="false" ht="14.25" hidden="false" customHeight="true" outlineLevel="0" collapsed="false">
      <c r="P530" s="10"/>
      <c r="Q530" s="10"/>
      <c r="R530" s="10"/>
    </row>
    <row r="531" customFormat="false" ht="14.25" hidden="false" customHeight="true" outlineLevel="0" collapsed="false">
      <c r="P531" s="10"/>
      <c r="Q531" s="10"/>
      <c r="R531" s="10"/>
    </row>
    <row r="532" customFormat="false" ht="14.25" hidden="false" customHeight="true" outlineLevel="0" collapsed="false">
      <c r="P532" s="10"/>
      <c r="Q532" s="10"/>
      <c r="R532" s="10"/>
    </row>
    <row r="533" customFormat="false" ht="14.25" hidden="false" customHeight="true" outlineLevel="0" collapsed="false">
      <c r="P533" s="10"/>
      <c r="Q533" s="10"/>
      <c r="R533" s="10"/>
    </row>
    <row r="534" customFormat="false" ht="14.25" hidden="false" customHeight="true" outlineLevel="0" collapsed="false">
      <c r="P534" s="10"/>
      <c r="Q534" s="10"/>
      <c r="R534" s="10"/>
    </row>
    <row r="535" customFormat="false" ht="14.25" hidden="false" customHeight="true" outlineLevel="0" collapsed="false">
      <c r="P535" s="10"/>
      <c r="Q535" s="10"/>
      <c r="R535" s="10"/>
    </row>
    <row r="536" customFormat="false" ht="14.25" hidden="false" customHeight="true" outlineLevel="0" collapsed="false">
      <c r="P536" s="10"/>
      <c r="Q536" s="10"/>
      <c r="R536" s="10"/>
    </row>
    <row r="537" customFormat="false" ht="14.25" hidden="false" customHeight="true" outlineLevel="0" collapsed="false">
      <c r="P537" s="10"/>
      <c r="Q537" s="10"/>
      <c r="R537" s="10"/>
    </row>
    <row r="538" customFormat="false" ht="14.25" hidden="false" customHeight="true" outlineLevel="0" collapsed="false">
      <c r="P538" s="10"/>
      <c r="Q538" s="10"/>
      <c r="R538" s="10"/>
    </row>
    <row r="539" customFormat="false" ht="14.25" hidden="false" customHeight="true" outlineLevel="0" collapsed="false">
      <c r="P539" s="10"/>
      <c r="Q539" s="10"/>
      <c r="R539" s="10"/>
    </row>
    <row r="540" customFormat="false" ht="14.25" hidden="false" customHeight="true" outlineLevel="0" collapsed="false">
      <c r="P540" s="10"/>
      <c r="Q540" s="10"/>
      <c r="R540" s="10"/>
    </row>
    <row r="541" customFormat="false" ht="14.25" hidden="false" customHeight="true" outlineLevel="0" collapsed="false">
      <c r="P541" s="10"/>
      <c r="Q541" s="10"/>
      <c r="R541" s="10"/>
    </row>
    <row r="542" customFormat="false" ht="14.25" hidden="false" customHeight="true" outlineLevel="0" collapsed="false">
      <c r="P542" s="10"/>
      <c r="Q542" s="10"/>
      <c r="R542" s="10"/>
    </row>
    <row r="543" customFormat="false" ht="14.25" hidden="false" customHeight="true" outlineLevel="0" collapsed="false">
      <c r="P543" s="10"/>
      <c r="Q543" s="10"/>
      <c r="R543" s="10"/>
    </row>
    <row r="544" customFormat="false" ht="14.25" hidden="false" customHeight="true" outlineLevel="0" collapsed="false">
      <c r="P544" s="10"/>
      <c r="Q544" s="10"/>
      <c r="R544" s="10"/>
    </row>
    <row r="545" customFormat="false" ht="14.25" hidden="false" customHeight="true" outlineLevel="0" collapsed="false">
      <c r="P545" s="10"/>
      <c r="Q545" s="10"/>
      <c r="R545" s="10"/>
    </row>
    <row r="546" customFormat="false" ht="14.25" hidden="false" customHeight="true" outlineLevel="0" collapsed="false">
      <c r="P546" s="10"/>
      <c r="Q546" s="10"/>
      <c r="R546" s="10"/>
    </row>
    <row r="547" customFormat="false" ht="14.25" hidden="false" customHeight="true" outlineLevel="0" collapsed="false">
      <c r="P547" s="10"/>
      <c r="Q547" s="10"/>
      <c r="R547" s="10"/>
    </row>
    <row r="548" customFormat="false" ht="14.25" hidden="false" customHeight="true" outlineLevel="0" collapsed="false">
      <c r="P548" s="10"/>
      <c r="Q548" s="10"/>
      <c r="R548" s="10"/>
    </row>
    <row r="549" customFormat="false" ht="14.25" hidden="false" customHeight="true" outlineLevel="0" collapsed="false">
      <c r="P549" s="10"/>
      <c r="Q549" s="10"/>
      <c r="R549" s="10"/>
    </row>
    <row r="550" customFormat="false" ht="14.25" hidden="false" customHeight="true" outlineLevel="0" collapsed="false">
      <c r="P550" s="10"/>
      <c r="Q550" s="10"/>
      <c r="R550" s="10"/>
    </row>
    <row r="551" customFormat="false" ht="14.25" hidden="false" customHeight="true" outlineLevel="0" collapsed="false">
      <c r="P551" s="10"/>
      <c r="Q551" s="10"/>
      <c r="R551" s="10"/>
    </row>
    <row r="552" customFormat="false" ht="14.25" hidden="false" customHeight="true" outlineLevel="0" collapsed="false">
      <c r="P552" s="10"/>
      <c r="Q552" s="10"/>
      <c r="R552" s="10"/>
    </row>
    <row r="553" customFormat="false" ht="14.25" hidden="false" customHeight="true" outlineLevel="0" collapsed="false">
      <c r="P553" s="10"/>
      <c r="Q553" s="10"/>
      <c r="R553" s="10"/>
    </row>
    <row r="554" customFormat="false" ht="14.25" hidden="false" customHeight="true" outlineLevel="0" collapsed="false">
      <c r="P554" s="10"/>
      <c r="Q554" s="10"/>
      <c r="R554" s="10"/>
    </row>
    <row r="555" customFormat="false" ht="14.25" hidden="false" customHeight="true" outlineLevel="0" collapsed="false">
      <c r="P555" s="10"/>
      <c r="Q555" s="10"/>
      <c r="R555" s="10"/>
    </row>
    <row r="556" customFormat="false" ht="14.25" hidden="false" customHeight="true" outlineLevel="0" collapsed="false">
      <c r="P556" s="10"/>
      <c r="Q556" s="10"/>
      <c r="R556" s="10"/>
    </row>
    <row r="557" customFormat="false" ht="14.25" hidden="false" customHeight="true" outlineLevel="0" collapsed="false">
      <c r="P557" s="10"/>
      <c r="Q557" s="10"/>
      <c r="R557" s="10"/>
    </row>
    <row r="558" customFormat="false" ht="14.25" hidden="false" customHeight="true" outlineLevel="0" collapsed="false">
      <c r="P558" s="10"/>
      <c r="Q558" s="10"/>
      <c r="R558" s="10"/>
    </row>
    <row r="559" customFormat="false" ht="14.25" hidden="false" customHeight="true" outlineLevel="0" collapsed="false">
      <c r="P559" s="10"/>
      <c r="Q559" s="10"/>
      <c r="R559" s="10"/>
    </row>
    <row r="560" customFormat="false" ht="14.25" hidden="false" customHeight="true" outlineLevel="0" collapsed="false">
      <c r="P560" s="10"/>
      <c r="Q560" s="10"/>
      <c r="R560" s="10"/>
    </row>
    <row r="561" customFormat="false" ht="14.25" hidden="false" customHeight="true" outlineLevel="0" collapsed="false">
      <c r="P561" s="10"/>
      <c r="Q561" s="10"/>
      <c r="R561" s="10"/>
    </row>
    <row r="562" customFormat="false" ht="14.25" hidden="false" customHeight="true" outlineLevel="0" collapsed="false">
      <c r="P562" s="10"/>
      <c r="Q562" s="10"/>
      <c r="R562" s="10"/>
    </row>
    <row r="563" customFormat="false" ht="14.25" hidden="false" customHeight="true" outlineLevel="0" collapsed="false">
      <c r="P563" s="10"/>
      <c r="Q563" s="10"/>
      <c r="R563" s="10"/>
    </row>
    <row r="564" customFormat="false" ht="14.25" hidden="false" customHeight="true" outlineLevel="0" collapsed="false">
      <c r="P564" s="10"/>
      <c r="Q564" s="10"/>
      <c r="R564" s="10"/>
    </row>
    <row r="565" customFormat="false" ht="14.25" hidden="false" customHeight="true" outlineLevel="0" collapsed="false">
      <c r="P565" s="10"/>
      <c r="Q565" s="10"/>
      <c r="R565" s="10"/>
    </row>
    <row r="566" customFormat="false" ht="14.25" hidden="false" customHeight="true" outlineLevel="0" collapsed="false">
      <c r="P566" s="10"/>
      <c r="Q566" s="10"/>
      <c r="R566" s="10"/>
    </row>
    <row r="567" customFormat="false" ht="14.25" hidden="false" customHeight="true" outlineLevel="0" collapsed="false">
      <c r="P567" s="10"/>
      <c r="Q567" s="10"/>
      <c r="R567" s="10"/>
    </row>
    <row r="568" customFormat="false" ht="14.25" hidden="false" customHeight="true" outlineLevel="0" collapsed="false">
      <c r="P568" s="10"/>
      <c r="Q568" s="10"/>
      <c r="R568" s="10"/>
    </row>
    <row r="569" customFormat="false" ht="14.25" hidden="false" customHeight="true" outlineLevel="0" collapsed="false">
      <c r="P569" s="10"/>
      <c r="Q569" s="10"/>
      <c r="R569" s="10"/>
    </row>
    <row r="570" customFormat="false" ht="14.25" hidden="false" customHeight="true" outlineLevel="0" collapsed="false">
      <c r="P570" s="10"/>
      <c r="Q570" s="10"/>
      <c r="R570" s="10"/>
    </row>
    <row r="571" customFormat="false" ht="14.25" hidden="false" customHeight="true" outlineLevel="0" collapsed="false">
      <c r="P571" s="10"/>
      <c r="Q571" s="10"/>
      <c r="R571" s="10"/>
    </row>
    <row r="572" customFormat="false" ht="14.25" hidden="false" customHeight="true" outlineLevel="0" collapsed="false">
      <c r="P572" s="10"/>
      <c r="Q572" s="10"/>
      <c r="R572" s="10"/>
    </row>
    <row r="573" customFormat="false" ht="14.25" hidden="false" customHeight="true" outlineLevel="0" collapsed="false">
      <c r="P573" s="10"/>
      <c r="Q573" s="10"/>
      <c r="R573" s="10"/>
    </row>
    <row r="574" customFormat="false" ht="14.25" hidden="false" customHeight="true" outlineLevel="0" collapsed="false">
      <c r="P574" s="10"/>
      <c r="Q574" s="10"/>
      <c r="R574" s="10"/>
    </row>
    <row r="575" customFormat="false" ht="14.25" hidden="false" customHeight="true" outlineLevel="0" collapsed="false">
      <c r="P575" s="10"/>
      <c r="Q575" s="10"/>
      <c r="R575" s="10"/>
    </row>
    <row r="576" customFormat="false" ht="14.25" hidden="false" customHeight="true" outlineLevel="0" collapsed="false">
      <c r="P576" s="10"/>
      <c r="Q576" s="10"/>
      <c r="R576" s="10"/>
    </row>
    <row r="577" customFormat="false" ht="14.25" hidden="false" customHeight="true" outlineLevel="0" collapsed="false">
      <c r="P577" s="10"/>
      <c r="Q577" s="10"/>
      <c r="R577" s="10"/>
    </row>
    <row r="578" customFormat="false" ht="14.25" hidden="false" customHeight="true" outlineLevel="0" collapsed="false">
      <c r="P578" s="10"/>
      <c r="Q578" s="10"/>
      <c r="R578" s="10"/>
    </row>
    <row r="579" customFormat="false" ht="14.25" hidden="false" customHeight="true" outlineLevel="0" collapsed="false">
      <c r="P579" s="10"/>
      <c r="Q579" s="10"/>
      <c r="R579" s="10"/>
    </row>
    <row r="580" customFormat="false" ht="14.25" hidden="false" customHeight="true" outlineLevel="0" collapsed="false">
      <c r="P580" s="10"/>
      <c r="Q580" s="10"/>
      <c r="R580" s="10"/>
    </row>
    <row r="581" customFormat="false" ht="14.25" hidden="false" customHeight="true" outlineLevel="0" collapsed="false">
      <c r="P581" s="10"/>
      <c r="Q581" s="10"/>
      <c r="R581" s="10"/>
    </row>
    <row r="582" customFormat="false" ht="14.25" hidden="false" customHeight="true" outlineLevel="0" collapsed="false">
      <c r="P582" s="10"/>
      <c r="Q582" s="10"/>
      <c r="R582" s="10"/>
    </row>
    <row r="583" customFormat="false" ht="14.25" hidden="false" customHeight="true" outlineLevel="0" collapsed="false">
      <c r="P583" s="10"/>
      <c r="Q583" s="10"/>
      <c r="R583" s="10"/>
    </row>
    <row r="584" customFormat="false" ht="14.25" hidden="false" customHeight="true" outlineLevel="0" collapsed="false">
      <c r="P584" s="10"/>
      <c r="Q584" s="10"/>
      <c r="R584" s="10"/>
    </row>
    <row r="585" customFormat="false" ht="14.25" hidden="false" customHeight="true" outlineLevel="0" collapsed="false">
      <c r="P585" s="10"/>
      <c r="Q585" s="10"/>
      <c r="R585" s="10"/>
    </row>
    <row r="586" customFormat="false" ht="14.25" hidden="false" customHeight="true" outlineLevel="0" collapsed="false">
      <c r="P586" s="10"/>
      <c r="Q586" s="10"/>
      <c r="R586" s="10"/>
    </row>
    <row r="587" customFormat="false" ht="14.25" hidden="false" customHeight="true" outlineLevel="0" collapsed="false">
      <c r="P587" s="10"/>
      <c r="Q587" s="10"/>
      <c r="R587" s="10"/>
    </row>
    <row r="588" customFormat="false" ht="14.25" hidden="false" customHeight="true" outlineLevel="0" collapsed="false">
      <c r="P588" s="10"/>
      <c r="Q588" s="10"/>
      <c r="R588" s="10"/>
    </row>
    <row r="589" customFormat="false" ht="14.25" hidden="false" customHeight="true" outlineLevel="0" collapsed="false">
      <c r="P589" s="10"/>
      <c r="Q589" s="10"/>
      <c r="R589" s="10"/>
    </row>
    <row r="590" customFormat="false" ht="14.25" hidden="false" customHeight="true" outlineLevel="0" collapsed="false">
      <c r="P590" s="10"/>
      <c r="Q590" s="10"/>
      <c r="R590" s="10"/>
    </row>
    <row r="591" customFormat="false" ht="14.25" hidden="false" customHeight="true" outlineLevel="0" collapsed="false">
      <c r="P591" s="10"/>
      <c r="Q591" s="10"/>
      <c r="R591" s="10"/>
    </row>
    <row r="592" customFormat="false" ht="14.25" hidden="false" customHeight="true" outlineLevel="0" collapsed="false">
      <c r="P592" s="10"/>
      <c r="Q592" s="10"/>
      <c r="R592" s="10"/>
    </row>
    <row r="593" customFormat="false" ht="14.25" hidden="false" customHeight="true" outlineLevel="0" collapsed="false">
      <c r="P593" s="10"/>
      <c r="Q593" s="10"/>
      <c r="R593" s="10"/>
    </row>
    <row r="594" customFormat="false" ht="14.25" hidden="false" customHeight="true" outlineLevel="0" collapsed="false">
      <c r="P594" s="10"/>
      <c r="Q594" s="10"/>
      <c r="R594" s="10"/>
    </row>
    <row r="595" customFormat="false" ht="14.25" hidden="false" customHeight="true" outlineLevel="0" collapsed="false">
      <c r="P595" s="10"/>
      <c r="Q595" s="10"/>
      <c r="R595" s="10"/>
    </row>
    <row r="596" customFormat="false" ht="14.25" hidden="false" customHeight="true" outlineLevel="0" collapsed="false">
      <c r="P596" s="10"/>
      <c r="Q596" s="10"/>
      <c r="R596" s="10"/>
    </row>
    <row r="597" customFormat="false" ht="14.25" hidden="false" customHeight="true" outlineLevel="0" collapsed="false">
      <c r="P597" s="10"/>
      <c r="Q597" s="10"/>
      <c r="R597" s="10"/>
    </row>
    <row r="598" customFormat="false" ht="14.25" hidden="false" customHeight="true" outlineLevel="0" collapsed="false">
      <c r="P598" s="10"/>
      <c r="Q598" s="10"/>
      <c r="R598" s="10"/>
    </row>
    <row r="599" customFormat="false" ht="14.25" hidden="false" customHeight="true" outlineLevel="0" collapsed="false">
      <c r="P599" s="10"/>
      <c r="Q599" s="10"/>
      <c r="R599" s="10"/>
    </row>
    <row r="600" customFormat="false" ht="14.25" hidden="false" customHeight="true" outlineLevel="0" collapsed="false">
      <c r="P600" s="10"/>
      <c r="Q600" s="10"/>
      <c r="R600" s="10"/>
    </row>
    <row r="601" customFormat="false" ht="14.25" hidden="false" customHeight="true" outlineLevel="0" collapsed="false">
      <c r="P601" s="10"/>
      <c r="Q601" s="10"/>
      <c r="R601" s="10"/>
    </row>
    <row r="602" customFormat="false" ht="14.25" hidden="false" customHeight="true" outlineLevel="0" collapsed="false">
      <c r="P602" s="10"/>
      <c r="Q602" s="10"/>
      <c r="R602" s="10"/>
    </row>
    <row r="603" customFormat="false" ht="14.25" hidden="false" customHeight="true" outlineLevel="0" collapsed="false">
      <c r="P603" s="10"/>
      <c r="Q603" s="10"/>
      <c r="R603" s="10"/>
    </row>
    <row r="604" customFormat="false" ht="14.25" hidden="false" customHeight="true" outlineLevel="0" collapsed="false">
      <c r="P604" s="10"/>
      <c r="Q604" s="10"/>
      <c r="R604" s="10"/>
    </row>
    <row r="605" customFormat="false" ht="14.25" hidden="false" customHeight="true" outlineLevel="0" collapsed="false">
      <c r="P605" s="10"/>
      <c r="Q605" s="10"/>
      <c r="R605" s="10"/>
    </row>
    <row r="606" customFormat="false" ht="14.25" hidden="false" customHeight="true" outlineLevel="0" collapsed="false">
      <c r="P606" s="10"/>
      <c r="Q606" s="10"/>
      <c r="R606" s="10"/>
    </row>
    <row r="607" customFormat="false" ht="14.25" hidden="false" customHeight="true" outlineLevel="0" collapsed="false">
      <c r="P607" s="10"/>
      <c r="Q607" s="10"/>
      <c r="R607" s="10"/>
    </row>
    <row r="608" customFormat="false" ht="14.25" hidden="false" customHeight="true" outlineLevel="0" collapsed="false">
      <c r="P608" s="10"/>
      <c r="Q608" s="10"/>
      <c r="R608" s="10"/>
    </row>
    <row r="609" customFormat="false" ht="14.25" hidden="false" customHeight="true" outlineLevel="0" collapsed="false">
      <c r="P609" s="10"/>
      <c r="Q609" s="10"/>
      <c r="R609" s="10"/>
    </row>
    <row r="610" customFormat="false" ht="14.25" hidden="false" customHeight="true" outlineLevel="0" collapsed="false">
      <c r="P610" s="10"/>
      <c r="Q610" s="10"/>
      <c r="R610" s="10"/>
    </row>
    <row r="611" customFormat="false" ht="14.25" hidden="false" customHeight="true" outlineLevel="0" collapsed="false">
      <c r="P611" s="10"/>
      <c r="Q611" s="10"/>
      <c r="R611" s="10"/>
    </row>
    <row r="612" customFormat="false" ht="14.25" hidden="false" customHeight="true" outlineLevel="0" collapsed="false">
      <c r="P612" s="10"/>
      <c r="Q612" s="10"/>
      <c r="R612" s="10"/>
    </row>
    <row r="613" customFormat="false" ht="14.25" hidden="false" customHeight="true" outlineLevel="0" collapsed="false">
      <c r="P613" s="10"/>
      <c r="Q613" s="10"/>
      <c r="R613" s="10"/>
    </row>
    <row r="614" customFormat="false" ht="14.25" hidden="false" customHeight="true" outlineLevel="0" collapsed="false">
      <c r="P614" s="10"/>
      <c r="Q614" s="10"/>
      <c r="R614" s="10"/>
    </row>
    <row r="615" customFormat="false" ht="14.25" hidden="false" customHeight="true" outlineLevel="0" collapsed="false">
      <c r="P615" s="10"/>
      <c r="Q615" s="10"/>
      <c r="R615" s="10"/>
    </row>
    <row r="616" customFormat="false" ht="14.25" hidden="false" customHeight="true" outlineLevel="0" collapsed="false">
      <c r="P616" s="10"/>
      <c r="Q616" s="10"/>
      <c r="R616" s="10"/>
    </row>
    <row r="617" customFormat="false" ht="14.25" hidden="false" customHeight="true" outlineLevel="0" collapsed="false">
      <c r="P617" s="10"/>
      <c r="Q617" s="10"/>
      <c r="R617" s="10"/>
    </row>
    <row r="618" customFormat="false" ht="14.25" hidden="false" customHeight="true" outlineLevel="0" collapsed="false">
      <c r="P618" s="10"/>
      <c r="Q618" s="10"/>
      <c r="R618" s="10"/>
    </row>
    <row r="619" customFormat="false" ht="14.25" hidden="false" customHeight="true" outlineLevel="0" collapsed="false">
      <c r="P619" s="10"/>
      <c r="Q619" s="10"/>
      <c r="R619" s="10"/>
    </row>
    <row r="620" customFormat="false" ht="14.25" hidden="false" customHeight="true" outlineLevel="0" collapsed="false">
      <c r="P620" s="10"/>
      <c r="Q620" s="10"/>
      <c r="R620" s="10"/>
    </row>
    <row r="621" customFormat="false" ht="14.25" hidden="false" customHeight="true" outlineLevel="0" collapsed="false">
      <c r="P621" s="10"/>
      <c r="Q621" s="10"/>
      <c r="R621" s="10"/>
    </row>
    <row r="622" customFormat="false" ht="14.25" hidden="false" customHeight="true" outlineLevel="0" collapsed="false">
      <c r="P622" s="10"/>
      <c r="Q622" s="10"/>
      <c r="R622" s="10"/>
    </row>
    <row r="623" customFormat="false" ht="14.25" hidden="false" customHeight="true" outlineLevel="0" collapsed="false">
      <c r="P623" s="10"/>
      <c r="Q623" s="10"/>
      <c r="R623" s="10"/>
    </row>
    <row r="624" customFormat="false" ht="14.25" hidden="false" customHeight="true" outlineLevel="0" collapsed="false">
      <c r="P624" s="10"/>
      <c r="Q624" s="10"/>
      <c r="R624" s="10"/>
    </row>
    <row r="625" customFormat="false" ht="14.25" hidden="false" customHeight="true" outlineLevel="0" collapsed="false">
      <c r="P625" s="10"/>
      <c r="Q625" s="10"/>
      <c r="R625" s="10"/>
    </row>
    <row r="626" customFormat="false" ht="14.25" hidden="false" customHeight="true" outlineLevel="0" collapsed="false">
      <c r="P626" s="10"/>
      <c r="Q626" s="10"/>
      <c r="R626" s="10"/>
    </row>
    <row r="627" customFormat="false" ht="14.25" hidden="false" customHeight="true" outlineLevel="0" collapsed="false">
      <c r="P627" s="10"/>
      <c r="Q627" s="10"/>
      <c r="R627" s="10"/>
    </row>
    <row r="628" customFormat="false" ht="14.25" hidden="false" customHeight="true" outlineLevel="0" collapsed="false">
      <c r="P628" s="10"/>
      <c r="Q628" s="10"/>
      <c r="R628" s="10"/>
    </row>
    <row r="629" customFormat="false" ht="14.25" hidden="false" customHeight="true" outlineLevel="0" collapsed="false">
      <c r="P629" s="10"/>
      <c r="Q629" s="10"/>
      <c r="R629" s="10"/>
    </row>
    <row r="630" customFormat="false" ht="14.25" hidden="false" customHeight="true" outlineLevel="0" collapsed="false">
      <c r="P630" s="10"/>
      <c r="Q630" s="10"/>
      <c r="R630" s="10"/>
    </row>
    <row r="631" customFormat="false" ht="14.25" hidden="false" customHeight="true" outlineLevel="0" collapsed="false">
      <c r="P631" s="10"/>
      <c r="Q631" s="10"/>
      <c r="R631" s="10"/>
    </row>
    <row r="632" customFormat="false" ht="14.25" hidden="false" customHeight="true" outlineLevel="0" collapsed="false">
      <c r="P632" s="10"/>
      <c r="Q632" s="10"/>
      <c r="R632" s="10"/>
    </row>
    <row r="633" customFormat="false" ht="14.25" hidden="false" customHeight="true" outlineLevel="0" collapsed="false">
      <c r="P633" s="10"/>
      <c r="Q633" s="10"/>
      <c r="R633" s="10"/>
    </row>
    <row r="634" customFormat="false" ht="14.25" hidden="false" customHeight="true" outlineLevel="0" collapsed="false">
      <c r="P634" s="10"/>
      <c r="Q634" s="10"/>
      <c r="R634" s="10"/>
    </row>
    <row r="635" customFormat="false" ht="14.25" hidden="false" customHeight="true" outlineLevel="0" collapsed="false">
      <c r="P635" s="10"/>
      <c r="Q635" s="10"/>
      <c r="R635" s="10"/>
    </row>
    <row r="636" customFormat="false" ht="14.25" hidden="false" customHeight="true" outlineLevel="0" collapsed="false">
      <c r="P636" s="10"/>
      <c r="Q636" s="10"/>
      <c r="R636" s="10"/>
    </row>
    <row r="637" customFormat="false" ht="14.25" hidden="false" customHeight="true" outlineLevel="0" collapsed="false">
      <c r="P637" s="10"/>
      <c r="Q637" s="10"/>
      <c r="R637" s="10"/>
    </row>
    <row r="638" customFormat="false" ht="14.25" hidden="false" customHeight="true" outlineLevel="0" collapsed="false">
      <c r="P638" s="10"/>
      <c r="Q638" s="10"/>
      <c r="R638" s="10"/>
    </row>
    <row r="639" customFormat="false" ht="14.25" hidden="false" customHeight="true" outlineLevel="0" collapsed="false">
      <c r="P639" s="10"/>
      <c r="Q639" s="10"/>
      <c r="R639" s="10"/>
    </row>
    <row r="640" customFormat="false" ht="14.25" hidden="false" customHeight="true" outlineLevel="0" collapsed="false">
      <c r="P640" s="10"/>
      <c r="Q640" s="10"/>
      <c r="R640" s="10"/>
    </row>
    <row r="641" customFormat="false" ht="14.25" hidden="false" customHeight="true" outlineLevel="0" collapsed="false">
      <c r="P641" s="10"/>
      <c r="Q641" s="10"/>
      <c r="R641" s="10"/>
    </row>
    <row r="642" customFormat="false" ht="14.25" hidden="false" customHeight="true" outlineLevel="0" collapsed="false">
      <c r="P642" s="10"/>
      <c r="Q642" s="10"/>
      <c r="R642" s="10"/>
    </row>
    <row r="643" customFormat="false" ht="14.25" hidden="false" customHeight="true" outlineLevel="0" collapsed="false">
      <c r="P643" s="10"/>
      <c r="Q643" s="10"/>
      <c r="R643" s="10"/>
    </row>
    <row r="644" customFormat="false" ht="14.25" hidden="false" customHeight="true" outlineLevel="0" collapsed="false">
      <c r="P644" s="10"/>
      <c r="Q644" s="10"/>
      <c r="R644" s="10"/>
    </row>
    <row r="645" customFormat="false" ht="14.25" hidden="false" customHeight="true" outlineLevel="0" collapsed="false">
      <c r="P645" s="10"/>
      <c r="Q645" s="10"/>
      <c r="R645" s="10"/>
    </row>
    <row r="646" customFormat="false" ht="14.25" hidden="false" customHeight="true" outlineLevel="0" collapsed="false">
      <c r="P646" s="10"/>
      <c r="Q646" s="10"/>
      <c r="R646" s="10"/>
    </row>
    <row r="647" customFormat="false" ht="14.25" hidden="false" customHeight="true" outlineLevel="0" collapsed="false">
      <c r="P647" s="10"/>
      <c r="Q647" s="10"/>
      <c r="R647" s="10"/>
    </row>
    <row r="648" customFormat="false" ht="14.25" hidden="false" customHeight="true" outlineLevel="0" collapsed="false">
      <c r="P648" s="10"/>
      <c r="Q648" s="10"/>
      <c r="R648" s="10"/>
    </row>
    <row r="649" customFormat="false" ht="14.25" hidden="false" customHeight="true" outlineLevel="0" collapsed="false">
      <c r="P649" s="10"/>
      <c r="Q649" s="10"/>
      <c r="R649" s="10"/>
    </row>
    <row r="650" customFormat="false" ht="14.25" hidden="false" customHeight="true" outlineLevel="0" collapsed="false">
      <c r="P650" s="10"/>
      <c r="Q650" s="10"/>
      <c r="R650" s="10"/>
    </row>
    <row r="651" customFormat="false" ht="14.25" hidden="false" customHeight="true" outlineLevel="0" collapsed="false">
      <c r="P651" s="10"/>
      <c r="Q651" s="10"/>
      <c r="R651" s="10"/>
    </row>
    <row r="652" customFormat="false" ht="14.25" hidden="false" customHeight="true" outlineLevel="0" collapsed="false">
      <c r="P652" s="10"/>
      <c r="Q652" s="10"/>
      <c r="R652" s="10"/>
    </row>
    <row r="653" customFormat="false" ht="14.25" hidden="false" customHeight="true" outlineLevel="0" collapsed="false">
      <c r="P653" s="10"/>
      <c r="Q653" s="10"/>
      <c r="R653" s="10"/>
    </row>
    <row r="654" customFormat="false" ht="14.25" hidden="false" customHeight="true" outlineLevel="0" collapsed="false">
      <c r="P654" s="10"/>
      <c r="Q654" s="10"/>
      <c r="R654" s="10"/>
    </row>
    <row r="655" customFormat="false" ht="14.25" hidden="false" customHeight="true" outlineLevel="0" collapsed="false">
      <c r="P655" s="10"/>
      <c r="Q655" s="10"/>
      <c r="R655" s="10"/>
    </row>
    <row r="656" customFormat="false" ht="14.25" hidden="false" customHeight="true" outlineLevel="0" collapsed="false">
      <c r="P656" s="10"/>
      <c r="Q656" s="10"/>
      <c r="R656" s="10"/>
    </row>
    <row r="657" customFormat="false" ht="14.25" hidden="false" customHeight="true" outlineLevel="0" collapsed="false">
      <c r="P657" s="10"/>
      <c r="Q657" s="10"/>
      <c r="R657" s="10"/>
    </row>
    <row r="658" customFormat="false" ht="14.25" hidden="false" customHeight="true" outlineLevel="0" collapsed="false">
      <c r="P658" s="10"/>
      <c r="Q658" s="10"/>
      <c r="R658" s="10"/>
    </row>
    <row r="659" customFormat="false" ht="14.25" hidden="false" customHeight="true" outlineLevel="0" collapsed="false">
      <c r="P659" s="10"/>
      <c r="Q659" s="10"/>
      <c r="R659" s="10"/>
    </row>
    <row r="660" customFormat="false" ht="14.25" hidden="false" customHeight="true" outlineLevel="0" collapsed="false">
      <c r="P660" s="10"/>
      <c r="Q660" s="10"/>
      <c r="R660" s="10"/>
    </row>
    <row r="661" customFormat="false" ht="14.25" hidden="false" customHeight="true" outlineLevel="0" collapsed="false">
      <c r="P661" s="10"/>
      <c r="Q661" s="10"/>
      <c r="R661" s="10"/>
    </row>
    <row r="662" customFormat="false" ht="14.25" hidden="false" customHeight="true" outlineLevel="0" collapsed="false">
      <c r="P662" s="10"/>
      <c r="Q662" s="10"/>
      <c r="R662" s="10"/>
    </row>
    <row r="663" customFormat="false" ht="14.25" hidden="false" customHeight="true" outlineLevel="0" collapsed="false">
      <c r="P663" s="10"/>
      <c r="Q663" s="10"/>
      <c r="R663" s="10"/>
    </row>
    <row r="664" customFormat="false" ht="14.25" hidden="false" customHeight="true" outlineLevel="0" collapsed="false">
      <c r="P664" s="10"/>
      <c r="Q664" s="10"/>
      <c r="R664" s="10"/>
    </row>
    <row r="665" customFormat="false" ht="14.25" hidden="false" customHeight="true" outlineLevel="0" collapsed="false">
      <c r="P665" s="10"/>
      <c r="Q665" s="10"/>
      <c r="R665" s="10"/>
    </row>
    <row r="666" customFormat="false" ht="14.25" hidden="false" customHeight="true" outlineLevel="0" collapsed="false">
      <c r="P666" s="10"/>
      <c r="Q666" s="10"/>
      <c r="R666" s="10"/>
    </row>
    <row r="667" customFormat="false" ht="14.25" hidden="false" customHeight="true" outlineLevel="0" collapsed="false">
      <c r="P667" s="10"/>
      <c r="Q667" s="10"/>
      <c r="R667" s="10"/>
    </row>
    <row r="668" customFormat="false" ht="14.25" hidden="false" customHeight="true" outlineLevel="0" collapsed="false">
      <c r="P668" s="10"/>
      <c r="Q668" s="10"/>
      <c r="R668" s="10"/>
    </row>
    <row r="669" customFormat="false" ht="14.25" hidden="false" customHeight="true" outlineLevel="0" collapsed="false">
      <c r="P669" s="10"/>
      <c r="Q669" s="10"/>
      <c r="R669" s="10"/>
    </row>
    <row r="670" customFormat="false" ht="14.25" hidden="false" customHeight="true" outlineLevel="0" collapsed="false">
      <c r="P670" s="10"/>
      <c r="Q670" s="10"/>
      <c r="R670" s="10"/>
    </row>
    <row r="671" customFormat="false" ht="14.25" hidden="false" customHeight="true" outlineLevel="0" collapsed="false">
      <c r="P671" s="10"/>
      <c r="Q671" s="10"/>
      <c r="R671" s="10"/>
    </row>
    <row r="672" customFormat="false" ht="14.25" hidden="false" customHeight="true" outlineLevel="0" collapsed="false">
      <c r="P672" s="10"/>
      <c r="Q672" s="10"/>
      <c r="R672" s="10"/>
    </row>
    <row r="673" customFormat="false" ht="14.25" hidden="false" customHeight="true" outlineLevel="0" collapsed="false">
      <c r="P673" s="10"/>
      <c r="Q673" s="10"/>
      <c r="R673" s="10"/>
    </row>
    <row r="674" customFormat="false" ht="14.25" hidden="false" customHeight="true" outlineLevel="0" collapsed="false">
      <c r="P674" s="10"/>
      <c r="Q674" s="10"/>
      <c r="R674" s="10"/>
    </row>
    <row r="675" customFormat="false" ht="14.25" hidden="false" customHeight="true" outlineLevel="0" collapsed="false">
      <c r="P675" s="10"/>
      <c r="Q675" s="10"/>
      <c r="R675" s="10"/>
    </row>
    <row r="676" customFormat="false" ht="14.25" hidden="false" customHeight="true" outlineLevel="0" collapsed="false">
      <c r="P676" s="10"/>
      <c r="Q676" s="10"/>
      <c r="R676" s="10"/>
    </row>
    <row r="677" customFormat="false" ht="14.25" hidden="false" customHeight="true" outlineLevel="0" collapsed="false">
      <c r="P677" s="10"/>
      <c r="Q677" s="10"/>
      <c r="R677" s="10"/>
    </row>
    <row r="678" customFormat="false" ht="14.25" hidden="false" customHeight="true" outlineLevel="0" collapsed="false">
      <c r="P678" s="10"/>
      <c r="Q678" s="10"/>
      <c r="R678" s="10"/>
    </row>
    <row r="679" customFormat="false" ht="14.25" hidden="false" customHeight="true" outlineLevel="0" collapsed="false">
      <c r="P679" s="10"/>
      <c r="Q679" s="10"/>
      <c r="R679" s="10"/>
    </row>
    <row r="680" customFormat="false" ht="14.25" hidden="false" customHeight="true" outlineLevel="0" collapsed="false">
      <c r="P680" s="10"/>
      <c r="Q680" s="10"/>
      <c r="R680" s="10"/>
    </row>
    <row r="681" customFormat="false" ht="14.25" hidden="false" customHeight="true" outlineLevel="0" collapsed="false">
      <c r="P681" s="10"/>
      <c r="Q681" s="10"/>
      <c r="R681" s="10"/>
    </row>
    <row r="682" customFormat="false" ht="14.25" hidden="false" customHeight="true" outlineLevel="0" collapsed="false">
      <c r="P682" s="10"/>
      <c r="Q682" s="10"/>
      <c r="R682" s="10"/>
    </row>
    <row r="683" customFormat="false" ht="14.25" hidden="false" customHeight="true" outlineLevel="0" collapsed="false">
      <c r="P683" s="10"/>
      <c r="Q683" s="10"/>
      <c r="R683" s="10"/>
    </row>
    <row r="684" customFormat="false" ht="14.25" hidden="false" customHeight="true" outlineLevel="0" collapsed="false">
      <c r="P684" s="10"/>
      <c r="Q684" s="10"/>
      <c r="R684" s="10"/>
    </row>
    <row r="685" customFormat="false" ht="14.25" hidden="false" customHeight="true" outlineLevel="0" collapsed="false">
      <c r="P685" s="10"/>
      <c r="Q685" s="10"/>
      <c r="R685" s="10"/>
    </row>
    <row r="686" customFormat="false" ht="14.25" hidden="false" customHeight="true" outlineLevel="0" collapsed="false">
      <c r="P686" s="10"/>
      <c r="Q686" s="10"/>
      <c r="R686" s="10"/>
    </row>
    <row r="687" customFormat="false" ht="14.25" hidden="false" customHeight="true" outlineLevel="0" collapsed="false">
      <c r="P687" s="10"/>
      <c r="Q687" s="10"/>
      <c r="R687" s="10"/>
    </row>
    <row r="688" customFormat="false" ht="14.25" hidden="false" customHeight="true" outlineLevel="0" collapsed="false">
      <c r="P688" s="10"/>
      <c r="Q688" s="10"/>
      <c r="R688" s="10"/>
    </row>
    <row r="689" customFormat="false" ht="14.25" hidden="false" customHeight="true" outlineLevel="0" collapsed="false">
      <c r="P689" s="10"/>
      <c r="Q689" s="10"/>
      <c r="R689" s="10"/>
    </row>
    <row r="690" customFormat="false" ht="14.25" hidden="false" customHeight="true" outlineLevel="0" collapsed="false">
      <c r="P690" s="10"/>
      <c r="Q690" s="10"/>
      <c r="R690" s="10"/>
    </row>
    <row r="691" customFormat="false" ht="14.25" hidden="false" customHeight="true" outlineLevel="0" collapsed="false">
      <c r="P691" s="10"/>
      <c r="Q691" s="10"/>
      <c r="R691" s="10"/>
    </row>
    <row r="692" customFormat="false" ht="14.25" hidden="false" customHeight="true" outlineLevel="0" collapsed="false">
      <c r="P692" s="10"/>
      <c r="Q692" s="10"/>
      <c r="R692" s="10"/>
    </row>
    <row r="693" customFormat="false" ht="14.25" hidden="false" customHeight="true" outlineLevel="0" collapsed="false">
      <c r="P693" s="10"/>
      <c r="Q693" s="10"/>
      <c r="R693" s="10"/>
    </row>
    <row r="694" customFormat="false" ht="14.25" hidden="false" customHeight="true" outlineLevel="0" collapsed="false">
      <c r="P694" s="10"/>
      <c r="Q694" s="10"/>
      <c r="R694" s="10"/>
    </row>
    <row r="695" customFormat="false" ht="14.25" hidden="false" customHeight="true" outlineLevel="0" collapsed="false">
      <c r="P695" s="10"/>
      <c r="Q695" s="10"/>
      <c r="R695" s="10"/>
    </row>
    <row r="696" customFormat="false" ht="14.25" hidden="false" customHeight="true" outlineLevel="0" collapsed="false">
      <c r="P696" s="10"/>
      <c r="Q696" s="10"/>
      <c r="R696" s="10"/>
    </row>
    <row r="697" customFormat="false" ht="14.25" hidden="false" customHeight="true" outlineLevel="0" collapsed="false">
      <c r="P697" s="10"/>
      <c r="Q697" s="10"/>
      <c r="R697" s="10"/>
    </row>
    <row r="698" customFormat="false" ht="14.25" hidden="false" customHeight="true" outlineLevel="0" collapsed="false">
      <c r="P698" s="10"/>
      <c r="Q698" s="10"/>
      <c r="R698" s="10"/>
    </row>
    <row r="699" customFormat="false" ht="14.25" hidden="false" customHeight="true" outlineLevel="0" collapsed="false">
      <c r="P699" s="10"/>
      <c r="Q699" s="10"/>
      <c r="R699" s="10"/>
    </row>
    <row r="700" customFormat="false" ht="14.25" hidden="false" customHeight="true" outlineLevel="0" collapsed="false">
      <c r="P700" s="10"/>
      <c r="Q700" s="10"/>
      <c r="R700" s="10"/>
    </row>
    <row r="701" customFormat="false" ht="14.25" hidden="false" customHeight="true" outlineLevel="0" collapsed="false">
      <c r="P701" s="10"/>
      <c r="Q701" s="10"/>
      <c r="R701" s="10"/>
    </row>
    <row r="702" customFormat="false" ht="14.25" hidden="false" customHeight="true" outlineLevel="0" collapsed="false">
      <c r="P702" s="10"/>
      <c r="Q702" s="10"/>
      <c r="R702" s="10"/>
    </row>
    <row r="703" customFormat="false" ht="14.25" hidden="false" customHeight="true" outlineLevel="0" collapsed="false">
      <c r="P703" s="10"/>
      <c r="Q703" s="10"/>
      <c r="R703" s="10"/>
    </row>
    <row r="704" customFormat="false" ht="14.25" hidden="false" customHeight="true" outlineLevel="0" collapsed="false">
      <c r="P704" s="10"/>
      <c r="Q704" s="10"/>
      <c r="R704" s="10"/>
    </row>
    <row r="705" customFormat="false" ht="14.25" hidden="false" customHeight="true" outlineLevel="0" collapsed="false">
      <c r="P705" s="10"/>
      <c r="Q705" s="10"/>
      <c r="R705" s="10"/>
    </row>
    <row r="706" customFormat="false" ht="14.25" hidden="false" customHeight="true" outlineLevel="0" collapsed="false">
      <c r="P706" s="10"/>
      <c r="Q706" s="10"/>
      <c r="R706" s="10"/>
    </row>
    <row r="707" customFormat="false" ht="14.25" hidden="false" customHeight="true" outlineLevel="0" collapsed="false">
      <c r="P707" s="10"/>
      <c r="Q707" s="10"/>
      <c r="R707" s="10"/>
    </row>
    <row r="708" customFormat="false" ht="14.25" hidden="false" customHeight="true" outlineLevel="0" collapsed="false">
      <c r="P708" s="10"/>
      <c r="Q708" s="10"/>
      <c r="R708" s="10"/>
    </row>
    <row r="709" customFormat="false" ht="14.25" hidden="false" customHeight="true" outlineLevel="0" collapsed="false">
      <c r="P709" s="10"/>
      <c r="Q709" s="10"/>
      <c r="R709" s="10"/>
    </row>
    <row r="710" customFormat="false" ht="14.25" hidden="false" customHeight="true" outlineLevel="0" collapsed="false">
      <c r="P710" s="10"/>
      <c r="Q710" s="10"/>
      <c r="R710" s="10"/>
    </row>
    <row r="711" customFormat="false" ht="14.25" hidden="false" customHeight="true" outlineLevel="0" collapsed="false">
      <c r="P711" s="10"/>
      <c r="Q711" s="10"/>
      <c r="R711" s="10"/>
    </row>
    <row r="712" customFormat="false" ht="14.25" hidden="false" customHeight="true" outlineLevel="0" collapsed="false">
      <c r="P712" s="10"/>
      <c r="Q712" s="10"/>
      <c r="R712" s="10"/>
    </row>
    <row r="713" customFormat="false" ht="14.25" hidden="false" customHeight="true" outlineLevel="0" collapsed="false">
      <c r="P713" s="10"/>
      <c r="Q713" s="10"/>
      <c r="R713" s="10"/>
    </row>
    <row r="714" customFormat="false" ht="14.25" hidden="false" customHeight="true" outlineLevel="0" collapsed="false">
      <c r="P714" s="10"/>
      <c r="Q714" s="10"/>
      <c r="R714" s="10"/>
    </row>
    <row r="715" customFormat="false" ht="14.25" hidden="false" customHeight="true" outlineLevel="0" collapsed="false">
      <c r="P715" s="10"/>
      <c r="Q715" s="10"/>
      <c r="R715" s="10"/>
    </row>
    <row r="716" customFormat="false" ht="14.25" hidden="false" customHeight="true" outlineLevel="0" collapsed="false">
      <c r="P716" s="10"/>
      <c r="Q716" s="10"/>
      <c r="R716" s="10"/>
    </row>
    <row r="717" customFormat="false" ht="14.25" hidden="false" customHeight="true" outlineLevel="0" collapsed="false">
      <c r="P717" s="10"/>
      <c r="Q717" s="10"/>
      <c r="R717" s="10"/>
    </row>
    <row r="718" customFormat="false" ht="14.25" hidden="false" customHeight="true" outlineLevel="0" collapsed="false">
      <c r="P718" s="10"/>
      <c r="Q718" s="10"/>
      <c r="R718" s="10"/>
    </row>
    <row r="719" customFormat="false" ht="14.25" hidden="false" customHeight="true" outlineLevel="0" collapsed="false">
      <c r="P719" s="10"/>
      <c r="Q719" s="10"/>
      <c r="R719" s="10"/>
    </row>
    <row r="720" customFormat="false" ht="14.25" hidden="false" customHeight="true" outlineLevel="0" collapsed="false">
      <c r="P720" s="10"/>
      <c r="Q720" s="10"/>
      <c r="R720" s="10"/>
    </row>
    <row r="721" customFormat="false" ht="14.25" hidden="false" customHeight="true" outlineLevel="0" collapsed="false">
      <c r="P721" s="10"/>
      <c r="Q721" s="10"/>
      <c r="R721" s="10"/>
    </row>
    <row r="722" customFormat="false" ht="14.25" hidden="false" customHeight="true" outlineLevel="0" collapsed="false">
      <c r="P722" s="10"/>
      <c r="Q722" s="10"/>
      <c r="R722" s="10"/>
    </row>
    <row r="723" customFormat="false" ht="14.25" hidden="false" customHeight="true" outlineLevel="0" collapsed="false">
      <c r="P723" s="10"/>
      <c r="Q723" s="10"/>
      <c r="R723" s="10"/>
    </row>
    <row r="724" customFormat="false" ht="14.25" hidden="false" customHeight="true" outlineLevel="0" collapsed="false">
      <c r="P724" s="10"/>
      <c r="Q724" s="10"/>
      <c r="R724" s="10"/>
    </row>
    <row r="725" customFormat="false" ht="14.25" hidden="false" customHeight="true" outlineLevel="0" collapsed="false">
      <c r="P725" s="10"/>
      <c r="Q725" s="10"/>
      <c r="R725" s="10"/>
    </row>
    <row r="726" customFormat="false" ht="14.25" hidden="false" customHeight="true" outlineLevel="0" collapsed="false">
      <c r="P726" s="10"/>
      <c r="Q726" s="10"/>
      <c r="R726" s="10"/>
    </row>
    <row r="727" customFormat="false" ht="14.25" hidden="false" customHeight="true" outlineLevel="0" collapsed="false">
      <c r="P727" s="10"/>
      <c r="Q727" s="10"/>
      <c r="R727" s="10"/>
    </row>
    <row r="728" customFormat="false" ht="14.25" hidden="false" customHeight="true" outlineLevel="0" collapsed="false">
      <c r="P728" s="10"/>
      <c r="Q728" s="10"/>
      <c r="R728" s="10"/>
    </row>
    <row r="729" customFormat="false" ht="14.25" hidden="false" customHeight="true" outlineLevel="0" collapsed="false">
      <c r="P729" s="10"/>
      <c r="Q729" s="10"/>
      <c r="R729" s="10"/>
    </row>
    <row r="730" customFormat="false" ht="14.25" hidden="false" customHeight="true" outlineLevel="0" collapsed="false">
      <c r="P730" s="10"/>
      <c r="Q730" s="10"/>
      <c r="R730" s="10"/>
    </row>
    <row r="731" customFormat="false" ht="14.25" hidden="false" customHeight="true" outlineLevel="0" collapsed="false">
      <c r="P731" s="10"/>
      <c r="Q731" s="10"/>
      <c r="R731" s="10"/>
    </row>
    <row r="732" customFormat="false" ht="14.25" hidden="false" customHeight="true" outlineLevel="0" collapsed="false">
      <c r="P732" s="10"/>
      <c r="Q732" s="10"/>
      <c r="R732" s="10"/>
    </row>
    <row r="733" customFormat="false" ht="14.25" hidden="false" customHeight="true" outlineLevel="0" collapsed="false">
      <c r="P733" s="10"/>
      <c r="Q733" s="10"/>
      <c r="R733" s="10"/>
    </row>
    <row r="734" customFormat="false" ht="14.25" hidden="false" customHeight="true" outlineLevel="0" collapsed="false">
      <c r="P734" s="10"/>
      <c r="Q734" s="10"/>
      <c r="R734" s="10"/>
    </row>
    <row r="735" customFormat="false" ht="14.25" hidden="false" customHeight="true" outlineLevel="0" collapsed="false">
      <c r="P735" s="10"/>
      <c r="Q735" s="10"/>
      <c r="R735" s="10"/>
    </row>
    <row r="736" customFormat="false" ht="14.25" hidden="false" customHeight="true" outlineLevel="0" collapsed="false">
      <c r="P736" s="10"/>
      <c r="Q736" s="10"/>
      <c r="R736" s="10"/>
    </row>
    <row r="737" customFormat="false" ht="14.25" hidden="false" customHeight="true" outlineLevel="0" collapsed="false">
      <c r="P737" s="10"/>
      <c r="Q737" s="10"/>
      <c r="R737" s="10"/>
    </row>
    <row r="738" customFormat="false" ht="14.25" hidden="false" customHeight="true" outlineLevel="0" collapsed="false">
      <c r="P738" s="10"/>
      <c r="Q738" s="10"/>
      <c r="R738" s="10"/>
    </row>
    <row r="739" customFormat="false" ht="14.25" hidden="false" customHeight="true" outlineLevel="0" collapsed="false">
      <c r="P739" s="10"/>
      <c r="Q739" s="10"/>
      <c r="R739" s="10"/>
    </row>
    <row r="740" customFormat="false" ht="14.25" hidden="false" customHeight="true" outlineLevel="0" collapsed="false">
      <c r="P740" s="10"/>
      <c r="Q740" s="10"/>
      <c r="R740" s="10"/>
    </row>
    <row r="741" customFormat="false" ht="14.25" hidden="false" customHeight="true" outlineLevel="0" collapsed="false">
      <c r="P741" s="10"/>
      <c r="Q741" s="10"/>
      <c r="R741" s="10"/>
    </row>
    <row r="742" customFormat="false" ht="14.25" hidden="false" customHeight="true" outlineLevel="0" collapsed="false">
      <c r="P742" s="10"/>
      <c r="Q742" s="10"/>
      <c r="R742" s="10"/>
    </row>
    <row r="743" customFormat="false" ht="14.25" hidden="false" customHeight="true" outlineLevel="0" collapsed="false">
      <c r="P743" s="10"/>
      <c r="Q743" s="10"/>
      <c r="R743" s="10"/>
    </row>
    <row r="744" customFormat="false" ht="14.25" hidden="false" customHeight="true" outlineLevel="0" collapsed="false">
      <c r="P744" s="10"/>
      <c r="Q744" s="10"/>
      <c r="R744" s="10"/>
    </row>
    <row r="745" customFormat="false" ht="14.25" hidden="false" customHeight="true" outlineLevel="0" collapsed="false">
      <c r="P745" s="10"/>
      <c r="Q745" s="10"/>
      <c r="R745" s="10"/>
    </row>
    <row r="746" customFormat="false" ht="14.25" hidden="false" customHeight="true" outlineLevel="0" collapsed="false">
      <c r="P746" s="10"/>
      <c r="Q746" s="10"/>
      <c r="R746" s="10"/>
    </row>
    <row r="747" customFormat="false" ht="14.25" hidden="false" customHeight="true" outlineLevel="0" collapsed="false">
      <c r="P747" s="10"/>
      <c r="Q747" s="10"/>
      <c r="R747" s="10"/>
    </row>
    <row r="748" customFormat="false" ht="14.25" hidden="false" customHeight="true" outlineLevel="0" collapsed="false">
      <c r="P748" s="10"/>
      <c r="Q748" s="10"/>
      <c r="R748" s="10"/>
    </row>
    <row r="749" customFormat="false" ht="14.25" hidden="false" customHeight="true" outlineLevel="0" collapsed="false">
      <c r="P749" s="10"/>
      <c r="Q749" s="10"/>
      <c r="R749" s="10"/>
    </row>
    <row r="750" customFormat="false" ht="14.25" hidden="false" customHeight="true" outlineLevel="0" collapsed="false">
      <c r="P750" s="10"/>
      <c r="Q750" s="10"/>
      <c r="R750" s="10"/>
    </row>
    <row r="751" customFormat="false" ht="14.25" hidden="false" customHeight="true" outlineLevel="0" collapsed="false">
      <c r="P751" s="10"/>
      <c r="Q751" s="10"/>
      <c r="R751" s="10"/>
    </row>
    <row r="752" customFormat="false" ht="14.25" hidden="false" customHeight="true" outlineLevel="0" collapsed="false">
      <c r="P752" s="10"/>
      <c r="Q752" s="10"/>
      <c r="R752" s="10"/>
    </row>
    <row r="753" customFormat="false" ht="14.25" hidden="false" customHeight="true" outlineLevel="0" collapsed="false">
      <c r="P753" s="10"/>
      <c r="Q753" s="10"/>
      <c r="R753" s="10"/>
    </row>
    <row r="754" customFormat="false" ht="14.25" hidden="false" customHeight="true" outlineLevel="0" collapsed="false">
      <c r="P754" s="10"/>
      <c r="Q754" s="10"/>
      <c r="R754" s="10"/>
    </row>
    <row r="755" customFormat="false" ht="14.25" hidden="false" customHeight="true" outlineLevel="0" collapsed="false">
      <c r="P755" s="10"/>
      <c r="Q755" s="10"/>
      <c r="R755" s="10"/>
    </row>
    <row r="756" customFormat="false" ht="14.25" hidden="false" customHeight="true" outlineLevel="0" collapsed="false">
      <c r="P756" s="10"/>
      <c r="Q756" s="10"/>
      <c r="R756" s="10"/>
    </row>
    <row r="757" customFormat="false" ht="14.25" hidden="false" customHeight="true" outlineLevel="0" collapsed="false">
      <c r="P757" s="10"/>
      <c r="Q757" s="10"/>
      <c r="R757" s="10"/>
    </row>
    <row r="758" customFormat="false" ht="14.25" hidden="false" customHeight="true" outlineLevel="0" collapsed="false">
      <c r="P758" s="10"/>
      <c r="Q758" s="10"/>
      <c r="R758" s="10"/>
    </row>
    <row r="759" customFormat="false" ht="14.25" hidden="false" customHeight="true" outlineLevel="0" collapsed="false">
      <c r="P759" s="10"/>
      <c r="Q759" s="10"/>
      <c r="R759" s="10"/>
    </row>
    <row r="760" customFormat="false" ht="14.25" hidden="false" customHeight="true" outlineLevel="0" collapsed="false">
      <c r="P760" s="10"/>
      <c r="Q760" s="10"/>
      <c r="R760" s="10"/>
    </row>
    <row r="761" customFormat="false" ht="14.25" hidden="false" customHeight="true" outlineLevel="0" collapsed="false">
      <c r="P761" s="10"/>
      <c r="Q761" s="10"/>
      <c r="R761" s="10"/>
    </row>
    <row r="762" customFormat="false" ht="14.25" hidden="false" customHeight="true" outlineLevel="0" collapsed="false">
      <c r="P762" s="10"/>
      <c r="Q762" s="10"/>
      <c r="R762" s="10"/>
    </row>
    <row r="763" customFormat="false" ht="14.25" hidden="false" customHeight="true" outlineLevel="0" collapsed="false">
      <c r="P763" s="10"/>
      <c r="Q763" s="10"/>
      <c r="R763" s="10"/>
    </row>
    <row r="764" customFormat="false" ht="14.25" hidden="false" customHeight="true" outlineLevel="0" collapsed="false">
      <c r="P764" s="10"/>
      <c r="Q764" s="10"/>
      <c r="R764" s="10"/>
    </row>
    <row r="765" customFormat="false" ht="14.25" hidden="false" customHeight="true" outlineLevel="0" collapsed="false">
      <c r="P765" s="10"/>
      <c r="Q765" s="10"/>
      <c r="R765" s="10"/>
    </row>
    <row r="766" customFormat="false" ht="14.25" hidden="false" customHeight="true" outlineLevel="0" collapsed="false">
      <c r="P766" s="10"/>
      <c r="Q766" s="10"/>
      <c r="R766" s="10"/>
    </row>
    <row r="767" customFormat="false" ht="14.25" hidden="false" customHeight="true" outlineLevel="0" collapsed="false">
      <c r="P767" s="10"/>
      <c r="Q767" s="10"/>
      <c r="R767" s="10"/>
    </row>
    <row r="768" customFormat="false" ht="14.25" hidden="false" customHeight="true" outlineLevel="0" collapsed="false">
      <c r="P768" s="10"/>
      <c r="Q768" s="10"/>
      <c r="R768" s="10"/>
    </row>
    <row r="769" customFormat="false" ht="14.25" hidden="false" customHeight="true" outlineLevel="0" collapsed="false">
      <c r="P769" s="10"/>
      <c r="Q769" s="10"/>
      <c r="R769" s="10"/>
    </row>
    <row r="770" customFormat="false" ht="14.25" hidden="false" customHeight="true" outlineLevel="0" collapsed="false">
      <c r="P770" s="10"/>
      <c r="Q770" s="10"/>
      <c r="R770" s="10"/>
    </row>
    <row r="771" customFormat="false" ht="14.25" hidden="false" customHeight="true" outlineLevel="0" collapsed="false">
      <c r="P771" s="10"/>
      <c r="Q771" s="10"/>
      <c r="R771" s="10"/>
    </row>
    <row r="772" customFormat="false" ht="14.25" hidden="false" customHeight="true" outlineLevel="0" collapsed="false">
      <c r="P772" s="10"/>
      <c r="Q772" s="10"/>
      <c r="R772" s="10"/>
    </row>
    <row r="773" customFormat="false" ht="14.25" hidden="false" customHeight="true" outlineLevel="0" collapsed="false">
      <c r="P773" s="10"/>
      <c r="Q773" s="10"/>
      <c r="R773" s="10"/>
    </row>
    <row r="774" customFormat="false" ht="14.25" hidden="false" customHeight="true" outlineLevel="0" collapsed="false">
      <c r="P774" s="10"/>
      <c r="Q774" s="10"/>
      <c r="R774" s="10"/>
    </row>
    <row r="775" customFormat="false" ht="14.25" hidden="false" customHeight="true" outlineLevel="0" collapsed="false">
      <c r="P775" s="10"/>
      <c r="Q775" s="10"/>
      <c r="R775" s="10"/>
    </row>
    <row r="776" customFormat="false" ht="14.25" hidden="false" customHeight="true" outlineLevel="0" collapsed="false">
      <c r="P776" s="10"/>
      <c r="Q776" s="10"/>
      <c r="R776" s="10"/>
    </row>
    <row r="777" customFormat="false" ht="14.25" hidden="false" customHeight="true" outlineLevel="0" collapsed="false">
      <c r="P777" s="10"/>
      <c r="Q777" s="10"/>
      <c r="R777" s="10"/>
    </row>
    <row r="778" customFormat="false" ht="14.25" hidden="false" customHeight="true" outlineLevel="0" collapsed="false">
      <c r="P778" s="10"/>
      <c r="Q778" s="10"/>
      <c r="R778" s="10"/>
    </row>
    <row r="779" customFormat="false" ht="14.25" hidden="false" customHeight="true" outlineLevel="0" collapsed="false">
      <c r="P779" s="10"/>
      <c r="Q779" s="10"/>
      <c r="R779" s="10"/>
    </row>
    <row r="780" customFormat="false" ht="14.25" hidden="false" customHeight="true" outlineLevel="0" collapsed="false">
      <c r="P780" s="10"/>
      <c r="Q780" s="10"/>
      <c r="R780" s="10"/>
    </row>
    <row r="781" customFormat="false" ht="14.25" hidden="false" customHeight="true" outlineLevel="0" collapsed="false">
      <c r="P781" s="10"/>
      <c r="Q781" s="10"/>
      <c r="R781" s="10"/>
    </row>
    <row r="782" customFormat="false" ht="14.25" hidden="false" customHeight="true" outlineLevel="0" collapsed="false">
      <c r="P782" s="10"/>
      <c r="Q782" s="10"/>
      <c r="R782" s="10"/>
    </row>
    <row r="783" customFormat="false" ht="14.25" hidden="false" customHeight="true" outlineLevel="0" collapsed="false">
      <c r="P783" s="10"/>
      <c r="Q783" s="10"/>
      <c r="R783" s="10"/>
    </row>
    <row r="784" customFormat="false" ht="14.25" hidden="false" customHeight="true" outlineLevel="0" collapsed="false">
      <c r="P784" s="10"/>
      <c r="Q784" s="10"/>
      <c r="R784" s="10"/>
    </row>
    <row r="785" customFormat="false" ht="14.25" hidden="false" customHeight="true" outlineLevel="0" collapsed="false">
      <c r="P785" s="10"/>
      <c r="Q785" s="10"/>
      <c r="R785" s="10"/>
    </row>
    <row r="786" customFormat="false" ht="14.25" hidden="false" customHeight="true" outlineLevel="0" collapsed="false">
      <c r="P786" s="10"/>
      <c r="Q786" s="10"/>
      <c r="R786" s="10"/>
    </row>
    <row r="787" customFormat="false" ht="14.25" hidden="false" customHeight="true" outlineLevel="0" collapsed="false">
      <c r="P787" s="10"/>
      <c r="Q787" s="10"/>
      <c r="R787" s="10"/>
    </row>
    <row r="788" customFormat="false" ht="14.25" hidden="false" customHeight="true" outlineLevel="0" collapsed="false">
      <c r="P788" s="10"/>
      <c r="Q788" s="10"/>
      <c r="R788" s="10"/>
    </row>
    <row r="789" customFormat="false" ht="14.25" hidden="false" customHeight="true" outlineLevel="0" collapsed="false">
      <c r="P789" s="10"/>
      <c r="Q789" s="10"/>
      <c r="R789" s="10"/>
    </row>
    <row r="790" customFormat="false" ht="14.25" hidden="false" customHeight="true" outlineLevel="0" collapsed="false">
      <c r="P790" s="10"/>
      <c r="Q790" s="10"/>
      <c r="R790" s="10"/>
    </row>
    <row r="791" customFormat="false" ht="14.25" hidden="false" customHeight="true" outlineLevel="0" collapsed="false">
      <c r="P791" s="10"/>
      <c r="Q791" s="10"/>
      <c r="R791" s="10"/>
    </row>
    <row r="792" customFormat="false" ht="14.25" hidden="false" customHeight="true" outlineLevel="0" collapsed="false">
      <c r="P792" s="10"/>
      <c r="Q792" s="10"/>
      <c r="R792" s="10"/>
    </row>
    <row r="793" customFormat="false" ht="14.25" hidden="false" customHeight="true" outlineLevel="0" collapsed="false">
      <c r="P793" s="10"/>
      <c r="Q793" s="10"/>
      <c r="R793" s="10"/>
    </row>
    <row r="794" customFormat="false" ht="14.25" hidden="false" customHeight="true" outlineLevel="0" collapsed="false">
      <c r="P794" s="10"/>
      <c r="Q794" s="10"/>
      <c r="R794" s="10"/>
    </row>
    <row r="795" customFormat="false" ht="14.25" hidden="false" customHeight="true" outlineLevel="0" collapsed="false">
      <c r="P795" s="10"/>
      <c r="Q795" s="10"/>
      <c r="R795" s="10"/>
    </row>
    <row r="796" customFormat="false" ht="14.25" hidden="false" customHeight="true" outlineLevel="0" collapsed="false">
      <c r="P796" s="10"/>
      <c r="Q796" s="10"/>
      <c r="R796" s="10"/>
    </row>
    <row r="797" customFormat="false" ht="14.25" hidden="false" customHeight="true" outlineLevel="0" collapsed="false">
      <c r="P797" s="10"/>
      <c r="Q797" s="10"/>
      <c r="R797" s="10"/>
    </row>
    <row r="798" customFormat="false" ht="14.25" hidden="false" customHeight="true" outlineLevel="0" collapsed="false">
      <c r="P798" s="10"/>
      <c r="Q798" s="10"/>
      <c r="R798" s="10"/>
    </row>
    <row r="799" customFormat="false" ht="14.25" hidden="false" customHeight="true" outlineLevel="0" collapsed="false">
      <c r="P799" s="10"/>
      <c r="Q799" s="10"/>
      <c r="R799" s="10"/>
    </row>
    <row r="800" customFormat="false" ht="14.25" hidden="false" customHeight="true" outlineLevel="0" collapsed="false">
      <c r="P800" s="10"/>
      <c r="Q800" s="10"/>
      <c r="R800" s="10"/>
    </row>
    <row r="801" customFormat="false" ht="14.25" hidden="false" customHeight="true" outlineLevel="0" collapsed="false">
      <c r="P801" s="10"/>
      <c r="Q801" s="10"/>
      <c r="R801" s="10"/>
    </row>
    <row r="802" customFormat="false" ht="14.25" hidden="false" customHeight="true" outlineLevel="0" collapsed="false">
      <c r="P802" s="10"/>
      <c r="Q802" s="10"/>
      <c r="R802" s="10"/>
    </row>
    <row r="803" customFormat="false" ht="14.25" hidden="false" customHeight="true" outlineLevel="0" collapsed="false">
      <c r="P803" s="10"/>
      <c r="Q803" s="10"/>
      <c r="R803" s="10"/>
    </row>
    <row r="804" customFormat="false" ht="14.25" hidden="false" customHeight="true" outlineLevel="0" collapsed="false">
      <c r="P804" s="10"/>
      <c r="Q804" s="10"/>
      <c r="R804" s="10"/>
    </row>
    <row r="805" customFormat="false" ht="14.25" hidden="false" customHeight="true" outlineLevel="0" collapsed="false">
      <c r="P805" s="10"/>
      <c r="Q805" s="10"/>
      <c r="R805" s="10"/>
    </row>
    <row r="806" customFormat="false" ht="14.25" hidden="false" customHeight="true" outlineLevel="0" collapsed="false">
      <c r="P806" s="10"/>
      <c r="Q806" s="10"/>
      <c r="R806" s="10"/>
    </row>
    <row r="807" customFormat="false" ht="14.25" hidden="false" customHeight="true" outlineLevel="0" collapsed="false">
      <c r="P807" s="10"/>
      <c r="Q807" s="10"/>
      <c r="R807" s="10"/>
    </row>
    <row r="808" customFormat="false" ht="14.25" hidden="false" customHeight="true" outlineLevel="0" collapsed="false">
      <c r="P808" s="10"/>
      <c r="Q808" s="10"/>
      <c r="R808" s="10"/>
    </row>
    <row r="809" customFormat="false" ht="14.25" hidden="false" customHeight="true" outlineLevel="0" collapsed="false">
      <c r="P809" s="10"/>
      <c r="Q809" s="10"/>
      <c r="R809" s="10"/>
    </row>
    <row r="810" customFormat="false" ht="14.25" hidden="false" customHeight="true" outlineLevel="0" collapsed="false">
      <c r="P810" s="10"/>
      <c r="Q810" s="10"/>
      <c r="R810" s="10"/>
    </row>
    <row r="811" customFormat="false" ht="14.25" hidden="false" customHeight="true" outlineLevel="0" collapsed="false">
      <c r="P811" s="10"/>
      <c r="Q811" s="10"/>
      <c r="R811" s="10"/>
    </row>
    <row r="812" customFormat="false" ht="14.25" hidden="false" customHeight="true" outlineLevel="0" collapsed="false">
      <c r="P812" s="10"/>
      <c r="Q812" s="10"/>
      <c r="R812" s="10"/>
    </row>
    <row r="813" customFormat="false" ht="14.25" hidden="false" customHeight="true" outlineLevel="0" collapsed="false">
      <c r="P813" s="10"/>
      <c r="Q813" s="10"/>
      <c r="R813" s="10"/>
    </row>
    <row r="814" customFormat="false" ht="14.25" hidden="false" customHeight="true" outlineLevel="0" collapsed="false">
      <c r="P814" s="10"/>
      <c r="Q814" s="10"/>
      <c r="R814" s="10"/>
    </row>
    <row r="815" customFormat="false" ht="14.25" hidden="false" customHeight="true" outlineLevel="0" collapsed="false">
      <c r="P815" s="10"/>
      <c r="Q815" s="10"/>
      <c r="R815" s="10"/>
    </row>
    <row r="816" customFormat="false" ht="14.25" hidden="false" customHeight="true" outlineLevel="0" collapsed="false">
      <c r="P816" s="10"/>
      <c r="Q816" s="10"/>
      <c r="R816" s="10"/>
    </row>
    <row r="817" customFormat="false" ht="14.25" hidden="false" customHeight="true" outlineLevel="0" collapsed="false">
      <c r="P817" s="10"/>
      <c r="Q817" s="10"/>
      <c r="R817" s="10"/>
    </row>
    <row r="818" customFormat="false" ht="14.25" hidden="false" customHeight="true" outlineLevel="0" collapsed="false">
      <c r="P818" s="10"/>
      <c r="Q818" s="10"/>
      <c r="R818" s="10"/>
    </row>
    <row r="819" customFormat="false" ht="14.25" hidden="false" customHeight="true" outlineLevel="0" collapsed="false">
      <c r="P819" s="10"/>
      <c r="Q819" s="10"/>
      <c r="R819" s="10"/>
    </row>
    <row r="820" customFormat="false" ht="14.25" hidden="false" customHeight="true" outlineLevel="0" collapsed="false">
      <c r="P820" s="10"/>
      <c r="Q820" s="10"/>
      <c r="R820" s="10"/>
    </row>
    <row r="821" customFormat="false" ht="14.25" hidden="false" customHeight="true" outlineLevel="0" collapsed="false">
      <c r="P821" s="10"/>
      <c r="Q821" s="10"/>
      <c r="R821" s="10"/>
    </row>
    <row r="822" customFormat="false" ht="14.25" hidden="false" customHeight="true" outlineLevel="0" collapsed="false">
      <c r="P822" s="10"/>
      <c r="Q822" s="10"/>
      <c r="R822" s="10"/>
    </row>
    <row r="823" customFormat="false" ht="14.25" hidden="false" customHeight="true" outlineLevel="0" collapsed="false">
      <c r="P823" s="10"/>
      <c r="Q823" s="10"/>
      <c r="R823" s="10"/>
    </row>
    <row r="824" customFormat="false" ht="14.25" hidden="false" customHeight="true" outlineLevel="0" collapsed="false">
      <c r="P824" s="10"/>
      <c r="Q824" s="10"/>
      <c r="R824" s="10"/>
    </row>
    <row r="825" customFormat="false" ht="14.25" hidden="false" customHeight="true" outlineLevel="0" collapsed="false">
      <c r="P825" s="10"/>
      <c r="Q825" s="10"/>
      <c r="R825" s="10"/>
    </row>
    <row r="826" customFormat="false" ht="14.25" hidden="false" customHeight="true" outlineLevel="0" collapsed="false">
      <c r="P826" s="10"/>
      <c r="Q826" s="10"/>
      <c r="R826" s="10"/>
    </row>
    <row r="827" customFormat="false" ht="14.25" hidden="false" customHeight="true" outlineLevel="0" collapsed="false">
      <c r="P827" s="10"/>
      <c r="Q827" s="10"/>
      <c r="R827" s="10"/>
    </row>
    <row r="828" customFormat="false" ht="14.25" hidden="false" customHeight="true" outlineLevel="0" collapsed="false">
      <c r="P828" s="10"/>
      <c r="Q828" s="10"/>
      <c r="R828" s="10"/>
    </row>
    <row r="829" customFormat="false" ht="14.25" hidden="false" customHeight="true" outlineLevel="0" collapsed="false">
      <c r="P829" s="10"/>
      <c r="Q829" s="10"/>
      <c r="R829" s="10"/>
    </row>
    <row r="830" customFormat="false" ht="14.25" hidden="false" customHeight="true" outlineLevel="0" collapsed="false">
      <c r="P830" s="10"/>
      <c r="Q830" s="10"/>
      <c r="R830" s="10"/>
    </row>
    <row r="831" customFormat="false" ht="14.25" hidden="false" customHeight="true" outlineLevel="0" collapsed="false">
      <c r="P831" s="10"/>
      <c r="Q831" s="10"/>
      <c r="R831" s="10"/>
    </row>
    <row r="832" customFormat="false" ht="14.25" hidden="false" customHeight="true" outlineLevel="0" collapsed="false">
      <c r="P832" s="10"/>
      <c r="Q832" s="10"/>
      <c r="R832" s="10"/>
    </row>
    <row r="833" customFormat="false" ht="14.25" hidden="false" customHeight="true" outlineLevel="0" collapsed="false">
      <c r="P833" s="10"/>
      <c r="Q833" s="10"/>
      <c r="R833" s="10"/>
    </row>
    <row r="834" customFormat="false" ht="14.25" hidden="false" customHeight="true" outlineLevel="0" collapsed="false">
      <c r="P834" s="10"/>
      <c r="Q834" s="10"/>
      <c r="R834" s="10"/>
    </row>
    <row r="835" customFormat="false" ht="14.25" hidden="false" customHeight="true" outlineLevel="0" collapsed="false">
      <c r="P835" s="10"/>
      <c r="Q835" s="10"/>
      <c r="R835" s="10"/>
    </row>
    <row r="836" customFormat="false" ht="14.25" hidden="false" customHeight="true" outlineLevel="0" collapsed="false">
      <c r="P836" s="10"/>
      <c r="Q836" s="10"/>
      <c r="R836" s="10"/>
    </row>
    <row r="837" customFormat="false" ht="14.25" hidden="false" customHeight="true" outlineLevel="0" collapsed="false">
      <c r="P837" s="10"/>
      <c r="Q837" s="10"/>
      <c r="R837" s="10"/>
    </row>
    <row r="838" customFormat="false" ht="14.25" hidden="false" customHeight="true" outlineLevel="0" collapsed="false">
      <c r="P838" s="10"/>
      <c r="Q838" s="10"/>
      <c r="R838" s="10"/>
    </row>
    <row r="839" customFormat="false" ht="14.25" hidden="false" customHeight="true" outlineLevel="0" collapsed="false">
      <c r="P839" s="10"/>
      <c r="Q839" s="10"/>
      <c r="R839" s="10"/>
    </row>
    <row r="840" customFormat="false" ht="14.25" hidden="false" customHeight="true" outlineLevel="0" collapsed="false">
      <c r="P840" s="10"/>
      <c r="Q840" s="10"/>
      <c r="R840" s="10"/>
    </row>
    <row r="841" customFormat="false" ht="14.25" hidden="false" customHeight="true" outlineLevel="0" collapsed="false">
      <c r="P841" s="10"/>
      <c r="Q841" s="10"/>
      <c r="R841" s="10"/>
    </row>
    <row r="842" customFormat="false" ht="14.25" hidden="false" customHeight="true" outlineLevel="0" collapsed="false">
      <c r="P842" s="10"/>
      <c r="Q842" s="10"/>
      <c r="R842" s="10"/>
    </row>
    <row r="843" customFormat="false" ht="14.25" hidden="false" customHeight="true" outlineLevel="0" collapsed="false">
      <c r="P843" s="10"/>
      <c r="Q843" s="10"/>
      <c r="R843" s="10"/>
    </row>
    <row r="844" customFormat="false" ht="14.25" hidden="false" customHeight="true" outlineLevel="0" collapsed="false">
      <c r="P844" s="10"/>
      <c r="Q844" s="10"/>
      <c r="R844" s="10"/>
    </row>
    <row r="845" customFormat="false" ht="14.25" hidden="false" customHeight="true" outlineLevel="0" collapsed="false">
      <c r="P845" s="10"/>
      <c r="Q845" s="10"/>
      <c r="R845" s="10"/>
    </row>
    <row r="846" customFormat="false" ht="14.25" hidden="false" customHeight="true" outlineLevel="0" collapsed="false">
      <c r="P846" s="10"/>
      <c r="Q846" s="10"/>
      <c r="R846" s="10"/>
    </row>
    <row r="847" customFormat="false" ht="14.25" hidden="false" customHeight="true" outlineLevel="0" collapsed="false">
      <c r="P847" s="10"/>
      <c r="Q847" s="10"/>
      <c r="R847" s="10"/>
    </row>
    <row r="848" customFormat="false" ht="14.25" hidden="false" customHeight="true" outlineLevel="0" collapsed="false">
      <c r="P848" s="10"/>
      <c r="Q848" s="10"/>
      <c r="R848" s="10"/>
    </row>
    <row r="849" customFormat="false" ht="14.25" hidden="false" customHeight="true" outlineLevel="0" collapsed="false">
      <c r="P849" s="10"/>
      <c r="Q849" s="10"/>
      <c r="R849" s="10"/>
    </row>
    <row r="850" customFormat="false" ht="14.25" hidden="false" customHeight="true" outlineLevel="0" collapsed="false">
      <c r="P850" s="10"/>
      <c r="Q850" s="10"/>
      <c r="R850" s="10"/>
    </row>
    <row r="851" customFormat="false" ht="14.25" hidden="false" customHeight="true" outlineLevel="0" collapsed="false">
      <c r="P851" s="10"/>
      <c r="Q851" s="10"/>
      <c r="R851" s="10"/>
    </row>
    <row r="852" customFormat="false" ht="14.25" hidden="false" customHeight="true" outlineLevel="0" collapsed="false">
      <c r="P852" s="10"/>
      <c r="Q852" s="10"/>
      <c r="R852" s="10"/>
    </row>
    <row r="853" customFormat="false" ht="14.25" hidden="false" customHeight="true" outlineLevel="0" collapsed="false">
      <c r="P853" s="10"/>
      <c r="Q853" s="10"/>
      <c r="R853" s="10"/>
    </row>
    <row r="854" customFormat="false" ht="14.25" hidden="false" customHeight="true" outlineLevel="0" collapsed="false">
      <c r="P854" s="10"/>
      <c r="Q854" s="10"/>
      <c r="R854" s="10"/>
    </row>
    <row r="855" customFormat="false" ht="14.25" hidden="false" customHeight="true" outlineLevel="0" collapsed="false">
      <c r="P855" s="10"/>
      <c r="Q855" s="10"/>
      <c r="R855" s="10"/>
    </row>
    <row r="856" customFormat="false" ht="14.25" hidden="false" customHeight="true" outlineLevel="0" collapsed="false">
      <c r="P856" s="10"/>
      <c r="Q856" s="10"/>
      <c r="R856" s="10"/>
    </row>
    <row r="857" customFormat="false" ht="14.25" hidden="false" customHeight="true" outlineLevel="0" collapsed="false">
      <c r="P857" s="10"/>
      <c r="Q857" s="10"/>
      <c r="R857" s="10"/>
    </row>
    <row r="858" customFormat="false" ht="14.25" hidden="false" customHeight="true" outlineLevel="0" collapsed="false">
      <c r="P858" s="10"/>
      <c r="Q858" s="10"/>
      <c r="R858" s="10"/>
    </row>
    <row r="859" customFormat="false" ht="14.25" hidden="false" customHeight="true" outlineLevel="0" collapsed="false">
      <c r="P859" s="10"/>
      <c r="Q859" s="10"/>
      <c r="R859" s="10"/>
    </row>
    <row r="860" customFormat="false" ht="14.25" hidden="false" customHeight="true" outlineLevel="0" collapsed="false">
      <c r="P860" s="10"/>
      <c r="Q860" s="10"/>
      <c r="R860" s="10"/>
    </row>
    <row r="861" customFormat="false" ht="14.25" hidden="false" customHeight="true" outlineLevel="0" collapsed="false">
      <c r="P861" s="10"/>
      <c r="Q861" s="10"/>
      <c r="R861" s="10"/>
    </row>
    <row r="862" customFormat="false" ht="14.25" hidden="false" customHeight="true" outlineLevel="0" collapsed="false">
      <c r="P862" s="10"/>
      <c r="Q862" s="10"/>
      <c r="R862" s="10"/>
    </row>
    <row r="863" customFormat="false" ht="14.25" hidden="false" customHeight="true" outlineLevel="0" collapsed="false">
      <c r="P863" s="10"/>
      <c r="Q863" s="10"/>
      <c r="R863" s="10"/>
    </row>
    <row r="864" customFormat="false" ht="14.25" hidden="false" customHeight="true" outlineLevel="0" collapsed="false">
      <c r="P864" s="10"/>
      <c r="Q864" s="10"/>
      <c r="R864" s="10"/>
    </row>
    <row r="865" customFormat="false" ht="14.25" hidden="false" customHeight="true" outlineLevel="0" collapsed="false">
      <c r="P865" s="10"/>
      <c r="Q865" s="10"/>
      <c r="R865" s="10"/>
    </row>
    <row r="866" customFormat="false" ht="14.25" hidden="false" customHeight="true" outlineLevel="0" collapsed="false">
      <c r="P866" s="10"/>
      <c r="Q866" s="10"/>
      <c r="R866" s="10"/>
    </row>
    <row r="867" customFormat="false" ht="14.25" hidden="false" customHeight="true" outlineLevel="0" collapsed="false">
      <c r="P867" s="10"/>
      <c r="Q867" s="10"/>
      <c r="R867" s="10"/>
    </row>
    <row r="868" customFormat="false" ht="14.25" hidden="false" customHeight="true" outlineLevel="0" collapsed="false">
      <c r="P868" s="10"/>
      <c r="Q868" s="10"/>
      <c r="R868" s="10"/>
    </row>
    <row r="869" customFormat="false" ht="14.25" hidden="false" customHeight="true" outlineLevel="0" collapsed="false">
      <c r="P869" s="10"/>
      <c r="Q869" s="10"/>
      <c r="R869" s="10"/>
    </row>
    <row r="870" customFormat="false" ht="14.25" hidden="false" customHeight="true" outlineLevel="0" collapsed="false">
      <c r="P870" s="10"/>
      <c r="Q870" s="10"/>
      <c r="R870" s="10"/>
    </row>
    <row r="871" customFormat="false" ht="14.25" hidden="false" customHeight="true" outlineLevel="0" collapsed="false">
      <c r="P871" s="10"/>
      <c r="Q871" s="10"/>
      <c r="R871" s="10"/>
    </row>
    <row r="872" customFormat="false" ht="14.25" hidden="false" customHeight="true" outlineLevel="0" collapsed="false">
      <c r="P872" s="10"/>
      <c r="Q872" s="10"/>
      <c r="R872" s="10"/>
    </row>
    <row r="873" customFormat="false" ht="14.25" hidden="false" customHeight="true" outlineLevel="0" collapsed="false">
      <c r="P873" s="10"/>
      <c r="Q873" s="10"/>
      <c r="R873" s="10"/>
    </row>
    <row r="874" customFormat="false" ht="14.25" hidden="false" customHeight="true" outlineLevel="0" collapsed="false">
      <c r="P874" s="10"/>
      <c r="Q874" s="10"/>
      <c r="R874" s="10"/>
    </row>
    <row r="875" customFormat="false" ht="14.25" hidden="false" customHeight="true" outlineLevel="0" collapsed="false">
      <c r="P875" s="10"/>
      <c r="Q875" s="10"/>
      <c r="R875" s="10"/>
    </row>
    <row r="876" customFormat="false" ht="14.25" hidden="false" customHeight="true" outlineLevel="0" collapsed="false">
      <c r="P876" s="10"/>
      <c r="Q876" s="10"/>
      <c r="R876" s="10"/>
    </row>
    <row r="877" customFormat="false" ht="14.25" hidden="false" customHeight="true" outlineLevel="0" collapsed="false">
      <c r="P877" s="10"/>
      <c r="Q877" s="10"/>
      <c r="R877" s="10"/>
    </row>
    <row r="878" customFormat="false" ht="14.25" hidden="false" customHeight="true" outlineLevel="0" collapsed="false">
      <c r="P878" s="10"/>
      <c r="Q878" s="10"/>
      <c r="R878" s="10"/>
    </row>
    <row r="879" customFormat="false" ht="14.25" hidden="false" customHeight="true" outlineLevel="0" collapsed="false">
      <c r="P879" s="10"/>
      <c r="Q879" s="10"/>
      <c r="R879" s="10"/>
    </row>
    <row r="880" customFormat="false" ht="14.25" hidden="false" customHeight="true" outlineLevel="0" collapsed="false">
      <c r="P880" s="10"/>
      <c r="Q880" s="10"/>
      <c r="R880" s="10"/>
    </row>
    <row r="881" customFormat="false" ht="14.25" hidden="false" customHeight="true" outlineLevel="0" collapsed="false">
      <c r="P881" s="10"/>
      <c r="Q881" s="10"/>
      <c r="R881" s="10"/>
    </row>
    <row r="882" customFormat="false" ht="14.25" hidden="false" customHeight="true" outlineLevel="0" collapsed="false">
      <c r="P882" s="10"/>
      <c r="Q882" s="10"/>
      <c r="R882" s="10"/>
    </row>
    <row r="883" customFormat="false" ht="14.25" hidden="false" customHeight="true" outlineLevel="0" collapsed="false">
      <c r="P883" s="10"/>
      <c r="Q883" s="10"/>
      <c r="R883" s="10"/>
    </row>
    <row r="884" customFormat="false" ht="14.25" hidden="false" customHeight="true" outlineLevel="0" collapsed="false">
      <c r="P884" s="10"/>
      <c r="Q884" s="10"/>
      <c r="R884" s="10"/>
    </row>
    <row r="885" customFormat="false" ht="14.25" hidden="false" customHeight="true" outlineLevel="0" collapsed="false">
      <c r="P885" s="10"/>
      <c r="Q885" s="10"/>
      <c r="R885" s="10"/>
    </row>
    <row r="886" customFormat="false" ht="14.25" hidden="false" customHeight="true" outlineLevel="0" collapsed="false">
      <c r="P886" s="10"/>
      <c r="Q886" s="10"/>
      <c r="R886" s="10"/>
    </row>
    <row r="887" customFormat="false" ht="14.25" hidden="false" customHeight="true" outlineLevel="0" collapsed="false">
      <c r="P887" s="10"/>
      <c r="Q887" s="10"/>
      <c r="R887" s="10"/>
    </row>
    <row r="888" customFormat="false" ht="14.25" hidden="false" customHeight="true" outlineLevel="0" collapsed="false">
      <c r="P888" s="10"/>
      <c r="Q888" s="10"/>
      <c r="R888" s="10"/>
    </row>
    <row r="889" customFormat="false" ht="14.25" hidden="false" customHeight="true" outlineLevel="0" collapsed="false">
      <c r="P889" s="10"/>
      <c r="Q889" s="10"/>
      <c r="R889" s="10"/>
    </row>
    <row r="890" customFormat="false" ht="14.25" hidden="false" customHeight="true" outlineLevel="0" collapsed="false">
      <c r="P890" s="10"/>
      <c r="Q890" s="10"/>
      <c r="R890" s="10"/>
    </row>
    <row r="891" customFormat="false" ht="14.25" hidden="false" customHeight="true" outlineLevel="0" collapsed="false">
      <c r="P891" s="10"/>
      <c r="Q891" s="10"/>
      <c r="R891" s="10"/>
    </row>
    <row r="892" customFormat="false" ht="14.25" hidden="false" customHeight="true" outlineLevel="0" collapsed="false">
      <c r="P892" s="10"/>
      <c r="Q892" s="10"/>
      <c r="R892" s="10"/>
    </row>
    <row r="893" customFormat="false" ht="14.25" hidden="false" customHeight="true" outlineLevel="0" collapsed="false">
      <c r="P893" s="10"/>
      <c r="Q893" s="10"/>
      <c r="R893" s="10"/>
    </row>
    <row r="894" customFormat="false" ht="14.25" hidden="false" customHeight="true" outlineLevel="0" collapsed="false">
      <c r="P894" s="10"/>
      <c r="Q894" s="10"/>
      <c r="R894" s="10"/>
    </row>
    <row r="895" customFormat="false" ht="14.25" hidden="false" customHeight="true" outlineLevel="0" collapsed="false">
      <c r="P895" s="10"/>
      <c r="Q895" s="10"/>
      <c r="R895" s="10"/>
    </row>
    <row r="896" customFormat="false" ht="14.25" hidden="false" customHeight="true" outlineLevel="0" collapsed="false">
      <c r="P896" s="10"/>
      <c r="Q896" s="10"/>
      <c r="R896" s="10"/>
    </row>
    <row r="897" customFormat="false" ht="14.25" hidden="false" customHeight="true" outlineLevel="0" collapsed="false">
      <c r="P897" s="10"/>
      <c r="Q897" s="10"/>
      <c r="R897" s="10"/>
    </row>
    <row r="898" customFormat="false" ht="14.25" hidden="false" customHeight="true" outlineLevel="0" collapsed="false">
      <c r="P898" s="10"/>
      <c r="Q898" s="10"/>
      <c r="R898" s="10"/>
    </row>
    <row r="899" customFormat="false" ht="14.25" hidden="false" customHeight="true" outlineLevel="0" collapsed="false">
      <c r="P899" s="10"/>
      <c r="Q899" s="10"/>
      <c r="R899" s="10"/>
    </row>
    <row r="900" customFormat="false" ht="14.25" hidden="false" customHeight="true" outlineLevel="0" collapsed="false">
      <c r="P900" s="10"/>
      <c r="Q900" s="10"/>
      <c r="R900" s="10"/>
    </row>
    <row r="901" customFormat="false" ht="14.25" hidden="false" customHeight="true" outlineLevel="0" collapsed="false">
      <c r="P901" s="10"/>
      <c r="Q901" s="10"/>
      <c r="R901" s="10"/>
    </row>
    <row r="902" customFormat="false" ht="14.25" hidden="false" customHeight="true" outlineLevel="0" collapsed="false">
      <c r="P902" s="10"/>
      <c r="Q902" s="10"/>
      <c r="R902" s="10"/>
    </row>
    <row r="903" customFormat="false" ht="14.25" hidden="false" customHeight="true" outlineLevel="0" collapsed="false">
      <c r="P903" s="10"/>
      <c r="Q903" s="10"/>
      <c r="R903" s="10"/>
    </row>
    <row r="904" customFormat="false" ht="14.25" hidden="false" customHeight="true" outlineLevel="0" collapsed="false">
      <c r="P904" s="10"/>
      <c r="Q904" s="10"/>
      <c r="R904" s="10"/>
    </row>
    <row r="905" customFormat="false" ht="14.25" hidden="false" customHeight="true" outlineLevel="0" collapsed="false">
      <c r="P905" s="10"/>
      <c r="Q905" s="10"/>
      <c r="R905" s="10"/>
    </row>
    <row r="906" customFormat="false" ht="14.25" hidden="false" customHeight="true" outlineLevel="0" collapsed="false">
      <c r="P906" s="10"/>
      <c r="Q906" s="10"/>
      <c r="R906" s="10"/>
    </row>
    <row r="907" customFormat="false" ht="14.25" hidden="false" customHeight="true" outlineLevel="0" collapsed="false">
      <c r="P907" s="10"/>
      <c r="Q907" s="10"/>
      <c r="R907" s="10"/>
    </row>
    <row r="908" customFormat="false" ht="14.25" hidden="false" customHeight="true" outlineLevel="0" collapsed="false">
      <c r="P908" s="10"/>
      <c r="Q908" s="10"/>
      <c r="R908" s="10"/>
    </row>
    <row r="909" customFormat="false" ht="14.25" hidden="false" customHeight="true" outlineLevel="0" collapsed="false">
      <c r="P909" s="10"/>
      <c r="Q909" s="10"/>
      <c r="R909" s="10"/>
    </row>
    <row r="910" customFormat="false" ht="14.25" hidden="false" customHeight="true" outlineLevel="0" collapsed="false">
      <c r="P910" s="10"/>
      <c r="Q910" s="10"/>
      <c r="R910" s="10"/>
    </row>
    <row r="911" customFormat="false" ht="14.25" hidden="false" customHeight="true" outlineLevel="0" collapsed="false">
      <c r="P911" s="10"/>
      <c r="Q911" s="10"/>
      <c r="R911" s="10"/>
    </row>
    <row r="912" customFormat="false" ht="14.25" hidden="false" customHeight="true" outlineLevel="0" collapsed="false">
      <c r="P912" s="10"/>
      <c r="Q912" s="10"/>
      <c r="R912" s="10"/>
    </row>
    <row r="913" customFormat="false" ht="14.25" hidden="false" customHeight="true" outlineLevel="0" collapsed="false">
      <c r="P913" s="10"/>
      <c r="Q913" s="10"/>
      <c r="R913" s="10"/>
    </row>
    <row r="914" customFormat="false" ht="14.25" hidden="false" customHeight="true" outlineLevel="0" collapsed="false">
      <c r="P914" s="10"/>
      <c r="Q914" s="10"/>
      <c r="R914" s="10"/>
    </row>
    <row r="915" customFormat="false" ht="14.25" hidden="false" customHeight="true" outlineLevel="0" collapsed="false">
      <c r="P915" s="10"/>
      <c r="Q915" s="10"/>
      <c r="R915" s="10"/>
    </row>
    <row r="916" customFormat="false" ht="14.25" hidden="false" customHeight="true" outlineLevel="0" collapsed="false">
      <c r="P916" s="10"/>
      <c r="Q916" s="10"/>
      <c r="R916" s="10"/>
    </row>
    <row r="917" customFormat="false" ht="14.25" hidden="false" customHeight="true" outlineLevel="0" collapsed="false">
      <c r="P917" s="10"/>
      <c r="Q917" s="10"/>
      <c r="R917" s="10"/>
    </row>
    <row r="918" customFormat="false" ht="14.25" hidden="false" customHeight="true" outlineLevel="0" collapsed="false">
      <c r="P918" s="10"/>
      <c r="Q918" s="10"/>
      <c r="R918" s="10"/>
    </row>
    <row r="919" customFormat="false" ht="14.25" hidden="false" customHeight="true" outlineLevel="0" collapsed="false">
      <c r="P919" s="10"/>
      <c r="Q919" s="10"/>
      <c r="R919" s="10"/>
    </row>
    <row r="920" customFormat="false" ht="14.25" hidden="false" customHeight="true" outlineLevel="0" collapsed="false">
      <c r="P920" s="10"/>
      <c r="Q920" s="10"/>
      <c r="R920" s="10"/>
    </row>
    <row r="921" customFormat="false" ht="14.25" hidden="false" customHeight="true" outlineLevel="0" collapsed="false">
      <c r="P921" s="10"/>
      <c r="Q921" s="10"/>
      <c r="R921" s="10"/>
    </row>
    <row r="922" customFormat="false" ht="14.25" hidden="false" customHeight="true" outlineLevel="0" collapsed="false">
      <c r="P922" s="10"/>
      <c r="Q922" s="10"/>
      <c r="R922" s="10"/>
    </row>
    <row r="923" customFormat="false" ht="14.25" hidden="false" customHeight="true" outlineLevel="0" collapsed="false">
      <c r="P923" s="10"/>
      <c r="Q923" s="10"/>
      <c r="R923" s="10"/>
    </row>
    <row r="924" customFormat="false" ht="14.25" hidden="false" customHeight="true" outlineLevel="0" collapsed="false">
      <c r="P924" s="10"/>
      <c r="Q924" s="10"/>
      <c r="R924" s="10"/>
    </row>
    <row r="925" customFormat="false" ht="14.25" hidden="false" customHeight="true" outlineLevel="0" collapsed="false">
      <c r="P925" s="10"/>
      <c r="Q925" s="10"/>
      <c r="R925" s="10"/>
    </row>
    <row r="926" customFormat="false" ht="14.25" hidden="false" customHeight="true" outlineLevel="0" collapsed="false">
      <c r="P926" s="10"/>
      <c r="Q926" s="10"/>
      <c r="R926" s="10"/>
    </row>
    <row r="927" customFormat="false" ht="14.25" hidden="false" customHeight="true" outlineLevel="0" collapsed="false">
      <c r="P927" s="10"/>
      <c r="Q927" s="10"/>
      <c r="R927" s="10"/>
    </row>
    <row r="928" customFormat="false" ht="14.25" hidden="false" customHeight="true" outlineLevel="0" collapsed="false">
      <c r="P928" s="10"/>
      <c r="Q928" s="10"/>
      <c r="R928" s="10"/>
    </row>
    <row r="929" customFormat="false" ht="14.25" hidden="false" customHeight="true" outlineLevel="0" collapsed="false">
      <c r="P929" s="10"/>
      <c r="Q929" s="10"/>
      <c r="R929" s="10"/>
    </row>
    <row r="930" customFormat="false" ht="14.25" hidden="false" customHeight="true" outlineLevel="0" collapsed="false">
      <c r="P930" s="10"/>
      <c r="Q930" s="10"/>
      <c r="R930" s="10"/>
    </row>
    <row r="931" customFormat="false" ht="14.25" hidden="false" customHeight="true" outlineLevel="0" collapsed="false">
      <c r="P931" s="10"/>
      <c r="Q931" s="10"/>
      <c r="R931" s="10"/>
    </row>
    <row r="932" customFormat="false" ht="14.25" hidden="false" customHeight="true" outlineLevel="0" collapsed="false">
      <c r="P932" s="10"/>
      <c r="Q932" s="10"/>
      <c r="R932" s="10"/>
    </row>
    <row r="933" customFormat="false" ht="14.25" hidden="false" customHeight="true" outlineLevel="0" collapsed="false">
      <c r="P933" s="10"/>
      <c r="Q933" s="10"/>
      <c r="R933" s="10"/>
    </row>
    <row r="934" customFormat="false" ht="14.25" hidden="false" customHeight="true" outlineLevel="0" collapsed="false">
      <c r="P934" s="10"/>
      <c r="Q934" s="10"/>
      <c r="R934" s="10"/>
    </row>
    <row r="935" customFormat="false" ht="14.25" hidden="false" customHeight="true" outlineLevel="0" collapsed="false">
      <c r="P935" s="10"/>
      <c r="Q935" s="10"/>
      <c r="R935" s="10"/>
    </row>
    <row r="936" customFormat="false" ht="14.25" hidden="false" customHeight="true" outlineLevel="0" collapsed="false">
      <c r="P936" s="10"/>
      <c r="Q936" s="10"/>
      <c r="R936" s="10"/>
    </row>
    <row r="937" customFormat="false" ht="14.25" hidden="false" customHeight="true" outlineLevel="0" collapsed="false">
      <c r="P937" s="10"/>
      <c r="Q937" s="10"/>
      <c r="R937" s="10"/>
    </row>
    <row r="938" customFormat="false" ht="14.25" hidden="false" customHeight="true" outlineLevel="0" collapsed="false">
      <c r="P938" s="10"/>
      <c r="Q938" s="10"/>
      <c r="R938" s="10"/>
    </row>
    <row r="939" customFormat="false" ht="14.25" hidden="false" customHeight="true" outlineLevel="0" collapsed="false">
      <c r="P939" s="10"/>
      <c r="Q939" s="10"/>
      <c r="R939" s="10"/>
    </row>
    <row r="940" customFormat="false" ht="14.25" hidden="false" customHeight="true" outlineLevel="0" collapsed="false">
      <c r="P940" s="10"/>
      <c r="Q940" s="10"/>
      <c r="R940" s="10"/>
    </row>
    <row r="941" customFormat="false" ht="14.25" hidden="false" customHeight="true" outlineLevel="0" collapsed="false">
      <c r="P941" s="10"/>
      <c r="Q941" s="10"/>
      <c r="R941" s="10"/>
    </row>
    <row r="942" customFormat="false" ht="14.25" hidden="false" customHeight="true" outlineLevel="0" collapsed="false">
      <c r="P942" s="10"/>
      <c r="Q942" s="10"/>
      <c r="R942" s="10"/>
    </row>
    <row r="943" customFormat="false" ht="14.25" hidden="false" customHeight="true" outlineLevel="0" collapsed="false">
      <c r="P943" s="10"/>
      <c r="Q943" s="10"/>
      <c r="R943" s="10"/>
    </row>
    <row r="944" customFormat="false" ht="14.25" hidden="false" customHeight="true" outlineLevel="0" collapsed="false">
      <c r="P944" s="10"/>
      <c r="Q944" s="10"/>
      <c r="R944" s="10"/>
    </row>
    <row r="945" customFormat="false" ht="14.25" hidden="false" customHeight="true" outlineLevel="0" collapsed="false">
      <c r="P945" s="10"/>
      <c r="Q945" s="10"/>
      <c r="R945" s="10"/>
    </row>
    <row r="946" customFormat="false" ht="14.25" hidden="false" customHeight="true" outlineLevel="0" collapsed="false">
      <c r="P946" s="10"/>
      <c r="Q946" s="10"/>
      <c r="R946" s="10"/>
    </row>
    <row r="947" customFormat="false" ht="14.25" hidden="false" customHeight="true" outlineLevel="0" collapsed="false">
      <c r="P947" s="10"/>
      <c r="Q947" s="10"/>
      <c r="R947" s="10"/>
    </row>
    <row r="948" customFormat="false" ht="14.25" hidden="false" customHeight="true" outlineLevel="0" collapsed="false">
      <c r="P948" s="10"/>
      <c r="Q948" s="10"/>
      <c r="R948" s="10"/>
    </row>
    <row r="949" customFormat="false" ht="14.25" hidden="false" customHeight="true" outlineLevel="0" collapsed="false">
      <c r="P949" s="10"/>
      <c r="Q949" s="10"/>
      <c r="R949" s="10"/>
    </row>
    <row r="950" customFormat="false" ht="14.25" hidden="false" customHeight="true" outlineLevel="0" collapsed="false">
      <c r="P950" s="10"/>
      <c r="Q950" s="10"/>
      <c r="R950" s="10"/>
    </row>
    <row r="951" customFormat="false" ht="14.25" hidden="false" customHeight="true" outlineLevel="0" collapsed="false">
      <c r="P951" s="10"/>
      <c r="Q951" s="10"/>
      <c r="R951" s="10"/>
    </row>
    <row r="952" customFormat="false" ht="14.25" hidden="false" customHeight="true" outlineLevel="0" collapsed="false">
      <c r="P952" s="10"/>
      <c r="Q952" s="10"/>
      <c r="R952" s="10"/>
    </row>
    <row r="953" customFormat="false" ht="14.25" hidden="false" customHeight="true" outlineLevel="0" collapsed="false">
      <c r="P953" s="10"/>
      <c r="Q953" s="10"/>
      <c r="R953" s="10"/>
    </row>
    <row r="954" customFormat="false" ht="14.25" hidden="false" customHeight="true" outlineLevel="0" collapsed="false">
      <c r="P954" s="10"/>
      <c r="Q954" s="10"/>
      <c r="R954" s="10"/>
    </row>
    <row r="955" customFormat="false" ht="14.25" hidden="false" customHeight="true" outlineLevel="0" collapsed="false">
      <c r="P955" s="10"/>
      <c r="Q955" s="10"/>
      <c r="R955" s="10"/>
    </row>
    <row r="956" customFormat="false" ht="14.25" hidden="false" customHeight="true" outlineLevel="0" collapsed="false">
      <c r="P956" s="10"/>
      <c r="Q956" s="10"/>
      <c r="R956" s="10"/>
    </row>
    <row r="957" customFormat="false" ht="14.25" hidden="false" customHeight="true" outlineLevel="0" collapsed="false">
      <c r="P957" s="10"/>
      <c r="Q957" s="10"/>
      <c r="R957" s="10"/>
    </row>
    <row r="958" customFormat="false" ht="14.25" hidden="false" customHeight="true" outlineLevel="0" collapsed="false">
      <c r="P958" s="10"/>
      <c r="Q958" s="10"/>
      <c r="R958" s="10"/>
    </row>
    <row r="959" customFormat="false" ht="14.25" hidden="false" customHeight="true" outlineLevel="0" collapsed="false">
      <c r="P959" s="10"/>
      <c r="Q959" s="10"/>
      <c r="R959" s="10"/>
    </row>
    <row r="960" customFormat="false" ht="14.25" hidden="false" customHeight="true" outlineLevel="0" collapsed="false">
      <c r="P960" s="10"/>
      <c r="Q960" s="10"/>
      <c r="R960" s="10"/>
    </row>
    <row r="961" customFormat="false" ht="14.25" hidden="false" customHeight="true" outlineLevel="0" collapsed="false">
      <c r="P961" s="10"/>
      <c r="Q961" s="10"/>
      <c r="R961" s="10"/>
    </row>
    <row r="962" customFormat="false" ht="14.25" hidden="false" customHeight="true" outlineLevel="0" collapsed="false">
      <c r="P962" s="10"/>
      <c r="Q962" s="10"/>
      <c r="R962" s="10"/>
    </row>
    <row r="963" customFormat="false" ht="14.25" hidden="false" customHeight="true" outlineLevel="0" collapsed="false">
      <c r="P963" s="10"/>
      <c r="Q963" s="10"/>
      <c r="R963" s="10"/>
    </row>
    <row r="964" customFormat="false" ht="14.25" hidden="false" customHeight="true" outlineLevel="0" collapsed="false">
      <c r="P964" s="10"/>
      <c r="Q964" s="10"/>
      <c r="R964" s="10"/>
    </row>
    <row r="965" customFormat="false" ht="14.25" hidden="false" customHeight="true" outlineLevel="0" collapsed="false">
      <c r="P965" s="10"/>
      <c r="Q965" s="10"/>
      <c r="R965" s="10"/>
    </row>
    <row r="966" customFormat="false" ht="14.25" hidden="false" customHeight="true" outlineLevel="0" collapsed="false">
      <c r="P966" s="10"/>
      <c r="Q966" s="10"/>
      <c r="R966" s="10"/>
    </row>
    <row r="967" customFormat="false" ht="14.25" hidden="false" customHeight="true" outlineLevel="0" collapsed="false">
      <c r="P967" s="10"/>
      <c r="Q967" s="10"/>
      <c r="R967" s="10"/>
    </row>
    <row r="968" customFormat="false" ht="14.25" hidden="false" customHeight="true" outlineLevel="0" collapsed="false">
      <c r="P968" s="10"/>
      <c r="Q968" s="10"/>
      <c r="R968" s="10"/>
    </row>
    <row r="969" customFormat="false" ht="14.25" hidden="false" customHeight="true" outlineLevel="0" collapsed="false">
      <c r="P969" s="10"/>
      <c r="Q969" s="10"/>
      <c r="R969" s="10"/>
    </row>
    <row r="970" customFormat="false" ht="14.25" hidden="false" customHeight="true" outlineLevel="0" collapsed="false">
      <c r="P970" s="10"/>
      <c r="Q970" s="10"/>
      <c r="R970" s="10"/>
    </row>
    <row r="971" customFormat="false" ht="14.25" hidden="false" customHeight="true" outlineLevel="0" collapsed="false">
      <c r="P971" s="10"/>
      <c r="Q971" s="10"/>
      <c r="R971" s="10"/>
    </row>
    <row r="972" customFormat="false" ht="14.25" hidden="false" customHeight="true" outlineLevel="0" collapsed="false">
      <c r="P972" s="10"/>
      <c r="Q972" s="10"/>
      <c r="R972" s="10"/>
    </row>
    <row r="973" customFormat="false" ht="14.25" hidden="false" customHeight="true" outlineLevel="0" collapsed="false">
      <c r="P973" s="10"/>
      <c r="Q973" s="10"/>
      <c r="R973" s="10"/>
    </row>
    <row r="974" customFormat="false" ht="14.25" hidden="false" customHeight="true" outlineLevel="0" collapsed="false">
      <c r="P974" s="10"/>
      <c r="Q974" s="10"/>
      <c r="R974" s="10"/>
    </row>
    <row r="975" customFormat="false" ht="14.25" hidden="false" customHeight="true" outlineLevel="0" collapsed="false">
      <c r="P975" s="10"/>
      <c r="Q975" s="10"/>
      <c r="R975" s="10"/>
    </row>
    <row r="976" customFormat="false" ht="14.25" hidden="false" customHeight="true" outlineLevel="0" collapsed="false">
      <c r="P976" s="10"/>
      <c r="Q976" s="10"/>
      <c r="R976" s="10"/>
    </row>
    <row r="977" customFormat="false" ht="14.25" hidden="false" customHeight="true" outlineLevel="0" collapsed="false">
      <c r="P977" s="10"/>
      <c r="Q977" s="10"/>
      <c r="R977" s="10"/>
    </row>
    <row r="978" customFormat="false" ht="14.25" hidden="false" customHeight="true" outlineLevel="0" collapsed="false">
      <c r="P978" s="10"/>
      <c r="Q978" s="10"/>
      <c r="R978" s="10"/>
    </row>
    <row r="979" customFormat="false" ht="14.25" hidden="false" customHeight="true" outlineLevel="0" collapsed="false">
      <c r="P979" s="10"/>
      <c r="Q979" s="10"/>
      <c r="R979" s="10"/>
    </row>
    <row r="980" customFormat="false" ht="14.25" hidden="false" customHeight="true" outlineLevel="0" collapsed="false">
      <c r="P980" s="10"/>
      <c r="Q980" s="10"/>
      <c r="R980" s="10"/>
    </row>
  </sheetData>
  <mergeCells count="7">
    <mergeCell ref="I2:J2"/>
    <mergeCell ref="K2:L2"/>
    <mergeCell ref="I3:M3"/>
    <mergeCell ref="P3:P4"/>
    <mergeCell ref="Q3:Q4"/>
    <mergeCell ref="R3:R4"/>
    <mergeCell ref="A5:A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42"/>
  <sheetViews>
    <sheetView showFormulas="false" showGridLines="true" showRowColHeaders="true" showZeros="true" rightToLeft="false" tabSelected="false" showOutlineSymbols="true" defaultGridColor="true" view="normal" topLeftCell="A335" colorId="64" zoomScale="100" zoomScaleNormal="100" zoomScalePageLayoutView="100" workbookViewId="0">
      <selection pane="topLeft" activeCell="F353" activeCellId="0" sqref="F353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9.29"/>
    <col collapsed="false" customWidth="true" hidden="false" outlineLevel="0" max="2" min="2" style="1" width="22.29"/>
    <col collapsed="false" customWidth="true" hidden="false" outlineLevel="0" max="3" min="3" style="1" width="12.71"/>
    <col collapsed="false" customWidth="true" hidden="false" outlineLevel="0" max="4" min="4" style="1" width="8.71"/>
    <col collapsed="false" customWidth="true" hidden="false" outlineLevel="0" max="5" min="5" style="1" width="14.71"/>
    <col collapsed="false" customWidth="true" hidden="false" outlineLevel="0" max="6" min="6" style="1" width="8.71"/>
    <col collapsed="false" customWidth="true" hidden="false" outlineLevel="0" max="7" min="7" style="1" width="16"/>
    <col collapsed="false" customWidth="true" hidden="false" outlineLevel="0" max="8" min="8" style="1" width="47"/>
    <col collapsed="false" customWidth="true" hidden="false" outlineLevel="0" max="9" min="9" style="1" width="15.14"/>
    <col collapsed="false" customWidth="true" hidden="false" outlineLevel="0" max="10" min="10" style="1" width="13.42"/>
    <col collapsed="false" customWidth="true" hidden="false" outlineLevel="0" max="11" min="11" style="1" width="14"/>
    <col collapsed="false" customWidth="true" hidden="false" outlineLevel="0" max="12" min="12" style="1" width="14.29"/>
    <col collapsed="false" customWidth="true" hidden="false" outlineLevel="0" max="13" min="13" style="1" width="16.57"/>
    <col collapsed="false" customWidth="true" hidden="false" outlineLevel="0" max="14" min="14" style="1" width="14.29"/>
    <col collapsed="false" customWidth="false" hidden="false" outlineLevel="0" max="15" min="15" style="1" width="14.42"/>
    <col collapsed="false" customWidth="true" hidden="false" outlineLevel="0" max="16" min="16" style="1" width="14.14"/>
    <col collapsed="false" customWidth="true" hidden="false" outlineLevel="0" max="17" min="17" style="1" width="14.86"/>
    <col collapsed="false" customWidth="true" hidden="false" outlineLevel="0" max="18" min="18" style="1" width="18.57"/>
    <col collapsed="false" customWidth="true" hidden="false" outlineLevel="0" max="19" min="19" style="1" width="25.85"/>
    <col collapsed="false" customWidth="true" hidden="false" outlineLevel="0" max="20" min="20" style="1" width="15.29"/>
    <col collapsed="false" customWidth="true" hidden="false" outlineLevel="0" max="21" min="21" style="1" width="13.29"/>
    <col collapsed="false" customWidth="true" hidden="false" outlineLevel="0" max="22" min="22" style="1" width="14"/>
    <col collapsed="false" customWidth="true" hidden="false" outlineLevel="0" max="23" min="23" style="1" width="16.29"/>
    <col collapsed="false" customWidth="true" hidden="false" outlineLevel="0" max="24" min="24" style="1" width="14.29"/>
  </cols>
  <sheetData>
    <row r="1" customFormat="false" ht="14.25" hidden="false" customHeight="true" outlineLevel="0" collapsed="false">
      <c r="A1" s="8"/>
      <c r="B1" s="8"/>
      <c r="C1" s="8"/>
      <c r="D1" s="9"/>
      <c r="I1" s="8"/>
      <c r="P1" s="10"/>
      <c r="Q1" s="10"/>
      <c r="R1" s="10"/>
    </row>
    <row r="2" customFormat="false" ht="14.25" hidden="false" customHeight="true" outlineLevel="0" collapsed="false">
      <c r="A2" s="8"/>
      <c r="B2" s="8"/>
      <c r="C2" s="8"/>
      <c r="D2" s="9"/>
      <c r="I2" s="45" t="s">
        <v>47</v>
      </c>
      <c r="J2" s="45"/>
      <c r="K2" s="45"/>
      <c r="L2" s="45"/>
      <c r="M2" s="45"/>
      <c r="N2" s="45"/>
      <c r="O2" s="45"/>
      <c r="P2" s="45"/>
      <c r="Q2" s="45"/>
      <c r="R2" s="45"/>
    </row>
    <row r="3" customFormat="false" ht="14.25" hidden="false" customHeight="true" outlineLevel="0" collapsed="false">
      <c r="A3" s="8"/>
      <c r="B3" s="8"/>
      <c r="C3" s="8"/>
      <c r="D3" s="9"/>
      <c r="I3" s="8"/>
      <c r="P3" s="10"/>
      <c r="Q3" s="10"/>
      <c r="R3" s="10"/>
    </row>
    <row r="4" customFormat="false" ht="14.25" hidden="false" customHeight="true" outlineLevel="0" collapsed="false">
      <c r="A4" s="8"/>
      <c r="B4" s="8"/>
      <c r="C4" s="8"/>
      <c r="D4" s="9"/>
      <c r="G4" s="11" t="s">
        <v>2</v>
      </c>
      <c r="I4" s="12" t="s">
        <v>3</v>
      </c>
      <c r="J4" s="12"/>
      <c r="K4" s="13" t="n">
        <v>0.1</v>
      </c>
      <c r="L4" s="13"/>
      <c r="P4" s="10"/>
      <c r="Q4" s="10"/>
      <c r="R4" s="10"/>
    </row>
    <row r="5" customFormat="false" ht="14.25" hidden="false" customHeight="true" outlineLevel="0" collapsed="false">
      <c r="C5" s="8"/>
      <c r="G5" s="46" t="s">
        <v>4</v>
      </c>
      <c r="H5" s="47" t="s">
        <v>18</v>
      </c>
      <c r="I5" s="48" t="s">
        <v>5</v>
      </c>
      <c r="J5" s="48"/>
      <c r="K5" s="48"/>
      <c r="L5" s="48"/>
      <c r="M5" s="48"/>
      <c r="N5" s="49" t="s">
        <v>6</v>
      </c>
      <c r="O5" s="17" t="s">
        <v>7</v>
      </c>
      <c r="P5" s="18" t="s">
        <v>8</v>
      </c>
      <c r="Q5" s="18" t="s">
        <v>9</v>
      </c>
      <c r="R5" s="19" t="s">
        <v>10</v>
      </c>
      <c r="S5" s="19" t="s">
        <v>26</v>
      </c>
      <c r="T5" s="19" t="s">
        <v>27</v>
      </c>
      <c r="U5" s="19" t="s">
        <v>28</v>
      </c>
      <c r="V5" s="19" t="s">
        <v>29</v>
      </c>
      <c r="W5" s="19" t="s">
        <v>30</v>
      </c>
      <c r="X5" s="19" t="s">
        <v>31</v>
      </c>
    </row>
    <row r="6" customFormat="false" ht="14.25" hidden="false" customHeight="true" outlineLevel="0" collapsed="false">
      <c r="A6" s="20" t="s">
        <v>11</v>
      </c>
      <c r="B6" s="21" t="s">
        <v>12</v>
      </c>
      <c r="C6" s="18" t="s">
        <v>13</v>
      </c>
      <c r="D6" s="18" t="s">
        <v>14</v>
      </c>
      <c r="E6" s="18" t="s">
        <v>15</v>
      </c>
      <c r="F6" s="18" t="s">
        <v>16</v>
      </c>
      <c r="G6" s="50" t="s">
        <v>17</v>
      </c>
      <c r="H6" s="47"/>
      <c r="I6" s="23" t="s">
        <v>19</v>
      </c>
      <c r="J6" s="24" t="s">
        <v>20</v>
      </c>
      <c r="K6" s="25" t="s">
        <v>21</v>
      </c>
      <c r="L6" s="25" t="s">
        <v>22</v>
      </c>
      <c r="M6" s="51" t="s">
        <v>23</v>
      </c>
      <c r="N6" s="52" t="s">
        <v>24</v>
      </c>
      <c r="O6" s="53" t="s">
        <v>25</v>
      </c>
      <c r="P6" s="18"/>
      <c r="Q6" s="18"/>
      <c r="R6" s="19"/>
      <c r="S6" s="19"/>
      <c r="T6" s="19"/>
      <c r="U6" s="19"/>
      <c r="V6" s="19"/>
      <c r="W6" s="19"/>
      <c r="X6" s="19"/>
    </row>
    <row r="7" customFormat="false" ht="14.25" hidden="false" customHeight="true" outlineLevel="0" collapsed="false">
      <c r="A7" s="27" t="s">
        <v>32</v>
      </c>
      <c r="B7" s="28" t="n">
        <v>1</v>
      </c>
      <c r="C7" s="2" t="n">
        <f aca="false" t="array" ref="C7:C7">IF($B7&lt;=10, INDEX(Data!$A:$A,40+$B7), INDEX(Data!$A:$A,80+$B7))</f>
        <v>5</v>
      </c>
      <c r="D7" s="54" t="n">
        <f aca="false" t="array" ref="D7:D7">IF($B7&lt;=10, INDEX(Data!$B:$B,40+$B7), INDEX(Data!$B:$B,80+$B7))</f>
        <v>3.5</v>
      </c>
      <c r="E7" s="54" t="n">
        <f aca="false" t="array" ref="E7:E7">IF($B7&lt;=10, INDEX(Data!$C:$C,40+$B7), INDEX(Data!$C:$C,80+$B7))</f>
        <v>1.3</v>
      </c>
      <c r="F7" s="54" t="n">
        <f aca="false" t="array" ref="F7:F7">IF($B7&lt;=10, INDEX(Data!$D:$D,40+$B7), INDEX(Data!$D:$D,80+$B7))</f>
        <v>0.3</v>
      </c>
      <c r="G7" s="54" t="n">
        <f aca="false" t="array" ref="G7:G7">IF(INDEX(Data!$E:$E,IF($B7&lt;=10,40+$B7,80+$B7))="Iris-setosa",0,1)</f>
        <v>0</v>
      </c>
      <c r="H7" s="1" t="n">
        <f aca="false">IF(G7=P7, 1, 0)</f>
        <v>0</v>
      </c>
      <c r="I7" s="30" t="n">
        <f aca="false">'SLP-Training'!I84</f>
        <v>0.38006952281615</v>
      </c>
      <c r="J7" s="30" t="n">
        <f aca="false">'SLP-Training'!J84</f>
        <v>-0.0205994160245484</v>
      </c>
      <c r="K7" s="30" t="n">
        <f aca="false">'SLP-Training'!K84</f>
        <v>0.0707800622330134</v>
      </c>
      <c r="L7" s="30" t="n">
        <f aca="false">'SLP-Training'!L84</f>
        <v>0.523382935647055</v>
      </c>
      <c r="M7" s="30" t="n">
        <f aca="false">'SLP-Training'!M84</f>
        <v>0.550793590676125</v>
      </c>
      <c r="N7" s="55" t="n">
        <f aca="false">I7+J7*C7+K7*D7+L7*E7+F7*M7</f>
        <v>1.37043855405296</v>
      </c>
      <c r="O7" s="31" t="n">
        <f aca="false">1/(1+EXP(-N7))</f>
        <v>0.797450999333202</v>
      </c>
      <c r="P7" s="32" t="n">
        <f aca="false">IF(O7&gt;0.5,1,0)</f>
        <v>1</v>
      </c>
      <c r="Q7" s="32" t="n">
        <f aca="false">O7-G7</f>
        <v>0.797450999333202</v>
      </c>
      <c r="R7" s="33" t="n">
        <f aca="false">Q7^2</f>
        <v>0.635928096337522</v>
      </c>
      <c r="T7" s="33" t="n">
        <f aca="false">2*(O7-G7)*(1-O7)*O7</f>
        <v>0.257613200818209</v>
      </c>
      <c r="U7" s="33" t="n">
        <f aca="false">2*(O7-G7)*(1-O7)*O7*C7</f>
        <v>1.28806600409105</v>
      </c>
      <c r="V7" s="33" t="n">
        <f aca="false">2*(O7-G7)*(1-O7)*O7*D7</f>
        <v>0.901646202863732</v>
      </c>
      <c r="W7" s="33" t="n">
        <f aca="false">2*(O7-G7)*(1-O7)*O7*E7</f>
        <v>0.334897161063672</v>
      </c>
      <c r="X7" s="33" t="n">
        <f aca="false">2*(O7-G7)*(1-O7)*O7*F7</f>
        <v>0.0772839602454627</v>
      </c>
    </row>
    <row r="8" customFormat="false" ht="14.25" hidden="false" customHeight="true" outlineLevel="0" collapsed="false">
      <c r="A8" s="27"/>
      <c r="B8" s="34" t="n">
        <v>2</v>
      </c>
      <c r="C8" s="2" t="n">
        <f aca="false" t="array" ref="C8:C8">IF($B8&lt;=10, INDEX(Data!$A:$A,40+$B8), INDEX(Data!$A:$A,80+$B8))</f>
        <v>4.5</v>
      </c>
      <c r="D8" s="54" t="n">
        <f aca="false" t="array" ref="D8:D8">IF($B8&lt;=10, INDEX(Data!$B:$B,40+$B8), INDEX(Data!$B:$B,80+$B8))</f>
        <v>2.3</v>
      </c>
      <c r="E8" s="54" t="n">
        <f aca="false" t="array" ref="E8:E8">IF($B8&lt;=10, INDEX(Data!$C:$C,40+$B8), INDEX(Data!$C:$C,80+$B8))</f>
        <v>1.3</v>
      </c>
      <c r="F8" s="54" t="n">
        <f aca="false" t="array" ref="F8:F8">IF($B8&lt;=10, INDEX(Data!$D:$D,40+$B8), INDEX(Data!$D:$D,80+$B8))</f>
        <v>0.3</v>
      </c>
      <c r="G8" s="54" t="n">
        <f aca="false" t="array" ref="G8:G8">IF(INDEX(Data!$E:$E,IF($B8&lt;=10,40+$B8,80+$B8))="Iris-setosa",0,1)</f>
        <v>0</v>
      </c>
      <c r="H8" s="1" t="n">
        <f aca="false">IF(G8=P8, 1, 0)</f>
        <v>0</v>
      </c>
      <c r="I8" s="34" t="n">
        <f aca="false">I7-$K$4*T7</f>
        <v>0.354308202734329</v>
      </c>
      <c r="J8" s="34" t="n">
        <f aca="false">J7-$K$4*U7</f>
        <v>-0.149406016433653</v>
      </c>
      <c r="K8" s="34" t="n">
        <f aca="false">K7-$K$4*V7</f>
        <v>-0.0193845580533598</v>
      </c>
      <c r="L8" s="34" t="n">
        <f aca="false">L7-$K$4*W7</f>
        <v>0.489893219540687</v>
      </c>
      <c r="M8" s="34" t="n">
        <f aca="false">M7-$K$4*X7</f>
        <v>0.543065194651579</v>
      </c>
      <c r="N8" s="31" t="n">
        <f aca="false">I8+J8*C8+K8*D8+L8*E8+F8*M8</f>
        <v>0.43717738905853</v>
      </c>
      <c r="O8" s="31" t="n">
        <f aca="false">1/(1+EXP(-N8))</f>
        <v>0.607586253925609</v>
      </c>
      <c r="P8" s="32" t="n">
        <f aca="false">IF(O8&gt;0.5,1,0)</f>
        <v>1</v>
      </c>
      <c r="Q8" s="32" t="n">
        <f aca="false">O8-G8</f>
        <v>0.607586253925609</v>
      </c>
      <c r="R8" s="33" t="n">
        <f aca="false">Q8^2</f>
        <v>0.369161055959354</v>
      </c>
      <c r="T8" s="33" t="n">
        <f aca="false">2*(O8-G8)*(1-O8)*O8</f>
        <v>0.289727745747576</v>
      </c>
      <c r="U8" s="33" t="n">
        <f aca="false">2*(O8-G8)*(1-O8)*O8*C8</f>
        <v>1.30377485586409</v>
      </c>
      <c r="V8" s="33" t="n">
        <f aca="false">2*(O8-G8)*(1-O8)*O8*D8</f>
        <v>0.666373815219426</v>
      </c>
      <c r="W8" s="33" t="n">
        <f aca="false">2*(O8-G8)*(1-O8)*O8*E8</f>
        <v>0.376646069471849</v>
      </c>
      <c r="X8" s="33" t="n">
        <f aca="false">2*(O8-G8)*(1-O8)*O8*F8</f>
        <v>0.0869183237242729</v>
      </c>
    </row>
    <row r="9" customFormat="false" ht="14.25" hidden="false" customHeight="true" outlineLevel="0" collapsed="false">
      <c r="A9" s="27"/>
      <c r="B9" s="28" t="n">
        <v>3</v>
      </c>
      <c r="C9" s="2" t="n">
        <f aca="false" t="array" ref="C9:C9">IF($B9&lt;=10, INDEX(Data!$A:$A,40+$B9), INDEX(Data!$A:$A,80+$B9))</f>
        <v>4.4</v>
      </c>
      <c r="D9" s="54" t="n">
        <f aca="false" t="array" ref="D9:D9">IF($B9&lt;=10, INDEX(Data!$B:$B,40+$B9), INDEX(Data!$B:$B,80+$B9))</f>
        <v>3.2</v>
      </c>
      <c r="E9" s="54" t="n">
        <f aca="false" t="array" ref="E9:E9">IF($B9&lt;=10, INDEX(Data!$C:$C,40+$B9), INDEX(Data!$C:$C,80+$B9))</f>
        <v>1.3</v>
      </c>
      <c r="F9" s="54" t="n">
        <f aca="false" t="array" ref="F9:F9">IF($B9&lt;=10, INDEX(Data!$D:$D,40+$B9), INDEX(Data!$D:$D,80+$B9))</f>
        <v>0.2</v>
      </c>
      <c r="G9" s="54" t="n">
        <f aca="false" t="array" ref="G9:G9">IF(INDEX(Data!$E:$E,IF($B9&lt;=10,40+$B9,80+$B9))="Iris-setosa",0,1)</f>
        <v>0</v>
      </c>
      <c r="H9" s="1" t="n">
        <f aca="false">IF(G9=P9, 1, 0)</f>
        <v>1</v>
      </c>
      <c r="I9" s="34" t="n">
        <f aca="false">I8-$K$4*T8</f>
        <v>0.325335428159571</v>
      </c>
      <c r="J9" s="34" t="n">
        <f aca="false">J8-$K$4*U8</f>
        <v>-0.279783502020062</v>
      </c>
      <c r="K9" s="34" t="n">
        <f aca="false">K8-$K$4*V8</f>
        <v>-0.0860219395753024</v>
      </c>
      <c r="L9" s="34" t="n">
        <f aca="false">L8-$K$4*W8</f>
        <v>0.452228612593502</v>
      </c>
      <c r="M9" s="34" t="n">
        <f aca="false">M8-$K$4*X8</f>
        <v>0.534373362279152</v>
      </c>
      <c r="N9" s="31" t="n">
        <f aca="false">I9+J9*C9+K9*D9+L9*E9+F9*M9</f>
        <v>-0.486210318542287</v>
      </c>
      <c r="O9" s="31" t="n">
        <f aca="false">1/(1+EXP(-N9))</f>
        <v>0.380786725227931</v>
      </c>
      <c r="P9" s="32" t="n">
        <f aca="false">IF(O9&gt;0.5,1,0)</f>
        <v>0</v>
      </c>
      <c r="Q9" s="32" t="n">
        <f aca="false">O9-G9</f>
        <v>0.380786725227931</v>
      </c>
      <c r="R9" s="33" t="n">
        <f aca="false">Q9^2</f>
        <v>0.144998530109812</v>
      </c>
      <c r="T9" s="33" t="n">
        <f aca="false">2*(O9-G9)*(1-O9)*O9</f>
        <v>0.179570029332866</v>
      </c>
      <c r="U9" s="33" t="n">
        <f aca="false">2*(O9-G9)*(1-O9)*O9*C9</f>
        <v>0.790108129064611</v>
      </c>
      <c r="V9" s="33" t="n">
        <f aca="false">2*(O9-G9)*(1-O9)*O9*D9</f>
        <v>0.574624093865172</v>
      </c>
      <c r="W9" s="33" t="n">
        <f aca="false">2*(O9-G9)*(1-O9)*O9*E9</f>
        <v>0.233441038132726</v>
      </c>
      <c r="X9" s="33" t="n">
        <f aca="false">2*(O9-G9)*(1-O9)*O9*F9</f>
        <v>0.0359140058665732</v>
      </c>
    </row>
    <row r="10" customFormat="false" ht="14.25" hidden="false" customHeight="true" outlineLevel="0" collapsed="false">
      <c r="A10" s="27"/>
      <c r="B10" s="34" t="n">
        <v>4</v>
      </c>
      <c r="C10" s="2" t="n">
        <f aca="false" t="array" ref="C10:C10">IF($B10&lt;=10, INDEX(Data!$A:$A,40+$B10), INDEX(Data!$A:$A,80+$B10))</f>
        <v>5</v>
      </c>
      <c r="D10" s="54" t="n">
        <f aca="false" t="array" ref="D10:D10">IF($B10&lt;=10, INDEX(Data!$B:$B,40+$B10), INDEX(Data!$B:$B,80+$B10))</f>
        <v>3.5</v>
      </c>
      <c r="E10" s="54" t="n">
        <f aca="false" t="array" ref="E10:E10">IF($B10&lt;=10, INDEX(Data!$C:$C,40+$B10), INDEX(Data!$C:$C,80+$B10))</f>
        <v>1.6</v>
      </c>
      <c r="F10" s="54" t="n">
        <f aca="false" t="array" ref="F10:F10">IF($B10&lt;=10, INDEX(Data!$D:$D,40+$B10), INDEX(Data!$D:$D,80+$B10))</f>
        <v>0.6</v>
      </c>
      <c r="G10" s="54" t="n">
        <f aca="false" t="array" ref="G10:G10">IF(INDEX(Data!$E:$E,IF($B10&lt;=10,40+$B10,80+$B10))="Iris-setosa",0,1)</f>
        <v>0</v>
      </c>
      <c r="H10" s="1" t="n">
        <f aca="false">IF(G10=P10, 1, 0)</f>
        <v>1</v>
      </c>
      <c r="I10" s="34" t="n">
        <f aca="false">I9-$K$4*T9</f>
        <v>0.307378425226285</v>
      </c>
      <c r="J10" s="34" t="n">
        <f aca="false">J9-$K$4*U9</f>
        <v>-0.358794314926523</v>
      </c>
      <c r="K10" s="34" t="n">
        <f aca="false">K9-$K$4*V9</f>
        <v>-0.14348434896182</v>
      </c>
      <c r="L10" s="34" t="n">
        <f aca="false">L9-$K$4*W9</f>
        <v>0.42888450878023</v>
      </c>
      <c r="M10" s="34" t="n">
        <f aca="false">M9-$K$4*X9</f>
        <v>0.530781961692495</v>
      </c>
      <c r="N10" s="31" t="n">
        <f aca="false">I10+J10*C10+K10*D10+L10*E10+F10*M10</f>
        <v>-0.984103979708837</v>
      </c>
      <c r="O10" s="31" t="n">
        <f aca="false">1/(1+EXP(-N10))</f>
        <v>0.272078223797879</v>
      </c>
      <c r="P10" s="32" t="n">
        <f aca="false">IF(O10&gt;0.5,1,0)</f>
        <v>0</v>
      </c>
      <c r="Q10" s="32" t="n">
        <f aca="false">O10-G10</f>
        <v>0.272078223797879</v>
      </c>
      <c r="R10" s="33" t="n">
        <f aca="false">Q10^2</f>
        <v>0.0740265598650087</v>
      </c>
      <c r="T10" s="33" t="n">
        <f aca="false">2*(O10-G10)*(1-O10)*O10</f>
        <v>0.10777108988614</v>
      </c>
      <c r="U10" s="33" t="n">
        <f aca="false">2*(O10-G10)*(1-O10)*O10*C10</f>
        <v>0.538855449430698</v>
      </c>
      <c r="V10" s="33" t="n">
        <f aca="false">2*(O10-G10)*(1-O10)*O10*D10</f>
        <v>0.377198814601488</v>
      </c>
      <c r="W10" s="33" t="n">
        <f aca="false">2*(O10-G10)*(1-O10)*O10*E10</f>
        <v>0.172433743817823</v>
      </c>
      <c r="X10" s="33" t="n">
        <f aca="false">2*(O10-G10)*(1-O10)*O10*F10</f>
        <v>0.0646626539316837</v>
      </c>
    </row>
    <row r="11" customFormat="false" ht="14.25" hidden="false" customHeight="true" outlineLevel="0" collapsed="false">
      <c r="A11" s="27"/>
      <c r="B11" s="28" t="n">
        <v>5</v>
      </c>
      <c r="C11" s="2" t="n">
        <f aca="false" t="array" ref="C11:C11">IF($B11&lt;=10, INDEX(Data!$A:$A,40+$B11), INDEX(Data!$A:$A,80+$B11))</f>
        <v>5.1</v>
      </c>
      <c r="D11" s="54" t="n">
        <f aca="false" t="array" ref="D11:D11">IF($B11&lt;=10, INDEX(Data!$B:$B,40+$B11), INDEX(Data!$B:$B,80+$B11))</f>
        <v>3.8</v>
      </c>
      <c r="E11" s="54" t="n">
        <f aca="false" t="array" ref="E11:E11">IF($B11&lt;=10, INDEX(Data!$C:$C,40+$B11), INDEX(Data!$C:$C,80+$B11))</f>
        <v>1.9</v>
      </c>
      <c r="F11" s="54" t="n">
        <f aca="false" t="array" ref="F11:F11">IF($B11&lt;=10, INDEX(Data!$D:$D,40+$B11), INDEX(Data!$D:$D,80+$B11))</f>
        <v>0.4</v>
      </c>
      <c r="G11" s="54" t="n">
        <f aca="false" t="array" ref="G11:G11">IF(INDEX(Data!$E:$E,IF($B11&lt;=10,40+$B11,80+$B11))="Iris-setosa",0,1)</f>
        <v>0</v>
      </c>
      <c r="H11" s="1" t="n">
        <f aca="false">IF(G11=P11, 1, 0)</f>
        <v>1</v>
      </c>
      <c r="I11" s="34" t="n">
        <f aca="false">I10-$K$4*T10</f>
        <v>0.296601316237671</v>
      </c>
      <c r="J11" s="34" t="n">
        <f aca="false">J10-$K$4*U10</f>
        <v>-0.412679859869593</v>
      </c>
      <c r="K11" s="34" t="n">
        <f aca="false">K10-$K$4*V10</f>
        <v>-0.181204230421968</v>
      </c>
      <c r="L11" s="34" t="n">
        <f aca="false">L10-$K$4*W10</f>
        <v>0.411641134398447</v>
      </c>
      <c r="M11" s="34" t="n">
        <f aca="false">M10-$K$4*X10</f>
        <v>0.524315696299326</v>
      </c>
      <c r="N11" s="31" t="n">
        <f aca="false">I11+J11*C11+K11*D11+L11*E11+F11*M11</f>
        <v>-1.50479761082395</v>
      </c>
      <c r="O11" s="31" t="n">
        <f aca="false">1/(1+EXP(-N11))</f>
        <v>0.181711067089298</v>
      </c>
      <c r="P11" s="32" t="n">
        <f aca="false">IF(O11&gt;0.5,1,0)</f>
        <v>0</v>
      </c>
      <c r="Q11" s="32" t="n">
        <f aca="false">O11-G11</f>
        <v>0.181711067089298</v>
      </c>
      <c r="R11" s="33" t="n">
        <f aca="false">Q11^2</f>
        <v>0.0330189119027312</v>
      </c>
      <c r="T11" s="33" t="n">
        <f aca="false">2*(O11-G11)*(1-O11)*O11</f>
        <v>0.0540380203735168</v>
      </c>
      <c r="U11" s="33" t="n">
        <f aca="false">2*(O11-G11)*(1-O11)*O11*C11</f>
        <v>0.275593903904936</v>
      </c>
      <c r="V11" s="33" t="n">
        <f aca="false">2*(O11-G11)*(1-O11)*O11*D11</f>
        <v>0.205344477419364</v>
      </c>
      <c r="W11" s="33" t="n">
        <f aca="false">2*(O11-G11)*(1-O11)*O11*E11</f>
        <v>0.102672238709682</v>
      </c>
      <c r="X11" s="33" t="n">
        <f aca="false">2*(O11-G11)*(1-O11)*O11*F11</f>
        <v>0.0216152081494067</v>
      </c>
    </row>
    <row r="12" customFormat="false" ht="14.25" hidden="false" customHeight="true" outlineLevel="0" collapsed="false">
      <c r="A12" s="27"/>
      <c r="B12" s="34" t="n">
        <v>6</v>
      </c>
      <c r="C12" s="2" t="n">
        <f aca="false" t="array" ref="C12:C12">IF($B12&lt;=10, INDEX(Data!$A:$A,40+$B12), INDEX(Data!$A:$A,80+$B12))</f>
        <v>4.8</v>
      </c>
      <c r="D12" s="54" t="n">
        <f aca="false" t="array" ref="D12:D12">IF($B12&lt;=10, INDEX(Data!$B:$B,40+$B12), INDEX(Data!$B:$B,80+$B12))</f>
        <v>3</v>
      </c>
      <c r="E12" s="54" t="n">
        <f aca="false" t="array" ref="E12:E12">IF($B12&lt;=10, INDEX(Data!$C:$C,40+$B12), INDEX(Data!$C:$C,80+$B12))</f>
        <v>1.4</v>
      </c>
      <c r="F12" s="54" t="n">
        <f aca="false" t="array" ref="F12:F12">IF($B12&lt;=10, INDEX(Data!$D:$D,40+$B12), INDEX(Data!$D:$D,80+$B12))</f>
        <v>0.3</v>
      </c>
      <c r="G12" s="54" t="n">
        <f aca="false" t="array" ref="G12:G12">IF(INDEX(Data!$E:$E,IF($B12&lt;=10,40+$B12,80+$B12))="Iris-setosa",0,1)</f>
        <v>0</v>
      </c>
      <c r="H12" s="1" t="n">
        <f aca="false">IF(G12=P12, 1, 0)</f>
        <v>1</v>
      </c>
      <c r="I12" s="34" t="n">
        <f aca="false">I11-$K$4*T11</f>
        <v>0.291197514200319</v>
      </c>
      <c r="J12" s="34" t="n">
        <f aca="false">J11-$K$4*U11</f>
        <v>-0.440239250260087</v>
      </c>
      <c r="K12" s="34" t="n">
        <f aca="false">K11-$K$4*V11</f>
        <v>-0.201738678163905</v>
      </c>
      <c r="L12" s="34" t="n">
        <f aca="false">L11-$K$4*W11</f>
        <v>0.401373910527479</v>
      </c>
      <c r="M12" s="34" t="n">
        <f aca="false">M11-$K$4*X11</f>
        <v>0.522154175484385</v>
      </c>
      <c r="N12" s="31" t="n">
        <f aca="false">I12+J12*C12+K12*D12+L12*E12+F12*M12</f>
        <v>-1.70859719415603</v>
      </c>
      <c r="O12" s="31" t="n">
        <f aca="false">1/(1+EXP(-N12))</f>
        <v>0.153345754664723</v>
      </c>
      <c r="P12" s="32" t="n">
        <f aca="false">IF(O12&gt;0.5,1,0)</f>
        <v>0</v>
      </c>
      <c r="Q12" s="32" t="n">
        <f aca="false">O12-G12</f>
        <v>0.153345754664723</v>
      </c>
      <c r="R12" s="33" t="n">
        <f aca="false">Q12^2</f>
        <v>0.0235149204736935</v>
      </c>
      <c r="T12" s="33" t="n">
        <f aca="false">2*(O12-G12)*(1-O12)*O12</f>
        <v>0.039818014495548</v>
      </c>
      <c r="U12" s="33" t="n">
        <f aca="false">2*(O12-G12)*(1-O12)*O12*C12</f>
        <v>0.191126469578631</v>
      </c>
      <c r="V12" s="33" t="n">
        <f aca="false">2*(O12-G12)*(1-O12)*O12*D12</f>
        <v>0.119454043486644</v>
      </c>
      <c r="W12" s="33" t="n">
        <f aca="false">2*(O12-G12)*(1-O12)*O12*E12</f>
        <v>0.0557452202937672</v>
      </c>
      <c r="X12" s="33" t="n">
        <f aca="false">2*(O12-G12)*(1-O12)*O12*F12</f>
        <v>0.0119454043486644</v>
      </c>
    </row>
    <row r="13" customFormat="false" ht="14.25" hidden="false" customHeight="true" outlineLevel="0" collapsed="false">
      <c r="A13" s="27"/>
      <c r="B13" s="28" t="n">
        <v>7</v>
      </c>
      <c r="C13" s="2" t="n">
        <f aca="false" t="array" ref="C13:C13">IF($B13&lt;=10, INDEX(Data!$A:$A,40+$B13), INDEX(Data!$A:$A,80+$B13))</f>
        <v>5.1</v>
      </c>
      <c r="D13" s="54" t="n">
        <f aca="false" t="array" ref="D13:D13">IF($B13&lt;=10, INDEX(Data!$B:$B,40+$B13), INDEX(Data!$B:$B,80+$B13))</f>
        <v>3.8</v>
      </c>
      <c r="E13" s="54" t="n">
        <f aca="false" t="array" ref="E13:E13">IF($B13&lt;=10, INDEX(Data!$C:$C,40+$B13), INDEX(Data!$C:$C,80+$B13))</f>
        <v>1.6</v>
      </c>
      <c r="F13" s="54" t="n">
        <f aca="false" t="array" ref="F13:F13">IF($B13&lt;=10, INDEX(Data!$D:$D,40+$B13), INDEX(Data!$D:$D,80+$B13))</f>
        <v>0.2</v>
      </c>
      <c r="G13" s="54" t="n">
        <f aca="false" t="array" ref="G13:G13">IF(INDEX(Data!$E:$E,IF($B13&lt;=10,40+$B13,80+$B13))="Iris-setosa",0,1)</f>
        <v>0</v>
      </c>
      <c r="H13" s="1" t="n">
        <f aca="false">IF(G13=P13, 1, 0)</f>
        <v>1</v>
      </c>
      <c r="I13" s="34" t="n">
        <f aca="false">I12-$K$4*T12</f>
        <v>0.287215712750764</v>
      </c>
      <c r="J13" s="34" t="n">
        <f aca="false">J12-$K$4*U12</f>
        <v>-0.45935189721795</v>
      </c>
      <c r="K13" s="34" t="n">
        <f aca="false">K12-$K$4*V12</f>
        <v>-0.213684082512569</v>
      </c>
      <c r="L13" s="34" t="n">
        <f aca="false">L12-$K$4*W12</f>
        <v>0.395799388498103</v>
      </c>
      <c r="M13" s="34" t="n">
        <f aca="false">M12-$K$4*X12</f>
        <v>0.520959635049519</v>
      </c>
      <c r="N13" s="31" t="n">
        <f aca="false">I13+J13*C13+K13*D13+L13*E13+F13*M13</f>
        <v>-2.13000752800168</v>
      </c>
      <c r="O13" s="31" t="n">
        <f aca="false">1/(1+EXP(-N13))</f>
        <v>0.106214277018747</v>
      </c>
      <c r="P13" s="32" t="n">
        <f aca="false">IF(O13&gt;0.5,1,0)</f>
        <v>0</v>
      </c>
      <c r="Q13" s="32" t="n">
        <f aca="false">O13-G13</f>
        <v>0.106214277018747</v>
      </c>
      <c r="R13" s="33" t="n">
        <f aca="false">Q13^2</f>
        <v>0.0112814726426151</v>
      </c>
      <c r="T13" s="33" t="n">
        <f aca="false">2*(O13-G13)*(1-O13)*O13</f>
        <v>0.0201664383643458</v>
      </c>
      <c r="U13" s="33" t="n">
        <f aca="false">2*(O13-G13)*(1-O13)*O13*C13</f>
        <v>0.102848835658164</v>
      </c>
      <c r="V13" s="33" t="n">
        <f aca="false">2*(O13-G13)*(1-O13)*O13*D13</f>
        <v>0.0766324657845142</v>
      </c>
      <c r="W13" s="33" t="n">
        <f aca="false">2*(O13-G13)*(1-O13)*O13*E13</f>
        <v>0.0322663013829534</v>
      </c>
      <c r="X13" s="33" t="n">
        <f aca="false">2*(O13-G13)*(1-O13)*O13*F13</f>
        <v>0.00403328767286917</v>
      </c>
    </row>
    <row r="14" customFormat="false" ht="14.25" hidden="false" customHeight="true" outlineLevel="0" collapsed="false">
      <c r="A14" s="27"/>
      <c r="B14" s="34" t="n">
        <v>8</v>
      </c>
      <c r="C14" s="2" t="n">
        <f aca="false" t="array" ref="C14:C14">IF($B14&lt;=10, INDEX(Data!$A:$A,40+$B14), INDEX(Data!$A:$A,80+$B14))</f>
        <v>4.6</v>
      </c>
      <c r="D14" s="54" t="n">
        <f aca="false" t="array" ref="D14:D14">IF($B14&lt;=10, INDEX(Data!$B:$B,40+$B14), INDEX(Data!$B:$B,80+$B14))</f>
        <v>3.2</v>
      </c>
      <c r="E14" s="54" t="n">
        <f aca="false" t="array" ref="E14:E14">IF($B14&lt;=10, INDEX(Data!$C:$C,40+$B14), INDEX(Data!$C:$C,80+$B14))</f>
        <v>1.4</v>
      </c>
      <c r="F14" s="54" t="n">
        <f aca="false" t="array" ref="F14:F14">IF($B14&lt;=10, INDEX(Data!$D:$D,40+$B14), INDEX(Data!$D:$D,80+$B14))</f>
        <v>0.2</v>
      </c>
      <c r="G14" s="54" t="n">
        <f aca="false" t="array" ref="G14:G14">IF(INDEX(Data!$E:$E,IF($B14&lt;=10,40+$B14,80+$B14))="Iris-setosa",0,1)</f>
        <v>0</v>
      </c>
      <c r="H14" s="1" t="n">
        <f aca="false">IF(G14=P14, 1, 0)</f>
        <v>1</v>
      </c>
      <c r="I14" s="34" t="n">
        <f aca="false">I13-$K$4*T13</f>
        <v>0.28519906891433</v>
      </c>
      <c r="J14" s="34" t="n">
        <f aca="false">J13-$K$4*U13</f>
        <v>-0.469636780783766</v>
      </c>
      <c r="K14" s="34" t="n">
        <f aca="false">K13-$K$4*V13</f>
        <v>-0.221347329091021</v>
      </c>
      <c r="L14" s="34" t="n">
        <f aca="false">L13-$K$4*W13</f>
        <v>0.392572758359807</v>
      </c>
      <c r="M14" s="34" t="n">
        <f aca="false">M13-$K$4*X13</f>
        <v>0.520556306282232</v>
      </c>
      <c r="N14" s="31" t="n">
        <f aca="false">I14+J14*C14+K14*D14+L14*E14+F14*M14</f>
        <v>-1.92972845282208</v>
      </c>
      <c r="O14" s="31" t="n">
        <f aca="false">1/(1+EXP(-N14))</f>
        <v>0.126780639332841</v>
      </c>
      <c r="P14" s="32" t="n">
        <f aca="false">IF(O14&gt;0.5,1,0)</f>
        <v>0</v>
      </c>
      <c r="Q14" s="32" t="n">
        <f aca="false">O14-G14</f>
        <v>0.126780639332841</v>
      </c>
      <c r="R14" s="33" t="n">
        <f aca="false">Q14^2</f>
        <v>0.0160733305096439</v>
      </c>
      <c r="T14" s="33" t="n">
        <f aca="false">2*(O14-G14)*(1-O14)*O14</f>
        <v>0.0280710867828464</v>
      </c>
      <c r="U14" s="33" t="n">
        <f aca="false">2*(O14-G14)*(1-O14)*O14*C14</f>
        <v>0.129126999201093</v>
      </c>
      <c r="V14" s="33" t="n">
        <f aca="false">2*(O14-G14)*(1-O14)*O14*D14</f>
        <v>0.0898274777051084</v>
      </c>
      <c r="W14" s="33" t="n">
        <f aca="false">2*(O14-G14)*(1-O14)*O14*E14</f>
        <v>0.0392995214959849</v>
      </c>
      <c r="X14" s="33" t="n">
        <f aca="false">2*(O14-G14)*(1-O14)*O14*F14</f>
        <v>0.00561421735656927</v>
      </c>
    </row>
    <row r="15" customFormat="false" ht="14.25" hidden="false" customHeight="true" outlineLevel="0" collapsed="false">
      <c r="A15" s="27"/>
      <c r="B15" s="28" t="n">
        <v>9</v>
      </c>
      <c r="C15" s="2" t="n">
        <f aca="false" t="array" ref="C15:C15">IF($B15&lt;=10, INDEX(Data!$A:$A,40+$B15), INDEX(Data!$A:$A,80+$B15))</f>
        <v>5.3</v>
      </c>
      <c r="D15" s="54" t="n">
        <f aca="false" t="array" ref="D15:D15">IF($B15&lt;=10, INDEX(Data!$B:$B,40+$B15), INDEX(Data!$B:$B,80+$B15))</f>
        <v>3.7</v>
      </c>
      <c r="E15" s="54" t="n">
        <f aca="false" t="array" ref="E15:E15">IF($B15&lt;=10, INDEX(Data!$C:$C,40+$B15), INDEX(Data!$C:$C,80+$B15))</f>
        <v>1.5</v>
      </c>
      <c r="F15" s="54" t="n">
        <f aca="false" t="array" ref="F15:F15">IF($B15&lt;=10, INDEX(Data!$D:$D,40+$B15), INDEX(Data!$D:$D,80+$B15))</f>
        <v>0.2</v>
      </c>
      <c r="G15" s="54" t="n">
        <f aca="false" t="array" ref="G15:G15">IF(INDEX(Data!$E:$E,IF($B15&lt;=10,40+$B15,80+$B15))="Iris-setosa",0,1)</f>
        <v>0</v>
      </c>
      <c r="H15" s="1" t="n">
        <f aca="false">IF(G15=P15, 1, 0)</f>
        <v>1</v>
      </c>
      <c r="I15" s="34" t="n">
        <f aca="false">I14-$K$4*T14</f>
        <v>0.282391960236045</v>
      </c>
      <c r="J15" s="34" t="n">
        <f aca="false">J14-$K$4*U14</f>
        <v>-0.482549480703876</v>
      </c>
      <c r="K15" s="34" t="n">
        <f aca="false">K14-$K$4*V14</f>
        <v>-0.230330076861531</v>
      </c>
      <c r="L15" s="34" t="n">
        <f aca="false">L14-$K$4*W14</f>
        <v>0.388642806210209</v>
      </c>
      <c r="M15" s="34" t="n">
        <f aca="false">M14-$K$4*X14</f>
        <v>0.519994884546575</v>
      </c>
      <c r="N15" s="31" t="n">
        <f aca="false">I15+J15*C15+K15*D15+L15*E15+F15*M15</f>
        <v>-2.44037838565753</v>
      </c>
      <c r="O15" s="31" t="n">
        <f aca="false">1/(1+EXP(-N15))</f>
        <v>0.0801450124730255</v>
      </c>
      <c r="P15" s="32" t="n">
        <f aca="false">IF(O15&gt;0.5,1,0)</f>
        <v>0</v>
      </c>
      <c r="Q15" s="32" t="n">
        <f aca="false">O15-G15</f>
        <v>0.0801450124730255</v>
      </c>
      <c r="R15" s="33" t="n">
        <f aca="false">Q15^2</f>
        <v>0.00642322302430142</v>
      </c>
      <c r="T15" s="33" t="n">
        <f aca="false">2*(O15-G15)*(1-O15)*O15</f>
        <v>0.0118168674698035</v>
      </c>
      <c r="U15" s="33" t="n">
        <f aca="false">2*(O15-G15)*(1-O15)*O15*C15</f>
        <v>0.0626293975899586</v>
      </c>
      <c r="V15" s="33" t="n">
        <f aca="false">2*(O15-G15)*(1-O15)*O15*D15</f>
        <v>0.043722409638273</v>
      </c>
      <c r="W15" s="33" t="n">
        <f aca="false">2*(O15-G15)*(1-O15)*O15*E15</f>
        <v>0.0177253012047053</v>
      </c>
      <c r="X15" s="33" t="n">
        <f aca="false">2*(O15-G15)*(1-O15)*O15*F15</f>
        <v>0.0023633734939607</v>
      </c>
    </row>
    <row r="16" customFormat="false" ht="14.25" hidden="false" customHeight="true" outlineLevel="0" collapsed="false">
      <c r="A16" s="27"/>
      <c r="B16" s="34" t="n">
        <v>10</v>
      </c>
      <c r="C16" s="2" t="n">
        <f aca="false" t="array" ref="C16:C16">IF($B16&lt;=10, INDEX(Data!$A:$A,40+$B16), INDEX(Data!$A:$A,80+$B16))</f>
        <v>5</v>
      </c>
      <c r="D16" s="54" t="n">
        <f aca="false" t="array" ref="D16:D16">IF($B16&lt;=10, INDEX(Data!$B:$B,40+$B16), INDEX(Data!$B:$B,80+$B16))</f>
        <v>3.3</v>
      </c>
      <c r="E16" s="54" t="n">
        <f aca="false" t="array" ref="E16:E16">IF($B16&lt;=10, INDEX(Data!$C:$C,40+$B16), INDEX(Data!$C:$C,80+$B16))</f>
        <v>1.4</v>
      </c>
      <c r="F16" s="54" t="n">
        <f aca="false" t="array" ref="F16:F16">IF($B16&lt;=10, INDEX(Data!$D:$D,40+$B16), INDEX(Data!$D:$D,80+$B16))</f>
        <v>0.2</v>
      </c>
      <c r="G16" s="54" t="n">
        <f aca="false" t="array" ref="G16:G16">IF(INDEX(Data!$E:$E,IF($B16&lt;=10,40+$B16,80+$B16))="Iris-setosa",0,1)</f>
        <v>0</v>
      </c>
      <c r="H16" s="1" t="n">
        <f aca="false">IF(G16=P16, 1, 0)</f>
        <v>1</v>
      </c>
      <c r="I16" s="34" t="n">
        <f aca="false">I15-$K$4*T15</f>
        <v>0.281210273489065</v>
      </c>
      <c r="J16" s="34" t="n">
        <f aca="false">J15-$K$4*U15</f>
        <v>-0.488812420462871</v>
      </c>
      <c r="K16" s="34" t="n">
        <f aca="false">K15-$K$4*V15</f>
        <v>-0.234702317825359</v>
      </c>
      <c r="L16" s="34" t="n">
        <f aca="false">L15-$K$4*W15</f>
        <v>0.386870276089738</v>
      </c>
      <c r="M16" s="34" t="n">
        <f aca="false">M15-$K$4*X15</f>
        <v>0.519758547197179</v>
      </c>
      <c r="N16" s="31" t="n">
        <f aca="false">I16+J16*C16+K16*D16+L16*E16+F16*M16</f>
        <v>-2.29179938168391</v>
      </c>
      <c r="O16" s="31" t="n">
        <f aca="false">1/(1+EXP(-N16))</f>
        <v>0.0918044137953942</v>
      </c>
      <c r="P16" s="32" t="n">
        <f aca="false">IF(O16&gt;0.5,1,0)</f>
        <v>0</v>
      </c>
      <c r="Q16" s="32" t="n">
        <f aca="false">O16-G16</f>
        <v>0.0918044137953942</v>
      </c>
      <c r="R16" s="33" t="n">
        <f aca="false">Q16^2</f>
        <v>0.00842805039231597</v>
      </c>
      <c r="T16" s="33" t="n">
        <f aca="false">2*(O16-G16)*(1-O16)*O16</f>
        <v>0.0153086363332227</v>
      </c>
      <c r="U16" s="33" t="n">
        <f aca="false">2*(O16-G16)*(1-O16)*O16*C16</f>
        <v>0.0765431816661136</v>
      </c>
      <c r="V16" s="33" t="n">
        <f aca="false">2*(O16-G16)*(1-O16)*O16*D16</f>
        <v>0.050518499899635</v>
      </c>
      <c r="W16" s="33" t="n">
        <f aca="false">2*(O16-G16)*(1-O16)*O16*E16</f>
        <v>0.0214320908665118</v>
      </c>
      <c r="X16" s="33" t="n">
        <f aca="false">2*(O16-G16)*(1-O16)*O16*F16</f>
        <v>0.00306172726664454</v>
      </c>
    </row>
    <row r="17" customFormat="false" ht="14.25" hidden="false" customHeight="true" outlineLevel="0" collapsed="false">
      <c r="A17" s="27"/>
      <c r="B17" s="28" t="n">
        <v>11</v>
      </c>
      <c r="C17" s="2" t="n">
        <f aca="false" t="array" ref="C17:C17">IF($B17&lt;=10, INDEX(Data!$A:$A,40+$B17), INDEX(Data!$A:$A,80+$B17))</f>
        <v>5.5</v>
      </c>
      <c r="D17" s="54" t="n">
        <f aca="false" t="array" ref="D17:D17">IF($B17&lt;=10, INDEX(Data!$B:$B,40+$B17), INDEX(Data!$B:$B,80+$B17))</f>
        <v>2.6</v>
      </c>
      <c r="E17" s="54" t="n">
        <f aca="false" t="array" ref="E17:E17">IF($B17&lt;=10, INDEX(Data!$C:$C,40+$B17), INDEX(Data!$C:$C,80+$B17))</f>
        <v>4.4</v>
      </c>
      <c r="F17" s="54" t="n">
        <f aca="false" t="array" ref="F17:F17">IF($B17&lt;=10, INDEX(Data!$D:$D,40+$B17), INDEX(Data!$D:$D,80+$B17))</f>
        <v>1.2</v>
      </c>
      <c r="G17" s="54" t="n">
        <f aca="false" t="array" ref="G17:G17">IF(INDEX(Data!$E:$E,IF($B17&lt;=10,40+$B17,80+$B17))="Iris-setosa",0,1)</f>
        <v>1</v>
      </c>
      <c r="H17" s="1" t="n">
        <f aca="false">IF(G17=P17, 1, 0)</f>
        <v>0</v>
      </c>
      <c r="I17" s="34" t="n">
        <f aca="false">I16-$K$4*T16</f>
        <v>0.279679409855742</v>
      </c>
      <c r="J17" s="34" t="n">
        <f aca="false">J16-$K$4*U16</f>
        <v>-0.496466738629483</v>
      </c>
      <c r="K17" s="34" t="n">
        <f aca="false">K16-$K$4*V16</f>
        <v>-0.239754167815322</v>
      </c>
      <c r="L17" s="34" t="n">
        <f aca="false">L16-$K$4*W16</f>
        <v>0.384727067003087</v>
      </c>
      <c r="M17" s="34" t="n">
        <f aca="false">M16-$K$4*X16</f>
        <v>0.519452374470515</v>
      </c>
      <c r="N17" s="31" t="n">
        <f aca="false">I17+J17*C17+K17*D17+L17*E17+F17*M17</f>
        <v>-0.758106544748051</v>
      </c>
      <c r="O17" s="31" t="n">
        <f aca="false">1/(1+EXP(-N17))</f>
        <v>0.319057496927167</v>
      </c>
      <c r="P17" s="32" t="n">
        <f aca="false">IF(O17&gt;0.5,1,0)</f>
        <v>0</v>
      </c>
      <c r="Q17" s="32" t="n">
        <f aca="false">O17-G17</f>
        <v>-0.680942503072833</v>
      </c>
      <c r="R17" s="33" t="n">
        <f aca="false">Q17^2</f>
        <v>0.463682692491095</v>
      </c>
      <c r="T17" s="33" t="n">
        <f aca="false">2*(O17-G17)*(1-O17)*O17</f>
        <v>-0.295882878469316</v>
      </c>
      <c r="U17" s="33" t="n">
        <f aca="false">2*(O17-G17)*(1-O17)*O17*C17</f>
        <v>-1.62735583158124</v>
      </c>
      <c r="V17" s="33" t="n">
        <f aca="false">2*(O17-G17)*(1-O17)*O17*D17</f>
        <v>-0.769295484020223</v>
      </c>
      <c r="W17" s="33" t="n">
        <f aca="false">2*(O17-G17)*(1-O17)*O17*E17</f>
        <v>-1.30188466526499</v>
      </c>
      <c r="X17" s="33" t="n">
        <f aca="false">2*(O17-G17)*(1-O17)*O17*F17</f>
        <v>-0.35505945416318</v>
      </c>
    </row>
    <row r="18" customFormat="false" ht="14.25" hidden="false" customHeight="true" outlineLevel="0" collapsed="false">
      <c r="A18" s="27"/>
      <c r="B18" s="34" t="n">
        <v>12</v>
      </c>
      <c r="C18" s="2" t="n">
        <f aca="false" t="array" ref="C18:C18">IF($B18&lt;=10, INDEX(Data!$A:$A,40+$B18), INDEX(Data!$A:$A,80+$B18))</f>
        <v>6.1</v>
      </c>
      <c r="D18" s="54" t="n">
        <f aca="false" t="array" ref="D18:D18">IF($B18&lt;=10, INDEX(Data!$B:$B,40+$B18), INDEX(Data!$B:$B,80+$B18))</f>
        <v>3</v>
      </c>
      <c r="E18" s="54" t="n">
        <f aca="false" t="array" ref="E18:E18">IF($B18&lt;=10, INDEX(Data!$C:$C,40+$B18), INDEX(Data!$C:$C,80+$B18))</f>
        <v>4.6</v>
      </c>
      <c r="F18" s="54" t="n">
        <f aca="false" t="array" ref="F18:F18">IF($B18&lt;=10, INDEX(Data!$D:$D,40+$B18), INDEX(Data!$D:$D,80+$B18))</f>
        <v>1.4</v>
      </c>
      <c r="G18" s="54" t="n">
        <f aca="false" t="array" ref="G18:G18">IF(INDEX(Data!$E:$E,IF($B18&lt;=10,40+$B18,80+$B18))="Iris-setosa",0,1)</f>
        <v>1</v>
      </c>
      <c r="H18" s="1" t="n">
        <f aca="false">IF(G18=P18, 1, 0)</f>
        <v>1</v>
      </c>
      <c r="I18" s="34" t="n">
        <f aca="false">I17-$K$4*T17</f>
        <v>0.309267697702674</v>
      </c>
      <c r="J18" s="34" t="n">
        <f aca="false">J17-$K$4*U17</f>
        <v>-0.333731155471359</v>
      </c>
      <c r="K18" s="34" t="n">
        <f aca="false">K17-$K$4*V17</f>
        <v>-0.1628246194133</v>
      </c>
      <c r="L18" s="34" t="n">
        <f aca="false">L17-$K$4*W17</f>
        <v>0.514915533529586</v>
      </c>
      <c r="M18" s="34" t="n">
        <f aca="false">M17-$K$4*X17</f>
        <v>0.554958319886833</v>
      </c>
      <c r="N18" s="31" t="n">
        <f aca="false">I18+J18*C18+K18*D18+L18*E18+F18*M18</f>
        <v>0.930586893165147</v>
      </c>
      <c r="O18" s="31" t="n">
        <f aca="false">1/(1+EXP(-N18))</f>
        <v>0.717194338221853</v>
      </c>
      <c r="P18" s="32" t="n">
        <f aca="false">IF(O18&gt;0.5,1,0)</f>
        <v>1</v>
      </c>
      <c r="Q18" s="32" t="n">
        <f aca="false">O18-G18</f>
        <v>-0.282805661778147</v>
      </c>
      <c r="R18" s="33" t="n">
        <f aca="false">Q18^2</f>
        <v>0.0799790423337756</v>
      </c>
      <c r="T18" s="33" t="n">
        <f aca="false">2*(O18-G18)*(1-O18)*O18</f>
        <v>-0.11472103267638</v>
      </c>
      <c r="U18" s="33" t="n">
        <f aca="false">2*(O18-G18)*(1-O18)*O18*C18</f>
        <v>-0.699798299325915</v>
      </c>
      <c r="V18" s="33" t="n">
        <f aca="false">2*(O18-G18)*(1-O18)*O18*D18</f>
        <v>-0.344163098029138</v>
      </c>
      <c r="W18" s="33" t="n">
        <f aca="false">2*(O18-G18)*(1-O18)*O18*E18</f>
        <v>-0.527716750311346</v>
      </c>
      <c r="X18" s="33" t="n">
        <f aca="false">2*(O18-G18)*(1-O18)*O18*F18</f>
        <v>-0.160609445746931</v>
      </c>
    </row>
    <row r="19" customFormat="false" ht="14.25" hidden="false" customHeight="true" outlineLevel="0" collapsed="false">
      <c r="A19" s="27"/>
      <c r="B19" s="28" t="n">
        <v>13</v>
      </c>
      <c r="C19" s="2" t="n">
        <f aca="false" t="array" ref="C19:C19">IF($B19&lt;=10, INDEX(Data!$A:$A,40+$B19), INDEX(Data!$A:$A,80+$B19))</f>
        <v>5.8</v>
      </c>
      <c r="D19" s="54" t="n">
        <f aca="false" t="array" ref="D19:D19">IF($B19&lt;=10, INDEX(Data!$B:$B,40+$B19), INDEX(Data!$B:$B,80+$B19))</f>
        <v>2.6</v>
      </c>
      <c r="E19" s="54" t="n">
        <f aca="false" t="array" ref="E19:E19">IF($B19&lt;=10, INDEX(Data!$C:$C,40+$B19), INDEX(Data!$C:$C,80+$B19))</f>
        <v>4</v>
      </c>
      <c r="F19" s="54" t="n">
        <f aca="false" t="array" ref="F19:F19">IF($B19&lt;=10, INDEX(Data!$D:$D,40+$B19), INDEX(Data!$D:$D,80+$B19))</f>
        <v>1.2</v>
      </c>
      <c r="G19" s="54" t="n">
        <f aca="false" t="array" ref="G19:G19">IF(INDEX(Data!$E:$E,IF($B19&lt;=10,40+$B19,80+$B19))="Iris-setosa",0,1)</f>
        <v>1</v>
      </c>
      <c r="H19" s="1" t="n">
        <f aca="false">IF(G19=P19, 1, 0)</f>
        <v>1</v>
      </c>
      <c r="I19" s="34" t="n">
        <f aca="false">I18-$K$4*T18</f>
        <v>0.320739800970312</v>
      </c>
      <c r="J19" s="34" t="n">
        <f aca="false">J18-$K$4*U18</f>
        <v>-0.263751325538767</v>
      </c>
      <c r="K19" s="34" t="n">
        <f aca="false">K18-$K$4*V18</f>
        <v>-0.128408309610386</v>
      </c>
      <c r="L19" s="34" t="n">
        <f aca="false">L18-$K$4*W18</f>
        <v>0.567687208560721</v>
      </c>
      <c r="M19" s="34" t="n">
        <f aca="false">M18-$K$4*X18</f>
        <v>0.571019264461526</v>
      </c>
      <c r="N19" s="31" t="n">
        <f aca="false">I19+J19*C19+K19*D19+L19*E19+F19*M19</f>
        <v>1.41309245945517</v>
      </c>
      <c r="O19" s="31" t="n">
        <f aca="false">1/(1+EXP(-N19))</f>
        <v>0.804253247518205</v>
      </c>
      <c r="P19" s="32" t="n">
        <f aca="false">IF(O19&gt;0.5,1,0)</f>
        <v>1</v>
      </c>
      <c r="Q19" s="32" t="n">
        <f aca="false">O19-G19</f>
        <v>-0.195746752481795</v>
      </c>
      <c r="R19" s="33" t="n">
        <f aca="false">Q19^2</f>
        <v>0.0383167911071691</v>
      </c>
      <c r="T19" s="33" t="n">
        <f aca="false">2*(O19-G19)*(1-O19)*O19</f>
        <v>-0.0616328073648349</v>
      </c>
      <c r="U19" s="33" t="n">
        <f aca="false">2*(O19-G19)*(1-O19)*O19*C19</f>
        <v>-0.357470282716043</v>
      </c>
      <c r="V19" s="33" t="n">
        <f aca="false">2*(O19-G19)*(1-O19)*O19*D19</f>
        <v>-0.160245299148571</v>
      </c>
      <c r="W19" s="33" t="n">
        <f aca="false">2*(O19-G19)*(1-O19)*O19*E19</f>
        <v>-0.24653122945934</v>
      </c>
      <c r="X19" s="33" t="n">
        <f aca="false">2*(O19-G19)*(1-O19)*O19*F19</f>
        <v>-0.0739593688378019</v>
      </c>
    </row>
    <row r="20" customFormat="false" ht="14.25" hidden="false" customHeight="true" outlineLevel="0" collapsed="false">
      <c r="A20" s="27"/>
      <c r="B20" s="34" t="n">
        <v>14</v>
      </c>
      <c r="C20" s="2" t="n">
        <f aca="false" t="array" ref="C20:C20">IF($B20&lt;=10, INDEX(Data!$A:$A,40+$B20), INDEX(Data!$A:$A,80+$B20))</f>
        <v>5</v>
      </c>
      <c r="D20" s="54" t="n">
        <f aca="false" t="array" ref="D20:D20">IF($B20&lt;=10, INDEX(Data!$B:$B,40+$B20), INDEX(Data!$B:$B,80+$B20))</f>
        <v>2.3</v>
      </c>
      <c r="E20" s="54" t="n">
        <f aca="false" t="array" ref="E20:E20">IF($B20&lt;=10, INDEX(Data!$C:$C,40+$B20), INDEX(Data!$C:$C,80+$B20))</f>
        <v>3.3</v>
      </c>
      <c r="F20" s="54" t="n">
        <f aca="false" t="array" ref="F20:F20">IF($B20&lt;=10, INDEX(Data!$D:$D,40+$B20), INDEX(Data!$D:$D,80+$B20))</f>
        <v>1</v>
      </c>
      <c r="G20" s="54" t="n">
        <f aca="false" t="array" ref="G20:G20">IF(INDEX(Data!$E:$E,IF($B20&lt;=10,40+$B20,80+$B20))="Iris-setosa",0,1)</f>
        <v>1</v>
      </c>
      <c r="H20" s="1" t="n">
        <f aca="false">IF(G20=P20, 1, 0)</f>
        <v>1</v>
      </c>
      <c r="I20" s="34" t="n">
        <f aca="false">I19-$K$4*T19</f>
        <v>0.326903081706796</v>
      </c>
      <c r="J20" s="34" t="n">
        <f aca="false">J19-$K$4*U19</f>
        <v>-0.228004297267163</v>
      </c>
      <c r="K20" s="34" t="n">
        <f aca="false">K19-$K$4*V19</f>
        <v>-0.112383779695529</v>
      </c>
      <c r="L20" s="34" t="n">
        <f aca="false">L19-$K$4*W19</f>
        <v>0.592340331506655</v>
      </c>
      <c r="M20" s="34" t="n">
        <f aca="false">M19-$K$4*X19</f>
        <v>0.578415201345306</v>
      </c>
      <c r="N20" s="31" t="n">
        <f aca="false">I20+J20*C20+K20*D20+L20*E20+F20*M20</f>
        <v>1.46153719738853</v>
      </c>
      <c r="O20" s="31" t="n">
        <f aca="false">1/(1+EXP(-N20))</f>
        <v>0.811767672534885</v>
      </c>
      <c r="P20" s="32" t="n">
        <f aca="false">IF(O20&gt;0.5,1,0)</f>
        <v>1</v>
      </c>
      <c r="Q20" s="32" t="n">
        <f aca="false">O20-G20</f>
        <v>-0.188232327465115</v>
      </c>
      <c r="R20" s="33" t="n">
        <f aca="false">Q20^2</f>
        <v>0.0354314091029344</v>
      </c>
      <c r="T20" s="33" t="n">
        <f aca="false">2*(O20-G20)*(1-O20)*O20</f>
        <v>-0.0575241450042408</v>
      </c>
      <c r="U20" s="33" t="n">
        <f aca="false">2*(O20-G20)*(1-O20)*O20*C20</f>
        <v>-0.287620725021204</v>
      </c>
      <c r="V20" s="33" t="n">
        <f aca="false">2*(O20-G20)*(1-O20)*O20*D20</f>
        <v>-0.132305533509754</v>
      </c>
      <c r="W20" s="33" t="n">
        <f aca="false">2*(O20-G20)*(1-O20)*O20*E20</f>
        <v>-0.189829678513995</v>
      </c>
      <c r="X20" s="33" t="n">
        <f aca="false">2*(O20-G20)*(1-O20)*O20*F20</f>
        <v>-0.0575241450042408</v>
      </c>
    </row>
    <row r="21" customFormat="false" ht="14.25" hidden="false" customHeight="true" outlineLevel="0" collapsed="false">
      <c r="A21" s="27"/>
      <c r="B21" s="28" t="n">
        <v>15</v>
      </c>
      <c r="C21" s="2" t="n">
        <f aca="false" t="array" ref="C21:C21">IF($B21&lt;=10, INDEX(Data!$A:$A,40+$B21), INDEX(Data!$A:$A,80+$B21))</f>
        <v>5.6</v>
      </c>
      <c r="D21" s="54" t="n">
        <f aca="false" t="array" ref="D21:D21">IF($B21&lt;=10, INDEX(Data!$B:$B,40+$B21), INDEX(Data!$B:$B,80+$B21))</f>
        <v>2.7</v>
      </c>
      <c r="E21" s="54" t="n">
        <f aca="false" t="array" ref="E21:E21">IF($B21&lt;=10, INDEX(Data!$C:$C,40+$B21), INDEX(Data!$C:$C,80+$B21))</f>
        <v>4.2</v>
      </c>
      <c r="F21" s="54" t="n">
        <f aca="false" t="array" ref="F21:F21">IF($B21&lt;=10, INDEX(Data!$D:$D,40+$B21), INDEX(Data!$D:$D,80+$B21))</f>
        <v>1.3</v>
      </c>
      <c r="G21" s="54" t="n">
        <f aca="false" t="array" ref="G21:G21">IF(INDEX(Data!$E:$E,IF($B21&lt;=10,40+$B21,80+$B21))="Iris-setosa",0,1)</f>
        <v>1</v>
      </c>
      <c r="H21" s="1" t="n">
        <f aca="false">IF(G21=P21, 1, 0)</f>
        <v>1</v>
      </c>
      <c r="I21" s="34" t="n">
        <f aca="false">I20-$K$4*T20</f>
        <v>0.33265549620722</v>
      </c>
      <c r="J21" s="34" t="n">
        <f aca="false">J20-$K$4*U20</f>
        <v>-0.199242224765043</v>
      </c>
      <c r="K21" s="34" t="n">
        <f aca="false">K20-$K$4*V20</f>
        <v>-0.0991532263445537</v>
      </c>
      <c r="L21" s="34" t="n">
        <f aca="false">L20-$K$4*W20</f>
        <v>0.611323299358054</v>
      </c>
      <c r="M21" s="34" t="n">
        <f aca="false">M20-$K$4*X20</f>
        <v>0.58416761584573</v>
      </c>
      <c r="N21" s="31" t="n">
        <f aca="false">I21+J21*C21+K21*D21+L21*E21+F21*M21</f>
        <v>2.27616108429596</v>
      </c>
      <c r="O21" s="31" t="n">
        <f aca="false">1/(1+EXP(-N21))</f>
        <v>0.90688337208319</v>
      </c>
      <c r="P21" s="32" t="n">
        <f aca="false">IF(O21&gt;0.5,1,0)</f>
        <v>1</v>
      </c>
      <c r="Q21" s="32" t="n">
        <f aca="false">O21-G21</f>
        <v>-0.0931166279168103</v>
      </c>
      <c r="R21" s="33" t="n">
        <f aca="false">Q21^2</f>
        <v>0.0086707063945977</v>
      </c>
      <c r="T21" s="33" t="n">
        <f aca="false">2*(O21-G21)*(1-O21)*O21</f>
        <v>-0.0157266389069521</v>
      </c>
      <c r="U21" s="33" t="n">
        <f aca="false">2*(O21-G21)*(1-O21)*O21*C21</f>
        <v>-0.0880691778789316</v>
      </c>
      <c r="V21" s="33" t="n">
        <f aca="false">2*(O21-G21)*(1-O21)*O21*D21</f>
        <v>-0.0424619250487706</v>
      </c>
      <c r="W21" s="33" t="n">
        <f aca="false">2*(O21-G21)*(1-O21)*O21*E21</f>
        <v>-0.0660518834091987</v>
      </c>
      <c r="X21" s="33" t="n">
        <f aca="false">2*(O21-G21)*(1-O21)*O21*F21</f>
        <v>-0.0204446305790377</v>
      </c>
    </row>
    <row r="22" customFormat="false" ht="14.25" hidden="false" customHeight="true" outlineLevel="0" collapsed="false">
      <c r="A22" s="27"/>
      <c r="B22" s="34" t="n">
        <v>16</v>
      </c>
      <c r="C22" s="2" t="n">
        <f aca="false" t="array" ref="C22:C22">IF($B22&lt;=10, INDEX(Data!$A:$A,40+$B22), INDEX(Data!$A:$A,80+$B22))</f>
        <v>5.7</v>
      </c>
      <c r="D22" s="54" t="n">
        <f aca="false" t="array" ref="D22:D22">IF($B22&lt;=10, INDEX(Data!$B:$B,40+$B22), INDEX(Data!$B:$B,80+$B22))</f>
        <v>3</v>
      </c>
      <c r="E22" s="54" t="n">
        <f aca="false" t="array" ref="E22:E22">IF($B22&lt;=10, INDEX(Data!$C:$C,40+$B22), INDEX(Data!$C:$C,80+$B22))</f>
        <v>4.2</v>
      </c>
      <c r="F22" s="54" t="n">
        <f aca="false" t="array" ref="F22:F22">IF($B22&lt;=10, INDEX(Data!$D:$D,40+$B22), INDEX(Data!$D:$D,80+$B22))</f>
        <v>1.2</v>
      </c>
      <c r="G22" s="54" t="n">
        <f aca="false" t="array" ref="G22:G22">IF(INDEX(Data!$E:$E,IF($B22&lt;=10,40+$B22,80+$B22))="Iris-setosa",0,1)</f>
        <v>1</v>
      </c>
      <c r="H22" s="1" t="n">
        <f aca="false">IF(G22=P22, 1, 0)</f>
        <v>1</v>
      </c>
      <c r="I22" s="34" t="n">
        <f aca="false">I21-$K$4*T21</f>
        <v>0.334228160097915</v>
      </c>
      <c r="J22" s="34" t="n">
        <f aca="false">J21-$K$4*U21</f>
        <v>-0.19043530697715</v>
      </c>
      <c r="K22" s="34" t="n">
        <f aca="false">K21-$K$4*V21</f>
        <v>-0.0949070338396766</v>
      </c>
      <c r="L22" s="34" t="n">
        <f aca="false">L21-$K$4*W21</f>
        <v>0.617928487698974</v>
      </c>
      <c r="M22" s="34" t="n">
        <f aca="false">M21-$K$4*X21</f>
        <v>0.586212078903634</v>
      </c>
      <c r="N22" s="31" t="n">
        <f aca="false">I22+J22*C22+K22*D22+L22*E22+F22*M22</f>
        <v>2.26277995182918</v>
      </c>
      <c r="O22" s="31" t="n">
        <f aca="false">1/(1+EXP(-N22))</f>
        <v>0.905747221131368</v>
      </c>
      <c r="P22" s="32" t="n">
        <f aca="false">IF(O22&gt;0.5,1,0)</f>
        <v>1</v>
      </c>
      <c r="Q22" s="32" t="n">
        <f aca="false">O22-G22</f>
        <v>-0.0942527788686318</v>
      </c>
      <c r="R22" s="33" t="n">
        <f aca="false">Q22^2</f>
        <v>0.00888358632445921</v>
      </c>
      <c r="T22" s="33" t="n">
        <f aca="false">2*(O22-G22)*(1-O22)*O22</f>
        <v>-0.0160925672541191</v>
      </c>
      <c r="U22" s="33" t="n">
        <f aca="false">2*(O22-G22)*(1-O22)*O22*C22</f>
        <v>-0.0917276333484789</v>
      </c>
      <c r="V22" s="33" t="n">
        <f aca="false">2*(O22-G22)*(1-O22)*O22*D22</f>
        <v>-0.0482777017623573</v>
      </c>
      <c r="W22" s="33" t="n">
        <f aca="false">2*(O22-G22)*(1-O22)*O22*E22</f>
        <v>-0.0675887824673003</v>
      </c>
      <c r="X22" s="33" t="n">
        <f aca="false">2*(O22-G22)*(1-O22)*O22*F22</f>
        <v>-0.0193110807049429</v>
      </c>
    </row>
    <row r="23" customFormat="false" ht="14.25" hidden="false" customHeight="true" outlineLevel="0" collapsed="false">
      <c r="A23" s="27"/>
      <c r="B23" s="28" t="n">
        <v>17</v>
      </c>
      <c r="C23" s="2" t="n">
        <f aca="false" t="array" ref="C23:C23">IF($B23&lt;=10, INDEX(Data!$A:$A,40+$B23), INDEX(Data!$A:$A,80+$B23))</f>
        <v>5.7</v>
      </c>
      <c r="D23" s="54" t="n">
        <f aca="false" t="array" ref="D23:D23">IF($B23&lt;=10, INDEX(Data!$B:$B,40+$B23), INDEX(Data!$B:$B,80+$B23))</f>
        <v>2.9</v>
      </c>
      <c r="E23" s="54" t="n">
        <f aca="false" t="array" ref="E23:E23">IF($B23&lt;=10, INDEX(Data!$C:$C,40+$B23), INDEX(Data!$C:$C,80+$B23))</f>
        <v>4.2</v>
      </c>
      <c r="F23" s="54" t="n">
        <f aca="false" t="array" ref="F23:F23">IF($B23&lt;=10, INDEX(Data!$D:$D,40+$B23), INDEX(Data!$D:$D,80+$B23))</f>
        <v>1.3</v>
      </c>
      <c r="G23" s="54" t="n">
        <f aca="false" t="array" ref="G23:G23">IF(INDEX(Data!$E:$E,IF($B23&lt;=10,40+$B23,80+$B23))="Iris-setosa",0,1)</f>
        <v>1</v>
      </c>
      <c r="H23" s="1" t="n">
        <f aca="false">IF(G23=P23, 1, 0)</f>
        <v>1</v>
      </c>
      <c r="I23" s="34" t="n">
        <f aca="false">I22-$K$4*T22</f>
        <v>0.335837416823327</v>
      </c>
      <c r="J23" s="34" t="n">
        <f aca="false">J22-$K$4*U22</f>
        <v>-0.181262543642302</v>
      </c>
      <c r="K23" s="34" t="n">
        <f aca="false">K22-$K$4*V22</f>
        <v>-0.0900792636634409</v>
      </c>
      <c r="L23" s="34" t="n">
        <f aca="false">L22-$K$4*W22</f>
        <v>0.624687365945704</v>
      </c>
      <c r="M23" s="34" t="n">
        <f aca="false">M22-$K$4*X22</f>
        <v>0.588143186974128</v>
      </c>
      <c r="N23" s="31" t="n">
        <f aca="false">I23+J23*C23+K23*D23+L23*E23+F23*M23</f>
        <v>2.42968413347655</v>
      </c>
      <c r="O23" s="31" t="n">
        <f aca="false">1/(1+EXP(-N23))</f>
        <v>0.919063039793957</v>
      </c>
      <c r="P23" s="32" t="n">
        <f aca="false">IF(O23&gt;0.5,1,0)</f>
        <v>1</v>
      </c>
      <c r="Q23" s="32" t="n">
        <f aca="false">O23-G23</f>
        <v>-0.0809369602060432</v>
      </c>
      <c r="R23" s="33" t="n">
        <f aca="false">Q23^2</f>
        <v>0.00655079152739463</v>
      </c>
      <c r="T23" s="33" t="n">
        <f aca="false">2*(O23-G23)*(1-O23)*O23</f>
        <v>-0.0120411807484476</v>
      </c>
      <c r="U23" s="33" t="n">
        <f aca="false">2*(O23-G23)*(1-O23)*O23*C23</f>
        <v>-0.0686347302661514</v>
      </c>
      <c r="V23" s="33" t="n">
        <f aca="false">2*(O23-G23)*(1-O23)*O23*D23</f>
        <v>-0.0349194241704981</v>
      </c>
      <c r="W23" s="33" t="n">
        <f aca="false">2*(O23-G23)*(1-O23)*O23*E23</f>
        <v>-0.05057295914348</v>
      </c>
      <c r="X23" s="33" t="n">
        <f aca="false">2*(O23-G23)*(1-O23)*O23*F23</f>
        <v>-0.0156535349729819</v>
      </c>
    </row>
    <row r="24" customFormat="false" ht="14.25" hidden="false" customHeight="true" outlineLevel="0" collapsed="false">
      <c r="A24" s="27"/>
      <c r="B24" s="34" t="n">
        <v>18</v>
      </c>
      <c r="C24" s="2" t="n">
        <f aca="false" t="array" ref="C24:C24">IF($B24&lt;=10, INDEX(Data!$A:$A,40+$B24), INDEX(Data!$A:$A,80+$B24))</f>
        <v>6.2</v>
      </c>
      <c r="D24" s="54" t="n">
        <f aca="false" t="array" ref="D24:D24">IF($B24&lt;=10, INDEX(Data!$B:$B,40+$B24), INDEX(Data!$B:$B,80+$B24))</f>
        <v>2.9</v>
      </c>
      <c r="E24" s="54" t="n">
        <f aca="false" t="array" ref="E24:E24">IF($B24&lt;=10, INDEX(Data!$C:$C,40+$B24), INDEX(Data!$C:$C,80+$B24))</f>
        <v>4.3</v>
      </c>
      <c r="F24" s="54" t="n">
        <f aca="false" t="array" ref="F24:F24">IF($B24&lt;=10, INDEX(Data!$D:$D,40+$B24), INDEX(Data!$D:$D,80+$B24))</f>
        <v>1.3</v>
      </c>
      <c r="G24" s="54" t="n">
        <f aca="false" t="array" ref="G24:G24">IF(INDEX(Data!$E:$E,IF($B24&lt;=10,40+$B24,80+$B24))="Iris-setosa",0,1)</f>
        <v>1</v>
      </c>
      <c r="H24" s="1" t="n">
        <f aca="false">IF(G24=P24, 1, 0)</f>
        <v>1</v>
      </c>
      <c r="I24" s="34" t="n">
        <f aca="false">I23-$K$4*T23</f>
        <v>0.337041534898172</v>
      </c>
      <c r="J24" s="34" t="n">
        <f aca="false">J23-$K$4*U23</f>
        <v>-0.174399070615686</v>
      </c>
      <c r="K24" s="34" t="n">
        <f aca="false">K23-$K$4*V23</f>
        <v>-0.0865873212463911</v>
      </c>
      <c r="L24" s="34" t="n">
        <f aca="false">L23-$K$4*W23</f>
        <v>0.629744661860052</v>
      </c>
      <c r="M24" s="34" t="n">
        <f aca="false">M23-$K$4*X23</f>
        <v>0.589708540471426</v>
      </c>
      <c r="N24" s="31" t="n">
        <f aca="false">I24+J24*C24+K24*D24+L24*E24+F24*M24</f>
        <v>2.47918721407746</v>
      </c>
      <c r="O24" s="31" t="n">
        <f aca="false">1/(1+EXP(-N24))</f>
        <v>0.922669825329046</v>
      </c>
      <c r="P24" s="32" t="n">
        <f aca="false">IF(O24&gt;0.5,1,0)</f>
        <v>1</v>
      </c>
      <c r="Q24" s="32" t="n">
        <f aca="false">O24-G24</f>
        <v>-0.0773301746709544</v>
      </c>
      <c r="R24" s="33" t="n">
        <f aca="false">Q24^2</f>
        <v>0.00597995591464031</v>
      </c>
      <c r="T24" s="33" t="n">
        <f aca="false">2*(O24-G24)*(1-O24)*O24</f>
        <v>-0.0110350497584731</v>
      </c>
      <c r="U24" s="33" t="n">
        <f aca="false">2*(O24-G24)*(1-O24)*O24*C24</f>
        <v>-0.0684173085025335</v>
      </c>
      <c r="V24" s="33" t="n">
        <f aca="false">2*(O24-G24)*(1-O24)*O24*D24</f>
        <v>-0.0320016442995721</v>
      </c>
      <c r="W24" s="33" t="n">
        <f aca="false">2*(O24-G24)*(1-O24)*O24*E24</f>
        <v>-0.0474507139614345</v>
      </c>
      <c r="X24" s="33" t="n">
        <f aca="false">2*(O24-G24)*(1-O24)*O24*F24</f>
        <v>-0.0143455646860151</v>
      </c>
    </row>
    <row r="25" customFormat="false" ht="14.25" hidden="false" customHeight="true" outlineLevel="0" collapsed="false">
      <c r="A25" s="27"/>
      <c r="B25" s="28" t="n">
        <v>19</v>
      </c>
      <c r="C25" s="2" t="n">
        <f aca="false" t="array" ref="C25:C25">IF($B25&lt;=10, INDEX(Data!$A:$A,40+$B25), INDEX(Data!$A:$A,80+$B25))</f>
        <v>5.1</v>
      </c>
      <c r="D25" s="54" t="n">
        <f aca="false" t="array" ref="D25:D25">IF($B25&lt;=10, INDEX(Data!$B:$B,40+$B25), INDEX(Data!$B:$B,80+$B25))</f>
        <v>2.5</v>
      </c>
      <c r="E25" s="54" t="n">
        <f aca="false" t="array" ref="E25:E25">IF($B25&lt;=10, INDEX(Data!$C:$C,40+$B25), INDEX(Data!$C:$C,80+$B25))</f>
        <v>3</v>
      </c>
      <c r="F25" s="54" t="n">
        <f aca="false" t="array" ref="F25:F25">IF($B25&lt;=10, INDEX(Data!$D:$D,40+$B25), INDEX(Data!$D:$D,80+$B25))</f>
        <v>1.1</v>
      </c>
      <c r="G25" s="54" t="n">
        <f aca="false" t="array" ref="G25:G25">IF(INDEX(Data!$E:$E,IF($B25&lt;=10,40+$B25,80+$B25))="Iris-setosa",0,1)</f>
        <v>1</v>
      </c>
      <c r="H25" s="1" t="n">
        <f aca="false">IF(G25=P25, 1, 0)</f>
        <v>1</v>
      </c>
      <c r="I25" s="34" t="n">
        <f aca="false">I24-$K$4*T24</f>
        <v>0.338145039874019</v>
      </c>
      <c r="J25" s="34" t="n">
        <f aca="false">J24-$K$4*U24</f>
        <v>-0.167557339765433</v>
      </c>
      <c r="K25" s="34" t="n">
        <f aca="false">K24-$K$4*V24</f>
        <v>-0.0833871568164339</v>
      </c>
      <c r="L25" s="34" t="n">
        <f aca="false">L24-$K$4*W24</f>
        <v>0.634489733256196</v>
      </c>
      <c r="M25" s="34" t="n">
        <f aca="false">M24-$K$4*X24</f>
        <v>0.591143096940028</v>
      </c>
      <c r="N25" s="31" t="n">
        <f aca="false">I25+J25*C25+K25*D25+L25*E25+F25*M25</f>
        <v>1.82886132143184</v>
      </c>
      <c r="O25" s="31" t="n">
        <f aca="false">1/(1+EXP(-N25))</f>
        <v>0.861626021924912</v>
      </c>
      <c r="P25" s="32" t="n">
        <f aca="false">IF(O25&gt;0.5,1,0)</f>
        <v>1</v>
      </c>
      <c r="Q25" s="32" t="n">
        <f aca="false">O25-G25</f>
        <v>-0.138373978075088</v>
      </c>
      <c r="R25" s="33" t="n">
        <f aca="false">Q25^2</f>
        <v>0.0191473578083249</v>
      </c>
      <c r="T25" s="33" t="n">
        <f aca="false">2*(O25-G25)*(1-O25)*O25</f>
        <v>-0.0329957234775198</v>
      </c>
      <c r="U25" s="33" t="n">
        <f aca="false">2*(O25-G25)*(1-O25)*O25*C25</f>
        <v>-0.168278189735351</v>
      </c>
      <c r="V25" s="33" t="n">
        <f aca="false">2*(O25-G25)*(1-O25)*O25*D25</f>
        <v>-0.0824893086937996</v>
      </c>
      <c r="W25" s="33" t="n">
        <f aca="false">2*(O25-G25)*(1-O25)*O25*E25</f>
        <v>-0.0989871704325595</v>
      </c>
      <c r="X25" s="33" t="n">
        <f aca="false">2*(O25-G25)*(1-O25)*O25*F25</f>
        <v>-0.0362952958252718</v>
      </c>
    </row>
    <row r="26" customFormat="false" ht="14.25" hidden="false" customHeight="true" outlineLevel="0" collapsed="false">
      <c r="A26" s="27"/>
      <c r="B26" s="34" t="n">
        <v>20</v>
      </c>
      <c r="C26" s="2" t="n">
        <f aca="false" t="array" ref="C26:C26">IF($B26&lt;=10, INDEX(Data!$A:$A,40+$B26), INDEX(Data!$A:$A,80+$B26))</f>
        <v>5.7</v>
      </c>
      <c r="D26" s="54" t="n">
        <f aca="false" t="array" ref="D26:D26">IF($B26&lt;=10, INDEX(Data!$B:$B,40+$B26), INDEX(Data!$B:$B,80+$B26))</f>
        <v>2.8</v>
      </c>
      <c r="E26" s="54" t="n">
        <f aca="false" t="array" ref="E26:E26">IF($B26&lt;=10, INDEX(Data!$C:$C,40+$B26), INDEX(Data!$C:$C,80+$B26))</f>
        <v>4.1</v>
      </c>
      <c r="F26" s="54" t="n">
        <f aca="false" t="array" ref="F26:F26">IF($B26&lt;=10, INDEX(Data!$D:$D,40+$B26), INDEX(Data!$D:$D,80+$B26))</f>
        <v>1.3</v>
      </c>
      <c r="G26" s="54" t="n">
        <f aca="false" t="array" ref="G26:G26">IF(INDEX(Data!$E:$E,IF($B26&lt;=10,40+$B26,80+$B26))="Iris-setosa",0,1)</f>
        <v>1</v>
      </c>
      <c r="H26" s="1" t="n">
        <f aca="false">IF(G26=P26, 1, 0)</f>
        <v>1</v>
      </c>
      <c r="I26" s="34" t="n">
        <f aca="false">I25-$K$4*T25</f>
        <v>0.341444612221771</v>
      </c>
      <c r="J26" s="34" t="n">
        <f aca="false">J25-$K$4*U25</f>
        <v>-0.150729520791898</v>
      </c>
      <c r="K26" s="34" t="n">
        <f aca="false">K25-$K$4*V25</f>
        <v>-0.0751382259470539</v>
      </c>
      <c r="L26" s="34" t="n">
        <f aca="false">L25-$K$4*W25</f>
        <v>0.644388450299452</v>
      </c>
      <c r="M26" s="34" t="n">
        <f aca="false">M25-$K$4*X25</f>
        <v>0.594772626522555</v>
      </c>
      <c r="N26" s="31" t="n">
        <f aca="false">I26+J26*C26+K26*D26+L26*E26+F26*M26</f>
        <v>2.68709637176327</v>
      </c>
      <c r="O26" s="31" t="n">
        <f aca="false">1/(1+EXP(-N26))</f>
        <v>0.936260922906052</v>
      </c>
      <c r="P26" s="32" t="n">
        <f aca="false">IF(O26&gt;0.5,1,0)</f>
        <v>1</v>
      </c>
      <c r="Q26" s="32" t="n">
        <f aca="false">O26-G26</f>
        <v>-0.0637390770939478</v>
      </c>
      <c r="R26" s="33" t="n">
        <f aca="false">Q26^2</f>
        <v>0.00406266994878822</v>
      </c>
      <c r="S26" s="1" t="n">
        <f aca="false">AVERAGE(R7:R26)</f>
        <v>0.0996779577085089</v>
      </c>
      <c r="T26" s="33" t="n">
        <f aca="false">2*(O26-G26)*(1-O26)*O26</f>
        <v>-0.00760743823143028</v>
      </c>
      <c r="U26" s="33" t="n">
        <f aca="false">2*(O26-G26)*(1-O26)*O26*C26</f>
        <v>-0.0433623979191526</v>
      </c>
      <c r="V26" s="33" t="n">
        <f aca="false">2*(O26-G26)*(1-O26)*O26*D26</f>
        <v>-0.0213008270480048</v>
      </c>
      <c r="W26" s="33" t="n">
        <f aca="false">2*(O26-G26)*(1-O26)*O26*E26</f>
        <v>-0.0311904967488642</v>
      </c>
      <c r="X26" s="33" t="n">
        <f aca="false">2*(O26-G26)*(1-O26)*O26*F26</f>
        <v>-0.00988966970085937</v>
      </c>
    </row>
    <row r="27" customFormat="false" ht="14.25" hidden="false" customHeight="true" outlineLevel="0" collapsed="false">
      <c r="A27" s="56" t="s">
        <v>48</v>
      </c>
      <c r="B27" s="57" t="n">
        <v>1</v>
      </c>
      <c r="C27" s="58" t="n">
        <f aca="false" t="array" ref="C27:C27">IF($B27&lt;=10, INDEX(Data!$A:$A,40+$B27), INDEX(Data!$A:$A,80+$B27))</f>
        <v>5</v>
      </c>
      <c r="D27" s="59" t="n">
        <f aca="false" t="array" ref="D27:D27">IF($B27&lt;=10, INDEX(Data!$B:$B,40+$B27), INDEX(Data!$B:$B,80+$B27))</f>
        <v>3.5</v>
      </c>
      <c r="E27" s="59" t="n">
        <f aca="false" t="array" ref="E27:E27">IF($B27&lt;=10, INDEX(Data!$C:$C,40+$B27), INDEX(Data!$C:$C,80+$B27))</f>
        <v>1.3</v>
      </c>
      <c r="F27" s="59" t="n">
        <f aca="false" t="array" ref="F27:F27">IF($B27&lt;=10, INDEX(Data!$D:$D,40+$B27), INDEX(Data!$D:$D,80+$B27))</f>
        <v>0.3</v>
      </c>
      <c r="G27" s="59" t="n">
        <f aca="false" t="array" ref="G27:G27">IF(INDEX(Data!$E:$E,IF($B27&lt;=10,40+$B27,80+$B27))="Iris-setosa",0,1)</f>
        <v>0</v>
      </c>
      <c r="H27" s="60" t="n">
        <f aca="false">IF(G27=P27, 1, 0)</f>
        <v>0</v>
      </c>
      <c r="I27" s="61" t="n">
        <f aca="false">'SLP-Training'!I164</f>
        <v>0.342219832094735</v>
      </c>
      <c r="J27" s="61" t="n">
        <f aca="false">'SLP-Training'!J164</f>
        <v>-0.0945838560694382</v>
      </c>
      <c r="K27" s="61" t="n">
        <f aca="false">'SLP-Training'!K164</f>
        <v>-0.0767897562901306</v>
      </c>
      <c r="L27" s="61" t="n">
        <f aca="false">'SLP-Training'!L164</f>
        <v>0.706211091029088</v>
      </c>
      <c r="M27" s="61" t="n">
        <f aca="false">'SLP-Training'!M164</f>
        <v>0.63611016193816</v>
      </c>
      <c r="N27" s="62" t="n">
        <f aca="false">I27+J27*C27+K27*D27+L27*E27+F27*M27</f>
        <v>0.709443871651349</v>
      </c>
      <c r="O27" s="62" t="n">
        <f aca="false">1/(1+EXP(-N27))</f>
        <v>0.670278264130204</v>
      </c>
      <c r="P27" s="63" t="n">
        <f aca="false">IF(O27&gt;0.5,1,0)</f>
        <v>1</v>
      </c>
      <c r="Q27" s="63" t="n">
        <f aca="false">O27-G27</f>
        <v>0.670278264130204</v>
      </c>
      <c r="R27" s="64" t="n">
        <f aca="false">Q27^2</f>
        <v>0.4492729513654</v>
      </c>
      <c r="T27" s="33" t="n">
        <f aca="false">2*(O27-G27)*(1-O27)*O27</f>
        <v>0.296270114807092</v>
      </c>
      <c r="U27" s="33" t="n">
        <f aca="false">2*(O27-G27)*(1-O27)*O27*C27</f>
        <v>1.48135057403546</v>
      </c>
      <c r="V27" s="33" t="n">
        <f aca="false">2*(O27-G27)*(1-O27)*O27*D27</f>
        <v>1.03694540182482</v>
      </c>
      <c r="W27" s="33" t="n">
        <f aca="false">2*(O27-G27)*(1-O27)*O27*E27</f>
        <v>0.38515114924922</v>
      </c>
      <c r="X27" s="33" t="n">
        <f aca="false">2*(O27-G27)*(1-O27)*O27*F27</f>
        <v>0.0888810344421276</v>
      </c>
    </row>
    <row r="28" customFormat="false" ht="14.25" hidden="false" customHeight="true" outlineLevel="0" collapsed="false">
      <c r="A28" s="56"/>
      <c r="B28" s="65" t="n">
        <v>2</v>
      </c>
      <c r="C28" s="58" t="n">
        <f aca="false" t="array" ref="C28:C28">IF($B28&lt;=10, INDEX(Data!$A:$A,40+$B28), INDEX(Data!$A:$A,80+$B28))</f>
        <v>4.5</v>
      </c>
      <c r="D28" s="59" t="n">
        <f aca="false" t="array" ref="D28:D28">IF($B28&lt;=10, INDEX(Data!$B:$B,40+$B28), INDEX(Data!$B:$B,80+$B28))</f>
        <v>2.3</v>
      </c>
      <c r="E28" s="59" t="n">
        <f aca="false" t="array" ref="E28:E28">IF($B28&lt;=10, INDEX(Data!$C:$C,40+$B28), INDEX(Data!$C:$C,80+$B28))</f>
        <v>1.3</v>
      </c>
      <c r="F28" s="59" t="n">
        <f aca="false" t="array" ref="F28:F28">IF($B28&lt;=10, INDEX(Data!$D:$D,40+$B28), INDEX(Data!$D:$D,80+$B28))</f>
        <v>0.3</v>
      </c>
      <c r="G28" s="59" t="n">
        <f aca="false" t="array" ref="G28:G28">IF(INDEX(Data!$E:$E,IF($B28&lt;=10,40+$B28,80+$B28))="Iris-setosa",0,1)</f>
        <v>0</v>
      </c>
      <c r="H28" s="60" t="n">
        <f aca="false">IF(G28=P28, 1, 0)</f>
        <v>1</v>
      </c>
      <c r="I28" s="66" t="n">
        <f aca="false">I27-$K$4*T27</f>
        <v>0.312592820614026</v>
      </c>
      <c r="J28" s="66" t="n">
        <f aca="false">J27-$K$4*U27</f>
        <v>-0.242718913472984</v>
      </c>
      <c r="K28" s="66" t="n">
        <f aca="false">K27-$K$4*V27</f>
        <v>-0.180484296472613</v>
      </c>
      <c r="L28" s="66" t="n">
        <f aca="false">L27-$K$4*W27</f>
        <v>0.667695976104166</v>
      </c>
      <c r="M28" s="66" t="n">
        <f aca="false">M27-$K$4*X27</f>
        <v>0.627222058493947</v>
      </c>
      <c r="N28" s="62" t="n">
        <f aca="false">I28+J28*C28+K28*D28+L28*E28+F28*M28</f>
        <v>-0.138584785417813</v>
      </c>
      <c r="O28" s="62" t="n">
        <f aca="false">1/(1+EXP(-N28))</f>
        <v>0.465409147849857</v>
      </c>
      <c r="P28" s="63" t="n">
        <f aca="false">IF(O28&gt;0.5,1,0)</f>
        <v>0</v>
      </c>
      <c r="Q28" s="63" t="n">
        <f aca="false">O28-G28</f>
        <v>0.465409147849857</v>
      </c>
      <c r="R28" s="64" t="n">
        <f aca="false">Q28^2</f>
        <v>0.21660567490233</v>
      </c>
      <c r="T28" s="33" t="n">
        <f aca="false">2*(O28-G28)*(1-O28)*O28</f>
        <v>0.231590824653187</v>
      </c>
      <c r="U28" s="33" t="n">
        <f aca="false">2*(O28-G28)*(1-O28)*O28*C28</f>
        <v>1.04215871093934</v>
      </c>
      <c r="V28" s="33" t="n">
        <f aca="false">2*(O28-G28)*(1-O28)*O28*D28</f>
        <v>0.53265889670233</v>
      </c>
      <c r="W28" s="33" t="n">
        <f aca="false">2*(O28-G28)*(1-O28)*O28*E28</f>
        <v>0.301068072049143</v>
      </c>
      <c r="X28" s="33" t="n">
        <f aca="false">2*(O28-G28)*(1-O28)*O28*F28</f>
        <v>0.0694772473959561</v>
      </c>
    </row>
    <row r="29" customFormat="false" ht="14.25" hidden="false" customHeight="true" outlineLevel="0" collapsed="false">
      <c r="A29" s="56"/>
      <c r="B29" s="57" t="n">
        <v>3</v>
      </c>
      <c r="C29" s="58" t="n">
        <f aca="false" t="array" ref="C29:C29">IF($B29&lt;=10, INDEX(Data!$A:$A,40+$B29), INDEX(Data!$A:$A,80+$B29))</f>
        <v>4.4</v>
      </c>
      <c r="D29" s="59" t="n">
        <f aca="false" t="array" ref="D29:D29">IF($B29&lt;=10, INDEX(Data!$B:$B,40+$B29), INDEX(Data!$B:$B,80+$B29))</f>
        <v>3.2</v>
      </c>
      <c r="E29" s="59" t="n">
        <f aca="false" t="array" ref="E29:E29">IF($B29&lt;=10, INDEX(Data!$C:$C,40+$B29), INDEX(Data!$C:$C,80+$B29))</f>
        <v>1.3</v>
      </c>
      <c r="F29" s="59" t="n">
        <f aca="false" t="array" ref="F29:F29">IF($B29&lt;=10, INDEX(Data!$D:$D,40+$B29), INDEX(Data!$D:$D,80+$B29))</f>
        <v>0.2</v>
      </c>
      <c r="G29" s="59" t="n">
        <f aca="false" t="array" ref="G29:G29">IF(INDEX(Data!$E:$E,IF($B29&lt;=10,40+$B29,80+$B29))="Iris-setosa",0,1)</f>
        <v>0</v>
      </c>
      <c r="H29" s="60" t="n">
        <f aca="false">IF(G29=P29, 1, 0)</f>
        <v>1</v>
      </c>
      <c r="I29" s="66" t="n">
        <f aca="false">I28-$K$4*T28</f>
        <v>0.289433738148707</v>
      </c>
      <c r="J29" s="66" t="n">
        <f aca="false">J28-$K$4*U28</f>
        <v>-0.346934784566918</v>
      </c>
      <c r="K29" s="66" t="n">
        <f aca="false">K28-$K$4*V28</f>
        <v>-0.233750186142846</v>
      </c>
      <c r="L29" s="66" t="n">
        <f aca="false">L28-$K$4*W28</f>
        <v>0.637589168899252</v>
      </c>
      <c r="M29" s="66" t="n">
        <f aca="false">M28-$K$4*X28</f>
        <v>0.620274333754352</v>
      </c>
      <c r="N29" s="62" t="n">
        <f aca="false">I29+J29*C29+K29*D29+L29*E29+F29*M29</f>
        <v>-1.03215912328294</v>
      </c>
      <c r="O29" s="62" t="n">
        <f aca="false">1/(1+EXP(-N29))</f>
        <v>0.262665727257672</v>
      </c>
      <c r="P29" s="63" t="n">
        <f aca="false">IF(O29&gt;0.5,1,0)</f>
        <v>0</v>
      </c>
      <c r="Q29" s="63" t="n">
        <f aca="false">O29-G29</f>
        <v>0.262665727257672</v>
      </c>
      <c r="R29" s="64" t="n">
        <f aca="false">Q29^2</f>
        <v>0.0689932842758019</v>
      </c>
      <c r="T29" s="33" t="n">
        <f aca="false">2*(O29-G29)*(1-O29)*O29</f>
        <v>0.101742226171206</v>
      </c>
      <c r="U29" s="33" t="n">
        <f aca="false">2*(O29-G29)*(1-O29)*O29*C29</f>
        <v>0.447665795153307</v>
      </c>
      <c r="V29" s="33" t="n">
        <f aca="false">2*(O29-G29)*(1-O29)*O29*D29</f>
        <v>0.32557512374786</v>
      </c>
      <c r="W29" s="33" t="n">
        <f aca="false">2*(O29-G29)*(1-O29)*O29*E29</f>
        <v>0.132264894022568</v>
      </c>
      <c r="X29" s="33" t="n">
        <f aca="false">2*(O29-G29)*(1-O29)*O29*F29</f>
        <v>0.0203484452342412</v>
      </c>
    </row>
    <row r="30" customFormat="false" ht="14.25" hidden="false" customHeight="true" outlineLevel="0" collapsed="false">
      <c r="A30" s="56"/>
      <c r="B30" s="65" t="n">
        <v>4</v>
      </c>
      <c r="C30" s="58" t="n">
        <f aca="false" t="array" ref="C30:C30">IF($B30&lt;=10, INDEX(Data!$A:$A,40+$B30), INDEX(Data!$A:$A,80+$B30))</f>
        <v>5</v>
      </c>
      <c r="D30" s="59" t="n">
        <f aca="false" t="array" ref="D30:D30">IF($B30&lt;=10, INDEX(Data!$B:$B,40+$B30), INDEX(Data!$B:$B,80+$B30))</f>
        <v>3.5</v>
      </c>
      <c r="E30" s="59" t="n">
        <f aca="false" t="array" ref="E30:E30">IF($B30&lt;=10, INDEX(Data!$C:$C,40+$B30), INDEX(Data!$C:$C,80+$B30))</f>
        <v>1.6</v>
      </c>
      <c r="F30" s="59" t="n">
        <f aca="false" t="array" ref="F30:F30">IF($B30&lt;=10, INDEX(Data!$D:$D,40+$B30), INDEX(Data!$D:$D,80+$B30))</f>
        <v>0.6</v>
      </c>
      <c r="G30" s="59" t="n">
        <f aca="false" t="array" ref="G30:G30">IF(INDEX(Data!$E:$E,IF($B30&lt;=10,40+$B30,80+$B30))="Iris-setosa",0,1)</f>
        <v>0</v>
      </c>
      <c r="H30" s="60" t="n">
        <f aca="false">IF(G30=P30, 1, 0)</f>
        <v>1</v>
      </c>
      <c r="I30" s="66" t="n">
        <f aca="false">I29-$K$4*T29</f>
        <v>0.279259515531586</v>
      </c>
      <c r="J30" s="66" t="n">
        <f aca="false">J29-$K$4*U29</f>
        <v>-0.391701364082249</v>
      </c>
      <c r="K30" s="66" t="n">
        <f aca="false">K29-$K$4*V29</f>
        <v>-0.266307698517632</v>
      </c>
      <c r="L30" s="66" t="n">
        <f aca="false">L29-$K$4*W29</f>
        <v>0.624362679496995</v>
      </c>
      <c r="M30" s="66" t="n">
        <f aca="false">M29-$K$4*X29</f>
        <v>0.618239489230927</v>
      </c>
      <c r="N30" s="62" t="n">
        <f aca="false">I30+J30*C30+K30*D30+L30*E30+F30*M30</f>
        <v>-1.24140026895762</v>
      </c>
      <c r="O30" s="62" t="n">
        <f aca="false">1/(1+EXP(-N30))</f>
        <v>0.224192342704122</v>
      </c>
      <c r="P30" s="63" t="n">
        <f aca="false">IF(O30&gt;0.5,1,0)</f>
        <v>0</v>
      </c>
      <c r="Q30" s="63" t="n">
        <f aca="false">O30-G30</f>
        <v>0.224192342704122</v>
      </c>
      <c r="R30" s="64" t="n">
        <f aca="false">Q30^2</f>
        <v>0.0502622065271626</v>
      </c>
      <c r="T30" s="33" t="n">
        <f aca="false">2*(O30-G30)*(1-O30)*O30</f>
        <v>0.0779876093927192</v>
      </c>
      <c r="U30" s="33" t="n">
        <f aca="false">2*(O30-G30)*(1-O30)*O30*C30</f>
        <v>0.389938046963596</v>
      </c>
      <c r="V30" s="33" t="n">
        <f aca="false">2*(O30-G30)*(1-O30)*O30*D30</f>
        <v>0.272956632874517</v>
      </c>
      <c r="W30" s="33" t="n">
        <f aca="false">2*(O30-G30)*(1-O30)*O30*E30</f>
        <v>0.124780175028351</v>
      </c>
      <c r="X30" s="33" t="n">
        <f aca="false">2*(O30-G30)*(1-O30)*O30*F30</f>
        <v>0.0467925656356315</v>
      </c>
    </row>
    <row r="31" customFormat="false" ht="14.25" hidden="false" customHeight="true" outlineLevel="0" collapsed="false">
      <c r="A31" s="56"/>
      <c r="B31" s="57" t="n">
        <v>5</v>
      </c>
      <c r="C31" s="58" t="n">
        <f aca="false" t="array" ref="C31:C31">IF($B31&lt;=10, INDEX(Data!$A:$A,40+$B31), INDEX(Data!$A:$A,80+$B31))</f>
        <v>5.1</v>
      </c>
      <c r="D31" s="59" t="n">
        <f aca="false" t="array" ref="D31:D31">IF($B31&lt;=10, INDEX(Data!$B:$B,40+$B31), INDEX(Data!$B:$B,80+$B31))</f>
        <v>3.8</v>
      </c>
      <c r="E31" s="59" t="n">
        <f aca="false" t="array" ref="E31:E31">IF($B31&lt;=10, INDEX(Data!$C:$C,40+$B31), INDEX(Data!$C:$C,80+$B31))</f>
        <v>1.9</v>
      </c>
      <c r="F31" s="59" t="n">
        <f aca="false" t="array" ref="F31:F31">IF($B31&lt;=10, INDEX(Data!$D:$D,40+$B31), INDEX(Data!$D:$D,80+$B31))</f>
        <v>0.4</v>
      </c>
      <c r="G31" s="59" t="n">
        <f aca="false" t="array" ref="G31:G31">IF(INDEX(Data!$E:$E,IF($B31&lt;=10,40+$B31,80+$B31))="Iris-setosa",0,1)</f>
        <v>0</v>
      </c>
      <c r="H31" s="60" t="n">
        <f aca="false">IF(G31=P31, 1, 0)</f>
        <v>1</v>
      </c>
      <c r="I31" s="66" t="n">
        <f aca="false">I30-$K$4*T30</f>
        <v>0.271460754592315</v>
      </c>
      <c r="J31" s="66" t="n">
        <f aca="false">J30-$K$4*U30</f>
        <v>-0.430695168778609</v>
      </c>
      <c r="K31" s="66" t="n">
        <f aca="false">K30-$K$4*V30</f>
        <v>-0.293603361805084</v>
      </c>
      <c r="L31" s="66" t="n">
        <f aca="false">L30-$K$4*W30</f>
        <v>0.61188466199416</v>
      </c>
      <c r="M31" s="66" t="n">
        <f aca="false">M30-$K$4*X30</f>
        <v>0.613560232667364</v>
      </c>
      <c r="N31" s="62" t="n">
        <f aca="false">I31+J31*C31+K31*D31+L31*E31+F31*M31</f>
        <v>-1.63277243018206</v>
      </c>
      <c r="O31" s="62" t="n">
        <f aca="false">1/(1+EXP(-N31))</f>
        <v>0.163450919969792</v>
      </c>
      <c r="P31" s="63" t="n">
        <f aca="false">IF(O31&gt;0.5,1,0)</f>
        <v>0</v>
      </c>
      <c r="Q31" s="63" t="n">
        <f aca="false">O31-G31</f>
        <v>0.163450919969792</v>
      </c>
      <c r="R31" s="64" t="n">
        <f aca="false">Q31^2</f>
        <v>0.0267162032389714</v>
      </c>
      <c r="T31" s="33" t="n">
        <f aca="false">2*(O31-G31)*(1-O31)*O31</f>
        <v>0.0446988304829231</v>
      </c>
      <c r="U31" s="33" t="n">
        <f aca="false">2*(O31-G31)*(1-O31)*O31*C31</f>
        <v>0.227964035462908</v>
      </c>
      <c r="V31" s="33" t="n">
        <f aca="false">2*(O31-G31)*(1-O31)*O31*D31</f>
        <v>0.169855555835108</v>
      </c>
      <c r="W31" s="33" t="n">
        <f aca="false">2*(O31-G31)*(1-O31)*O31*E31</f>
        <v>0.0849277779175539</v>
      </c>
      <c r="X31" s="33" t="n">
        <f aca="false">2*(O31-G31)*(1-O31)*O31*F31</f>
        <v>0.0178795321931692</v>
      </c>
    </row>
    <row r="32" customFormat="false" ht="14.25" hidden="false" customHeight="true" outlineLevel="0" collapsed="false">
      <c r="A32" s="56"/>
      <c r="B32" s="65" t="n">
        <v>6</v>
      </c>
      <c r="C32" s="58" t="n">
        <f aca="false" t="array" ref="C32:C32">IF($B32&lt;=10, INDEX(Data!$A:$A,40+$B32), INDEX(Data!$A:$A,80+$B32))</f>
        <v>4.8</v>
      </c>
      <c r="D32" s="59" t="n">
        <f aca="false" t="array" ref="D32:D32">IF($B32&lt;=10, INDEX(Data!$B:$B,40+$B32), INDEX(Data!$B:$B,80+$B32))</f>
        <v>3</v>
      </c>
      <c r="E32" s="59" t="n">
        <f aca="false" t="array" ref="E32:E32">IF($B32&lt;=10, INDEX(Data!$C:$C,40+$B32), INDEX(Data!$C:$C,80+$B32))</f>
        <v>1.4</v>
      </c>
      <c r="F32" s="59" t="n">
        <f aca="false" t="array" ref="F32:F32">IF($B32&lt;=10, INDEX(Data!$D:$D,40+$B32), INDEX(Data!$D:$D,80+$B32))</f>
        <v>0.3</v>
      </c>
      <c r="G32" s="59" t="n">
        <f aca="false" t="array" ref="G32:G32">IF(INDEX(Data!$E:$E,IF($B32&lt;=10,40+$B32,80+$B32))="Iris-setosa",0,1)</f>
        <v>0</v>
      </c>
      <c r="H32" s="60" t="n">
        <f aca="false">IF(G32=P32, 1, 0)</f>
        <v>1</v>
      </c>
      <c r="I32" s="66" t="n">
        <f aca="false">I31-$K$4*T31</f>
        <v>0.266990871544022</v>
      </c>
      <c r="J32" s="66" t="n">
        <f aca="false">J31-$K$4*U31</f>
        <v>-0.453491572324899</v>
      </c>
      <c r="K32" s="66" t="n">
        <f aca="false">K31-$K$4*V31</f>
        <v>-0.310588917388594</v>
      </c>
      <c r="L32" s="66" t="n">
        <f aca="false">L31-$K$4*W31</f>
        <v>0.603391884202404</v>
      </c>
      <c r="M32" s="66" t="n">
        <f aca="false">M31-$K$4*X31</f>
        <v>0.611772279448047</v>
      </c>
      <c r="N32" s="62" t="n">
        <f aca="false">I32+J32*C32+K32*D32+L32*E32+F32*M32</f>
        <v>-1.8132551060635</v>
      </c>
      <c r="O32" s="62" t="n">
        <f aca="false">1/(1+EXP(-N32))</f>
        <v>0.140245176732769</v>
      </c>
      <c r="P32" s="63" t="n">
        <f aca="false">IF(O32&gt;0.5,1,0)</f>
        <v>0</v>
      </c>
      <c r="Q32" s="63" t="n">
        <f aca="false">O32-G32</f>
        <v>0.140245176732769</v>
      </c>
      <c r="R32" s="64" t="n">
        <f aca="false">Q32^2</f>
        <v>0.0196687095968056</v>
      </c>
      <c r="T32" s="33" t="n">
        <f aca="false">2*(O32-G32)*(1-O32)*O32</f>
        <v>0.0338205358865922</v>
      </c>
      <c r="U32" s="33" t="n">
        <f aca="false">2*(O32-G32)*(1-O32)*O32*C32</f>
        <v>0.162338572255642</v>
      </c>
      <c r="V32" s="33" t="n">
        <f aca="false">2*(O32-G32)*(1-O32)*O32*D32</f>
        <v>0.101461607659777</v>
      </c>
      <c r="W32" s="33" t="n">
        <f aca="false">2*(O32-G32)*(1-O32)*O32*E32</f>
        <v>0.0473487502412291</v>
      </c>
      <c r="X32" s="33" t="n">
        <f aca="false">2*(O32-G32)*(1-O32)*O32*F32</f>
        <v>0.0101461607659777</v>
      </c>
    </row>
    <row r="33" customFormat="false" ht="14.25" hidden="false" customHeight="true" outlineLevel="0" collapsed="false">
      <c r="A33" s="56"/>
      <c r="B33" s="57" t="n">
        <v>7</v>
      </c>
      <c r="C33" s="58" t="n">
        <f aca="false" t="array" ref="C33:C33">IF($B33&lt;=10, INDEX(Data!$A:$A,40+$B33), INDEX(Data!$A:$A,80+$B33))</f>
        <v>5.1</v>
      </c>
      <c r="D33" s="59" t="n">
        <f aca="false" t="array" ref="D33:D33">IF($B33&lt;=10, INDEX(Data!$B:$B,40+$B33), INDEX(Data!$B:$B,80+$B33))</f>
        <v>3.8</v>
      </c>
      <c r="E33" s="59" t="n">
        <f aca="false" t="array" ref="E33:E33">IF($B33&lt;=10, INDEX(Data!$C:$C,40+$B33), INDEX(Data!$C:$C,80+$B33))</f>
        <v>1.6</v>
      </c>
      <c r="F33" s="59" t="n">
        <f aca="false" t="array" ref="F33:F33">IF($B33&lt;=10, INDEX(Data!$D:$D,40+$B33), INDEX(Data!$D:$D,80+$B33))</f>
        <v>0.2</v>
      </c>
      <c r="G33" s="59" t="n">
        <f aca="false" t="array" ref="G33:G33">IF(INDEX(Data!$E:$E,IF($B33&lt;=10,40+$B33,80+$B33))="Iris-setosa",0,1)</f>
        <v>0</v>
      </c>
      <c r="H33" s="60" t="n">
        <f aca="false">IF(G33=P33, 1, 0)</f>
        <v>1</v>
      </c>
      <c r="I33" s="66" t="n">
        <f aca="false">I32-$K$4*T32</f>
        <v>0.263608817955363</v>
      </c>
      <c r="J33" s="66" t="n">
        <f aca="false">J32-$K$4*U32</f>
        <v>-0.469725429550464</v>
      </c>
      <c r="K33" s="66" t="n">
        <f aca="false">K32-$K$4*V32</f>
        <v>-0.320735078154572</v>
      </c>
      <c r="L33" s="66" t="n">
        <f aca="false">L32-$K$4*W32</f>
        <v>0.598657009178281</v>
      </c>
      <c r="M33" s="66" t="n">
        <f aca="false">M32-$K$4*X32</f>
        <v>0.61075766337145</v>
      </c>
      <c r="N33" s="62" t="n">
        <f aca="false">I33+J33*C33+K33*D33+L33*E33+F33*M33</f>
        <v>-2.27078142237983</v>
      </c>
      <c r="O33" s="62" t="n">
        <f aca="false">1/(1+EXP(-N33))</f>
        <v>0.0935719138999728</v>
      </c>
      <c r="P33" s="63" t="n">
        <f aca="false">IF(O33&gt;0.5,1,0)</f>
        <v>0</v>
      </c>
      <c r="Q33" s="63" t="n">
        <f aca="false">O33-G33</f>
        <v>0.0935719138999728</v>
      </c>
      <c r="R33" s="64" t="n">
        <f aca="false">Q33^2</f>
        <v>0.00875570307090393</v>
      </c>
      <c r="T33" s="33" t="n">
        <f aca="false">2*(O33-G33)*(1-O33)*O33</f>
        <v>0.0158728303540392</v>
      </c>
      <c r="U33" s="33" t="n">
        <f aca="false">2*(O33-G33)*(1-O33)*O33*C33</f>
        <v>0.0809514348055997</v>
      </c>
      <c r="V33" s="33" t="n">
        <f aca="false">2*(O33-G33)*(1-O33)*O33*D33</f>
        <v>0.0603167553453488</v>
      </c>
      <c r="W33" s="33" t="n">
        <f aca="false">2*(O33-G33)*(1-O33)*O33*E33</f>
        <v>0.0253965285664627</v>
      </c>
      <c r="X33" s="33" t="n">
        <f aca="false">2*(O33-G33)*(1-O33)*O33*F33</f>
        <v>0.00317456607080783</v>
      </c>
    </row>
    <row r="34" customFormat="false" ht="14.25" hidden="false" customHeight="true" outlineLevel="0" collapsed="false">
      <c r="A34" s="56"/>
      <c r="B34" s="65" t="n">
        <v>8</v>
      </c>
      <c r="C34" s="58" t="n">
        <f aca="false" t="array" ref="C34:C34">IF($B34&lt;=10, INDEX(Data!$A:$A,40+$B34), INDEX(Data!$A:$A,80+$B34))</f>
        <v>4.6</v>
      </c>
      <c r="D34" s="59" t="n">
        <f aca="false" t="array" ref="D34:D34">IF($B34&lt;=10, INDEX(Data!$B:$B,40+$B34), INDEX(Data!$B:$B,80+$B34))</f>
        <v>3.2</v>
      </c>
      <c r="E34" s="59" t="n">
        <f aca="false" t="array" ref="E34:E34">IF($B34&lt;=10, INDEX(Data!$C:$C,40+$B34), INDEX(Data!$C:$C,80+$B34))</f>
        <v>1.4</v>
      </c>
      <c r="F34" s="59" t="n">
        <f aca="false" t="array" ref="F34:F34">IF($B34&lt;=10, INDEX(Data!$D:$D,40+$B34), INDEX(Data!$D:$D,80+$B34))</f>
        <v>0.2</v>
      </c>
      <c r="G34" s="59" t="n">
        <f aca="false" t="array" ref="G34:G34">IF(INDEX(Data!$E:$E,IF($B34&lt;=10,40+$B34,80+$B34))="Iris-setosa",0,1)</f>
        <v>0</v>
      </c>
      <c r="H34" s="60" t="n">
        <f aca="false">IF(G34=P34, 1, 0)</f>
        <v>1</v>
      </c>
      <c r="I34" s="66" t="n">
        <f aca="false">I33-$K$4*T33</f>
        <v>0.262021534919959</v>
      </c>
      <c r="J34" s="66" t="n">
        <f aca="false">J33-$K$4*U33</f>
        <v>-0.477820573031024</v>
      </c>
      <c r="K34" s="66" t="n">
        <f aca="false">K33-$K$4*V33</f>
        <v>-0.326766753689107</v>
      </c>
      <c r="L34" s="66" t="n">
        <f aca="false">L33-$K$4*W33</f>
        <v>0.596117356321635</v>
      </c>
      <c r="M34" s="66" t="n">
        <f aca="false">M33-$K$4*X33</f>
        <v>0.610440206764369</v>
      </c>
      <c r="N34" s="62" t="n">
        <f aca="false">I34+J34*C34+K34*D34+L34*E34+F34*M34</f>
        <v>-2.02495437262473</v>
      </c>
      <c r="O34" s="62" t="n">
        <f aca="false">1/(1+EXP(-N34))</f>
        <v>0.116607669169478</v>
      </c>
      <c r="P34" s="63" t="n">
        <f aca="false">IF(O34&gt;0.5,1,0)</f>
        <v>0</v>
      </c>
      <c r="Q34" s="63" t="n">
        <f aca="false">O34-G34</f>
        <v>0.116607669169478</v>
      </c>
      <c r="R34" s="64" t="n">
        <f aca="false">Q34^2</f>
        <v>0.0135973485091384</v>
      </c>
      <c r="T34" s="33" t="n">
        <f aca="false">2*(O34-G34)*(1-O34)*O34</f>
        <v>0.0240235867852055</v>
      </c>
      <c r="U34" s="33" t="n">
        <f aca="false">2*(O34-G34)*(1-O34)*O34*C34</f>
        <v>0.110508499211945</v>
      </c>
      <c r="V34" s="33" t="n">
        <f aca="false">2*(O34-G34)*(1-O34)*O34*D34</f>
        <v>0.0768754777126575</v>
      </c>
      <c r="W34" s="33" t="n">
        <f aca="false">2*(O34-G34)*(1-O34)*O34*E34</f>
        <v>0.0336330214992876</v>
      </c>
      <c r="X34" s="33" t="n">
        <f aca="false">2*(O34-G34)*(1-O34)*O34*F34</f>
        <v>0.00480471735704109</v>
      </c>
    </row>
    <row r="35" customFormat="false" ht="14.25" hidden="false" customHeight="true" outlineLevel="0" collapsed="false">
      <c r="A35" s="56"/>
      <c r="B35" s="57" t="n">
        <v>9</v>
      </c>
      <c r="C35" s="58" t="n">
        <f aca="false" t="array" ref="C35:C35">IF($B35&lt;=10, INDEX(Data!$A:$A,40+$B35), INDEX(Data!$A:$A,80+$B35))</f>
        <v>5.3</v>
      </c>
      <c r="D35" s="59" t="n">
        <f aca="false" t="array" ref="D35:D35">IF($B35&lt;=10, INDEX(Data!$B:$B,40+$B35), INDEX(Data!$B:$B,80+$B35))</f>
        <v>3.7</v>
      </c>
      <c r="E35" s="59" t="n">
        <f aca="false" t="array" ref="E35:E35">IF($B35&lt;=10, INDEX(Data!$C:$C,40+$B35), INDEX(Data!$C:$C,80+$B35))</f>
        <v>1.5</v>
      </c>
      <c r="F35" s="59" t="n">
        <f aca="false" t="array" ref="F35:F35">IF($B35&lt;=10, INDEX(Data!$D:$D,40+$B35), INDEX(Data!$D:$D,80+$B35))</f>
        <v>0.2</v>
      </c>
      <c r="G35" s="59" t="n">
        <f aca="false" t="array" ref="G35:G35">IF(INDEX(Data!$E:$E,IF($B35&lt;=10,40+$B35,80+$B35))="Iris-setosa",0,1)</f>
        <v>0</v>
      </c>
      <c r="H35" s="60" t="n">
        <f aca="false">IF(G35=P35, 1, 0)</f>
        <v>1</v>
      </c>
      <c r="I35" s="66" t="n">
        <f aca="false">I34-$K$4*T34</f>
        <v>0.259619176241439</v>
      </c>
      <c r="J35" s="66" t="n">
        <f aca="false">J34-$K$4*U34</f>
        <v>-0.488871422952218</v>
      </c>
      <c r="K35" s="66" t="n">
        <f aca="false">K34-$K$4*V34</f>
        <v>-0.334454301460373</v>
      </c>
      <c r="L35" s="66" t="n">
        <f aca="false">L34-$K$4*W34</f>
        <v>0.592754054171706</v>
      </c>
      <c r="M35" s="66" t="n">
        <f aca="false">M34-$K$4*X34</f>
        <v>0.609959735028665</v>
      </c>
      <c r="N35" s="62" t="n">
        <f aca="false">I35+J35*C35+K35*D35+L35*E35+F35*M35</f>
        <v>-2.5577572525454</v>
      </c>
      <c r="O35" s="62" t="n">
        <f aca="false">1/(1+EXP(-N35))</f>
        <v>0.0719070716287161</v>
      </c>
      <c r="P35" s="63" t="n">
        <f aca="false">IF(O35&gt;0.5,1,0)</f>
        <v>0</v>
      </c>
      <c r="Q35" s="63" t="n">
        <f aca="false">O35-G35</f>
        <v>0.0719070716287161</v>
      </c>
      <c r="R35" s="64" t="n">
        <f aca="false">Q35^2</f>
        <v>0.00517062695021731</v>
      </c>
      <c r="T35" s="33" t="n">
        <f aca="false">2*(O35-G35)*(1-O35)*O35</f>
        <v>0.00959764461548533</v>
      </c>
      <c r="U35" s="33" t="n">
        <f aca="false">2*(O35-G35)*(1-O35)*O35*C35</f>
        <v>0.0508675164620723</v>
      </c>
      <c r="V35" s="33" t="n">
        <f aca="false">2*(O35-G35)*(1-O35)*O35*D35</f>
        <v>0.0355112850772957</v>
      </c>
      <c r="W35" s="33" t="n">
        <f aca="false">2*(O35-G35)*(1-O35)*O35*E35</f>
        <v>0.014396466923228</v>
      </c>
      <c r="X35" s="33" t="n">
        <f aca="false">2*(O35-G35)*(1-O35)*O35*F35</f>
        <v>0.00191952892309707</v>
      </c>
    </row>
    <row r="36" customFormat="false" ht="14.25" hidden="false" customHeight="true" outlineLevel="0" collapsed="false">
      <c r="A36" s="56"/>
      <c r="B36" s="65" t="n">
        <v>10</v>
      </c>
      <c r="C36" s="58" t="n">
        <f aca="false" t="array" ref="C36:C36">IF($B36&lt;=10, INDEX(Data!$A:$A,40+$B36), INDEX(Data!$A:$A,80+$B36))</f>
        <v>5</v>
      </c>
      <c r="D36" s="59" t="n">
        <f aca="false" t="array" ref="D36:D36">IF($B36&lt;=10, INDEX(Data!$B:$B,40+$B36), INDEX(Data!$B:$B,80+$B36))</f>
        <v>3.3</v>
      </c>
      <c r="E36" s="59" t="n">
        <f aca="false" t="array" ref="E36:E36">IF($B36&lt;=10, INDEX(Data!$C:$C,40+$B36), INDEX(Data!$C:$C,80+$B36))</f>
        <v>1.4</v>
      </c>
      <c r="F36" s="59" t="n">
        <f aca="false" t="array" ref="F36:F36">IF($B36&lt;=10, INDEX(Data!$D:$D,40+$B36), INDEX(Data!$D:$D,80+$B36))</f>
        <v>0.2</v>
      </c>
      <c r="G36" s="59" t="n">
        <f aca="false" t="array" ref="G36:G36">IF(INDEX(Data!$E:$E,IF($B36&lt;=10,40+$B36,80+$B36))="Iris-setosa",0,1)</f>
        <v>0</v>
      </c>
      <c r="H36" s="60" t="n">
        <f aca="false">IF(G36=P36, 1, 0)</f>
        <v>1</v>
      </c>
      <c r="I36" s="66" t="n">
        <f aca="false">I35-$K$4*T35</f>
        <v>0.25865941177989</v>
      </c>
      <c r="J36" s="66" t="n">
        <f aca="false">J35-$K$4*U35</f>
        <v>-0.493958174598425</v>
      </c>
      <c r="K36" s="66" t="n">
        <f aca="false">K35-$K$4*V35</f>
        <v>-0.338005429968102</v>
      </c>
      <c r="L36" s="66" t="n">
        <f aca="false">L35-$K$4*W35</f>
        <v>0.591314407479384</v>
      </c>
      <c r="M36" s="66" t="n">
        <f aca="false">M35-$K$4*X35</f>
        <v>0.609767782136355</v>
      </c>
      <c r="N36" s="62" t="n">
        <f aca="false">I36+J36*C36+K36*D36+L36*E36+F36*M36</f>
        <v>-2.37675565320857</v>
      </c>
      <c r="O36" s="62" t="n">
        <f aca="false">1/(1+EXP(-N36))</f>
        <v>0.0849624542991265</v>
      </c>
      <c r="P36" s="63" t="n">
        <f aca="false">IF(O36&gt;0.5,1,0)</f>
        <v>0</v>
      </c>
      <c r="Q36" s="63" t="n">
        <f aca="false">O36-G36</f>
        <v>0.0849624542991265</v>
      </c>
      <c r="R36" s="64" t="n">
        <f aca="false">Q36^2</f>
        <v>0.00721861864053115</v>
      </c>
      <c r="T36" s="33" t="n">
        <f aca="false">2*(O36-G36)*(1-O36)*O36</f>
        <v>0.0132106141683644</v>
      </c>
      <c r="U36" s="33" t="n">
        <f aca="false">2*(O36-G36)*(1-O36)*O36*C36</f>
        <v>0.066053070841822</v>
      </c>
      <c r="V36" s="33" t="n">
        <f aca="false">2*(O36-G36)*(1-O36)*O36*D36</f>
        <v>0.0435950267556025</v>
      </c>
      <c r="W36" s="33" t="n">
        <f aca="false">2*(O36-G36)*(1-O36)*O36*E36</f>
        <v>0.0184948598357102</v>
      </c>
      <c r="X36" s="33" t="n">
        <f aca="false">2*(O36-G36)*(1-O36)*O36*F36</f>
        <v>0.00264212283367288</v>
      </c>
    </row>
    <row r="37" customFormat="false" ht="14.25" hidden="false" customHeight="true" outlineLevel="0" collapsed="false">
      <c r="A37" s="56"/>
      <c r="B37" s="57" t="n">
        <v>11</v>
      </c>
      <c r="C37" s="58" t="n">
        <f aca="false" t="array" ref="C37:C37">IF($B37&lt;=10, INDEX(Data!$A:$A,40+$B37), INDEX(Data!$A:$A,80+$B37))</f>
        <v>5.5</v>
      </c>
      <c r="D37" s="59" t="n">
        <f aca="false" t="array" ref="D37:D37">IF($B37&lt;=10, INDEX(Data!$B:$B,40+$B37), INDEX(Data!$B:$B,80+$B37))</f>
        <v>2.6</v>
      </c>
      <c r="E37" s="59" t="n">
        <f aca="false" t="array" ref="E37:E37">IF($B37&lt;=10, INDEX(Data!$C:$C,40+$B37), INDEX(Data!$C:$C,80+$B37))</f>
        <v>4.4</v>
      </c>
      <c r="F37" s="59" t="n">
        <f aca="false" t="array" ref="F37:F37">IF($B37&lt;=10, INDEX(Data!$D:$D,40+$B37), INDEX(Data!$D:$D,80+$B37))</f>
        <v>1.2</v>
      </c>
      <c r="G37" s="59" t="n">
        <f aca="false" t="array" ref="G37:G37">IF(INDEX(Data!$E:$E,IF($B37&lt;=10,40+$B37,80+$B37))="Iris-setosa",0,1)</f>
        <v>1</v>
      </c>
      <c r="H37" s="60" t="n">
        <f aca="false">IF(G37=P37, 1, 0)</f>
        <v>0</v>
      </c>
      <c r="I37" s="66" t="n">
        <f aca="false">I36-$K$4*T36</f>
        <v>0.257338350363054</v>
      </c>
      <c r="J37" s="66" t="n">
        <f aca="false">J36-$K$4*U36</f>
        <v>-0.500563481682607</v>
      </c>
      <c r="K37" s="66" t="n">
        <f aca="false">K36-$K$4*V36</f>
        <v>-0.342364932643662</v>
      </c>
      <c r="L37" s="66" t="n">
        <f aca="false">L36-$K$4*W36</f>
        <v>0.589464921495813</v>
      </c>
      <c r="M37" s="66" t="n">
        <f aca="false">M36-$K$4*X36</f>
        <v>0.609503569852988</v>
      </c>
      <c r="N37" s="62" t="n">
        <f aca="false">I37+J37*C37+K37*D37+L37*E37+F37*M37</f>
        <v>-0.0608596853596495</v>
      </c>
      <c r="O37" s="62" t="n">
        <f aca="false">1/(1+EXP(-N37))</f>
        <v>0.484789773135222</v>
      </c>
      <c r="P37" s="63" t="n">
        <f aca="false">IF(O37&gt;0.5,1,0)</f>
        <v>0</v>
      </c>
      <c r="Q37" s="63" t="n">
        <f aca="false">O37-G37</f>
        <v>-0.515210226864779</v>
      </c>
      <c r="R37" s="64" t="n">
        <f aca="false">Q37^2</f>
        <v>0.265441577866057</v>
      </c>
      <c r="T37" s="33" t="n">
        <f aca="false">2*(O37-G37)*(1-O37)*O37</f>
        <v>-0.257366724628682</v>
      </c>
      <c r="U37" s="33" t="n">
        <f aca="false">2*(O37-G37)*(1-O37)*O37*C37</f>
        <v>-1.41551698545775</v>
      </c>
      <c r="V37" s="33" t="n">
        <f aca="false">2*(O37-G37)*(1-O37)*O37*D37</f>
        <v>-0.669153484034572</v>
      </c>
      <c r="W37" s="33" t="n">
        <f aca="false">2*(O37-G37)*(1-O37)*O37*E37</f>
        <v>-1.1324135883662</v>
      </c>
      <c r="X37" s="33" t="n">
        <f aca="false">2*(O37-G37)*(1-O37)*O37*F37</f>
        <v>-0.308840069554418</v>
      </c>
    </row>
    <row r="38" customFormat="false" ht="14.25" hidden="false" customHeight="true" outlineLevel="0" collapsed="false">
      <c r="A38" s="56"/>
      <c r="B38" s="65" t="n">
        <v>12</v>
      </c>
      <c r="C38" s="58" t="n">
        <f aca="false" t="array" ref="C38:C38">IF($B38&lt;=10, INDEX(Data!$A:$A,40+$B38), INDEX(Data!$A:$A,80+$B38))</f>
        <v>6.1</v>
      </c>
      <c r="D38" s="59" t="n">
        <f aca="false" t="array" ref="D38:D38">IF($B38&lt;=10, INDEX(Data!$B:$B,40+$B38), INDEX(Data!$B:$B,80+$B38))</f>
        <v>3</v>
      </c>
      <c r="E38" s="59" t="n">
        <f aca="false" t="array" ref="E38:E38">IF($B38&lt;=10, INDEX(Data!$C:$C,40+$B38), INDEX(Data!$C:$C,80+$B38))</f>
        <v>4.6</v>
      </c>
      <c r="F38" s="59" t="n">
        <f aca="false" t="array" ref="F38:F38">IF($B38&lt;=10, INDEX(Data!$D:$D,40+$B38), INDEX(Data!$D:$D,80+$B38))</f>
        <v>1.4</v>
      </c>
      <c r="G38" s="59" t="n">
        <f aca="false" t="array" ref="G38:G38">IF(INDEX(Data!$E:$E,IF($B38&lt;=10,40+$B38,80+$B38))="Iris-setosa",0,1)</f>
        <v>1</v>
      </c>
      <c r="H38" s="60" t="n">
        <f aca="false">IF(G38=P38, 1, 0)</f>
        <v>1</v>
      </c>
      <c r="I38" s="66" t="n">
        <f aca="false">I37-$K$4*T37</f>
        <v>0.283075022825922</v>
      </c>
      <c r="J38" s="66" t="n">
        <f aca="false">J37-$K$4*U37</f>
        <v>-0.359011783136833</v>
      </c>
      <c r="K38" s="66" t="n">
        <f aca="false">K37-$K$4*V37</f>
        <v>-0.275449584240205</v>
      </c>
      <c r="L38" s="66" t="n">
        <f aca="false">L37-$K$4*W37</f>
        <v>0.702706280332432</v>
      </c>
      <c r="M38" s="66" t="n">
        <f aca="false">M37-$K$4*X37</f>
        <v>0.64038757680843</v>
      </c>
      <c r="N38" s="62" t="n">
        <f aca="false">I38+J38*C38+K38*D38+L38*E38+F38*M38</f>
        <v>1.39574589003162</v>
      </c>
      <c r="O38" s="62" t="n">
        <f aca="false">1/(1+EXP(-N38))</f>
        <v>0.801507957648635</v>
      </c>
      <c r="P38" s="63" t="n">
        <f aca="false">IF(O38&gt;0.5,1,0)</f>
        <v>1</v>
      </c>
      <c r="Q38" s="63" t="n">
        <f aca="false">O38-G38</f>
        <v>-0.198492042351365</v>
      </c>
      <c r="R38" s="64" t="n">
        <f aca="false">Q38^2</f>
        <v>0.039399090876816</v>
      </c>
      <c r="T38" s="33" t="n">
        <f aca="false">2*(O38-G38)*(1-O38)*O38</f>
        <v>-0.0631573697237796</v>
      </c>
      <c r="U38" s="33" t="n">
        <f aca="false">2*(O38-G38)*(1-O38)*O38*C38</f>
        <v>-0.385259955315055</v>
      </c>
      <c r="V38" s="33" t="n">
        <f aca="false">2*(O38-G38)*(1-O38)*O38*D38</f>
        <v>-0.189472109171339</v>
      </c>
      <c r="W38" s="33" t="n">
        <f aca="false">2*(O38-G38)*(1-O38)*O38*E38</f>
        <v>-0.290523900729386</v>
      </c>
      <c r="X38" s="33" t="n">
        <f aca="false">2*(O38-G38)*(1-O38)*O38*F38</f>
        <v>-0.0884203176132914</v>
      </c>
    </row>
    <row r="39" customFormat="false" ht="14.25" hidden="false" customHeight="true" outlineLevel="0" collapsed="false">
      <c r="A39" s="56"/>
      <c r="B39" s="57" t="n">
        <v>13</v>
      </c>
      <c r="C39" s="58" t="n">
        <f aca="false" t="array" ref="C39:C39">IF($B39&lt;=10, INDEX(Data!$A:$A,40+$B39), INDEX(Data!$A:$A,80+$B39))</f>
        <v>5.8</v>
      </c>
      <c r="D39" s="59" t="n">
        <f aca="false" t="array" ref="D39:D39">IF($B39&lt;=10, INDEX(Data!$B:$B,40+$B39), INDEX(Data!$B:$B,80+$B39))</f>
        <v>2.6</v>
      </c>
      <c r="E39" s="59" t="n">
        <f aca="false" t="array" ref="E39:E39">IF($B39&lt;=10, INDEX(Data!$C:$C,40+$B39), INDEX(Data!$C:$C,80+$B39))</f>
        <v>4</v>
      </c>
      <c r="F39" s="59" t="n">
        <f aca="false" t="array" ref="F39:F39">IF($B39&lt;=10, INDEX(Data!$D:$D,40+$B39), INDEX(Data!$D:$D,80+$B39))</f>
        <v>1.2</v>
      </c>
      <c r="G39" s="59" t="n">
        <f aca="false" t="array" ref="G39:G39">IF(INDEX(Data!$E:$E,IF($B39&lt;=10,40+$B39,80+$B39))="Iris-setosa",0,1)</f>
        <v>1</v>
      </c>
      <c r="H39" s="60" t="n">
        <f aca="false">IF(G39=P39, 1, 0)</f>
        <v>1</v>
      </c>
      <c r="I39" s="66" t="n">
        <f aca="false">I38-$K$4*T38</f>
        <v>0.2893907597983</v>
      </c>
      <c r="J39" s="66" t="n">
        <f aca="false">J38-$K$4*U38</f>
        <v>-0.320485787605327</v>
      </c>
      <c r="K39" s="66" t="n">
        <f aca="false">K38-$K$4*V38</f>
        <v>-0.256502373323071</v>
      </c>
      <c r="L39" s="66" t="n">
        <f aca="false">L38-$K$4*W38</f>
        <v>0.731758670405371</v>
      </c>
      <c r="M39" s="66" t="n">
        <f aca="false">M38-$K$4*X38</f>
        <v>0.649229608569759</v>
      </c>
      <c r="N39" s="62" t="n">
        <f aca="false">I39+J39*C39+K39*D39+L39*E39+F39*M39</f>
        <v>1.46977723295261</v>
      </c>
      <c r="O39" s="62" t="n">
        <f aca="false">1/(1+EXP(-N39))</f>
        <v>0.813023524176965</v>
      </c>
      <c r="P39" s="63" t="n">
        <f aca="false">IF(O39&gt;0.5,1,0)</f>
        <v>1</v>
      </c>
      <c r="Q39" s="63" t="n">
        <f aca="false">O39-G39</f>
        <v>-0.186976475823035</v>
      </c>
      <c r="R39" s="64" t="n">
        <f aca="false">Q39^2</f>
        <v>0.0349602025112019</v>
      </c>
      <c r="T39" s="33" t="n">
        <f aca="false">2*(O39-G39)*(1-O39)*O39</f>
        <v>-0.0568469341031955</v>
      </c>
      <c r="U39" s="33" t="n">
        <f aca="false">2*(O39-G39)*(1-O39)*O39*C39</f>
        <v>-0.329712217798534</v>
      </c>
      <c r="V39" s="33" t="n">
        <f aca="false">2*(O39-G39)*(1-O39)*O39*D39</f>
        <v>-0.147802028668308</v>
      </c>
      <c r="W39" s="33" t="n">
        <f aca="false">2*(O39-G39)*(1-O39)*O39*E39</f>
        <v>-0.227387736412782</v>
      </c>
      <c r="X39" s="33" t="n">
        <f aca="false">2*(O39-G39)*(1-O39)*O39*F39</f>
        <v>-0.0682163209238346</v>
      </c>
    </row>
    <row r="40" customFormat="false" ht="14.25" hidden="false" customHeight="true" outlineLevel="0" collapsed="false">
      <c r="A40" s="56"/>
      <c r="B40" s="65" t="n">
        <v>14</v>
      </c>
      <c r="C40" s="58" t="n">
        <f aca="false" t="array" ref="C40:C40">IF($B40&lt;=10, INDEX(Data!$A:$A,40+$B40), INDEX(Data!$A:$A,80+$B40))</f>
        <v>5</v>
      </c>
      <c r="D40" s="59" t="n">
        <f aca="false" t="array" ref="D40:D40">IF($B40&lt;=10, INDEX(Data!$B:$B,40+$B40), INDEX(Data!$B:$B,80+$B40))</f>
        <v>2.3</v>
      </c>
      <c r="E40" s="59" t="n">
        <f aca="false" t="array" ref="E40:E40">IF($B40&lt;=10, INDEX(Data!$C:$C,40+$B40), INDEX(Data!$C:$C,80+$B40))</f>
        <v>3.3</v>
      </c>
      <c r="F40" s="59" t="n">
        <f aca="false" t="array" ref="F40:F40">IF($B40&lt;=10, INDEX(Data!$D:$D,40+$B40), INDEX(Data!$D:$D,80+$B40))</f>
        <v>1</v>
      </c>
      <c r="G40" s="59" t="n">
        <f aca="false" t="array" ref="G40:G40">IF(INDEX(Data!$E:$E,IF($B40&lt;=10,40+$B40,80+$B40))="Iris-setosa",0,1)</f>
        <v>1</v>
      </c>
      <c r="H40" s="60" t="n">
        <f aca="false">IF(G40=P40, 1, 0)</f>
        <v>1</v>
      </c>
      <c r="I40" s="66" t="n">
        <f aca="false">I39-$K$4*T39</f>
        <v>0.295075453208619</v>
      </c>
      <c r="J40" s="66" t="n">
        <f aca="false">J39-$K$4*U39</f>
        <v>-0.287514565825474</v>
      </c>
      <c r="K40" s="66" t="n">
        <f aca="false">K39-$K$4*V39</f>
        <v>-0.24172217045624</v>
      </c>
      <c r="L40" s="66" t="n">
        <f aca="false">L39-$K$4*W39</f>
        <v>0.754497444046649</v>
      </c>
      <c r="M40" s="66" t="n">
        <f aca="false">M39-$K$4*X39</f>
        <v>0.656051240662142</v>
      </c>
      <c r="N40" s="62" t="n">
        <f aca="false">I40+J40*C40+K40*D40+L40*E40+F40*M40</f>
        <v>1.44743443804798</v>
      </c>
      <c r="O40" s="62" t="n">
        <f aca="false">1/(1+EXP(-N40))</f>
        <v>0.809603277450076</v>
      </c>
      <c r="P40" s="63" t="n">
        <f aca="false">IF(O40&gt;0.5,1,0)</f>
        <v>1</v>
      </c>
      <c r="Q40" s="63" t="n">
        <f aca="false">O40-G40</f>
        <v>-0.190396722549924</v>
      </c>
      <c r="R40" s="64" t="n">
        <f aca="false">Q40^2</f>
        <v>0.0362509119577528</v>
      </c>
      <c r="T40" s="33" t="n">
        <f aca="false">2*(O40-G40)*(1-O40)*O40</f>
        <v>-0.0586977142631017</v>
      </c>
      <c r="U40" s="33" t="n">
        <f aca="false">2*(O40-G40)*(1-O40)*O40*C40</f>
        <v>-0.293488571315508</v>
      </c>
      <c r="V40" s="33" t="n">
        <f aca="false">2*(O40-G40)*(1-O40)*O40*D40</f>
        <v>-0.135004742805134</v>
      </c>
      <c r="W40" s="33" t="n">
        <f aca="false">2*(O40-G40)*(1-O40)*O40*E40</f>
        <v>-0.193702457068235</v>
      </c>
      <c r="X40" s="33" t="n">
        <f aca="false">2*(O40-G40)*(1-O40)*O40*F40</f>
        <v>-0.0586977142631017</v>
      </c>
    </row>
    <row r="41" customFormat="false" ht="14.25" hidden="false" customHeight="true" outlineLevel="0" collapsed="false">
      <c r="A41" s="56"/>
      <c r="B41" s="57" t="n">
        <v>15</v>
      </c>
      <c r="C41" s="58" t="n">
        <f aca="false" t="array" ref="C41:C41">IF($B41&lt;=10, INDEX(Data!$A:$A,40+$B41), INDEX(Data!$A:$A,80+$B41))</f>
        <v>5.6</v>
      </c>
      <c r="D41" s="59" t="n">
        <f aca="false" t="array" ref="D41:D41">IF($B41&lt;=10, INDEX(Data!$B:$B,40+$B41), INDEX(Data!$B:$B,80+$B41))</f>
        <v>2.7</v>
      </c>
      <c r="E41" s="59" t="n">
        <f aca="false" t="array" ref="E41:E41">IF($B41&lt;=10, INDEX(Data!$C:$C,40+$B41), INDEX(Data!$C:$C,80+$B41))</f>
        <v>4.2</v>
      </c>
      <c r="F41" s="59" t="n">
        <f aca="false" t="array" ref="F41:F41">IF($B41&lt;=10, INDEX(Data!$D:$D,40+$B41), INDEX(Data!$D:$D,80+$B41))</f>
        <v>1.3</v>
      </c>
      <c r="G41" s="59" t="n">
        <f aca="false" t="array" ref="G41:G41">IF(INDEX(Data!$E:$E,IF($B41&lt;=10,40+$B41,80+$B41))="Iris-setosa",0,1)</f>
        <v>1</v>
      </c>
      <c r="H41" s="60" t="n">
        <f aca="false">IF(G41=P41, 1, 0)</f>
        <v>1</v>
      </c>
      <c r="I41" s="66" t="n">
        <f aca="false">I40-$K$4*T40</f>
        <v>0.300945224634929</v>
      </c>
      <c r="J41" s="66" t="n">
        <f aca="false">J40-$K$4*U40</f>
        <v>-0.258165708693923</v>
      </c>
      <c r="K41" s="66" t="n">
        <f aca="false">K40-$K$4*V40</f>
        <v>-0.228221696175727</v>
      </c>
      <c r="L41" s="66" t="n">
        <f aca="false">L40-$K$4*W40</f>
        <v>0.773867689753473</v>
      </c>
      <c r="M41" s="66" t="n">
        <f aca="false">M40-$K$4*X40</f>
        <v>0.661921012088452</v>
      </c>
      <c r="N41" s="62" t="n">
        <f aca="false">I41+J41*C41+K41*D41+L41*E41+F41*M41</f>
        <v>2.34976028895407</v>
      </c>
      <c r="O41" s="62" t="n">
        <f aca="false">1/(1+EXP(-N41))</f>
        <v>0.912915172163541</v>
      </c>
      <c r="P41" s="63" t="n">
        <f aca="false">IF(O41&gt;0.5,1,0)</f>
        <v>1</v>
      </c>
      <c r="Q41" s="63" t="n">
        <f aca="false">O41-G41</f>
        <v>-0.0870848278364588</v>
      </c>
      <c r="R41" s="64" t="n">
        <f aca="false">Q41^2</f>
        <v>0.00758376723930566</v>
      </c>
      <c r="T41" s="33" t="n">
        <f aca="false">2*(O41-G41)*(1-O41)*O41</f>
        <v>-0.0138466723498379</v>
      </c>
      <c r="U41" s="33" t="n">
        <f aca="false">2*(O41-G41)*(1-O41)*O41*C41</f>
        <v>-0.0775413651590923</v>
      </c>
      <c r="V41" s="33" t="n">
        <f aca="false">2*(O41-G41)*(1-O41)*O41*D41</f>
        <v>-0.0373860153445624</v>
      </c>
      <c r="W41" s="33" t="n">
        <f aca="false">2*(O41-G41)*(1-O41)*O41*E41</f>
        <v>-0.0581560238693192</v>
      </c>
      <c r="X41" s="33" t="n">
        <f aca="false">2*(O41-G41)*(1-O41)*O41*F41</f>
        <v>-0.0180006740547893</v>
      </c>
    </row>
    <row r="42" customFormat="false" ht="14.25" hidden="false" customHeight="true" outlineLevel="0" collapsed="false">
      <c r="A42" s="56"/>
      <c r="B42" s="65" t="n">
        <v>16</v>
      </c>
      <c r="C42" s="58" t="n">
        <f aca="false" t="array" ref="C42:C42">IF($B42&lt;=10, INDEX(Data!$A:$A,40+$B42), INDEX(Data!$A:$A,80+$B42))</f>
        <v>5.7</v>
      </c>
      <c r="D42" s="59" t="n">
        <f aca="false" t="array" ref="D42:D42">IF($B42&lt;=10, INDEX(Data!$B:$B,40+$B42), INDEX(Data!$B:$B,80+$B42))</f>
        <v>3</v>
      </c>
      <c r="E42" s="59" t="n">
        <f aca="false" t="array" ref="E42:E42">IF($B42&lt;=10, INDEX(Data!$C:$C,40+$B42), INDEX(Data!$C:$C,80+$B42))</f>
        <v>4.2</v>
      </c>
      <c r="F42" s="59" t="n">
        <f aca="false" t="array" ref="F42:F42">IF($B42&lt;=10, INDEX(Data!$D:$D,40+$B42), INDEX(Data!$D:$D,80+$B42))</f>
        <v>1.2</v>
      </c>
      <c r="G42" s="59" t="n">
        <f aca="false" t="array" ref="G42:G42">IF(INDEX(Data!$E:$E,IF($B42&lt;=10,40+$B42,80+$B42))="Iris-setosa",0,1)</f>
        <v>1</v>
      </c>
      <c r="H42" s="60" t="n">
        <f aca="false">IF(G42=P42, 1, 0)</f>
        <v>1</v>
      </c>
      <c r="I42" s="66" t="n">
        <f aca="false">I41-$K$4*T41</f>
        <v>0.302329891869913</v>
      </c>
      <c r="J42" s="66" t="n">
        <f aca="false">J41-$K$4*U41</f>
        <v>-0.250411572178014</v>
      </c>
      <c r="K42" s="66" t="n">
        <f aca="false">K41-$K$4*V41</f>
        <v>-0.224483094641271</v>
      </c>
      <c r="L42" s="66" t="n">
        <f aca="false">L41-$K$4*W41</f>
        <v>0.779683292140405</v>
      </c>
      <c r="M42" s="66" t="n">
        <f aca="false">M41-$K$4*X41</f>
        <v>0.663721079493931</v>
      </c>
      <c r="N42" s="62" t="n">
        <f aca="false">I42+J42*C42+K42*D42+L42*E42+F42*M42</f>
        <v>2.27266976891384</v>
      </c>
      <c r="O42" s="62" t="n">
        <f aca="false">1/(1+EXP(-N42))</f>
        <v>0.906588125623553</v>
      </c>
      <c r="P42" s="63" t="n">
        <f aca="false">IF(O42&gt;0.5,1,0)</f>
        <v>1</v>
      </c>
      <c r="Q42" s="63" t="n">
        <f aca="false">O42-G42</f>
        <v>-0.0934118743764468</v>
      </c>
      <c r="R42" s="64" t="n">
        <f aca="false">Q42^2</f>
        <v>0.00872577827452108</v>
      </c>
      <c r="T42" s="33" t="n">
        <f aca="false">2*(O42-G42)*(1-O42)*O42</f>
        <v>-0.0158213739410096</v>
      </c>
      <c r="U42" s="33" t="n">
        <f aca="false">2*(O42-G42)*(1-O42)*O42*C42</f>
        <v>-0.0901818314637546</v>
      </c>
      <c r="V42" s="33" t="n">
        <f aca="false">2*(O42-G42)*(1-O42)*O42*D42</f>
        <v>-0.0474641218230288</v>
      </c>
      <c r="W42" s="33" t="n">
        <f aca="false">2*(O42-G42)*(1-O42)*O42*E42</f>
        <v>-0.0664497705522402</v>
      </c>
      <c r="X42" s="33" t="n">
        <f aca="false">2*(O42-G42)*(1-O42)*O42*F42</f>
        <v>-0.0189856487292115</v>
      </c>
    </row>
    <row r="43" customFormat="false" ht="14.25" hidden="false" customHeight="true" outlineLevel="0" collapsed="false">
      <c r="A43" s="56"/>
      <c r="B43" s="57" t="n">
        <v>17</v>
      </c>
      <c r="C43" s="58" t="n">
        <f aca="false" t="array" ref="C43:C43">IF($B43&lt;=10, INDEX(Data!$A:$A,40+$B43), INDEX(Data!$A:$A,80+$B43))</f>
        <v>5.7</v>
      </c>
      <c r="D43" s="59" t="n">
        <f aca="false" t="array" ref="D43:D43">IF($B43&lt;=10, INDEX(Data!$B:$B,40+$B43), INDEX(Data!$B:$B,80+$B43))</f>
        <v>2.9</v>
      </c>
      <c r="E43" s="59" t="n">
        <f aca="false" t="array" ref="E43:E43">IF($B43&lt;=10, INDEX(Data!$C:$C,40+$B43), INDEX(Data!$C:$C,80+$B43))</f>
        <v>4.2</v>
      </c>
      <c r="F43" s="59" t="n">
        <f aca="false" t="array" ref="F43:F43">IF($B43&lt;=10, INDEX(Data!$D:$D,40+$B43), INDEX(Data!$D:$D,80+$B43))</f>
        <v>1.3</v>
      </c>
      <c r="G43" s="59" t="n">
        <f aca="false" t="array" ref="G43:G43">IF(INDEX(Data!$E:$E,IF($B43&lt;=10,40+$B43,80+$B43))="Iris-setosa",0,1)</f>
        <v>1</v>
      </c>
      <c r="H43" s="60" t="n">
        <f aca="false">IF(G43=P43, 1, 0)</f>
        <v>1</v>
      </c>
      <c r="I43" s="66" t="n">
        <f aca="false">I42-$K$4*T42</f>
        <v>0.303912029264014</v>
      </c>
      <c r="J43" s="66" t="n">
        <f aca="false">J42-$K$4*U42</f>
        <v>-0.241393389031638</v>
      </c>
      <c r="K43" s="66" t="n">
        <f aca="false">K42-$K$4*V42</f>
        <v>-0.219736682458968</v>
      </c>
      <c r="L43" s="66" t="n">
        <f aca="false">L42-$K$4*W42</f>
        <v>0.786328269195629</v>
      </c>
      <c r="M43" s="66" t="n">
        <f aca="false">M42-$K$4*X42</f>
        <v>0.665619644366852</v>
      </c>
      <c r="N43" s="62" t="n">
        <f aca="false">I43+J43*C43+K43*D43+L43*E43+F43*M43</f>
        <v>2.45861760095122</v>
      </c>
      <c r="O43" s="62" t="n">
        <f aca="false">1/(1+EXP(-N43))</f>
        <v>0.921189359735215</v>
      </c>
      <c r="P43" s="63" t="n">
        <f aca="false">IF(O43&gt;0.5,1,0)</f>
        <v>1</v>
      </c>
      <c r="Q43" s="63" t="n">
        <f aca="false">O43-G43</f>
        <v>-0.0788106402647847</v>
      </c>
      <c r="R43" s="64" t="n">
        <f aca="false">Q43^2</f>
        <v>0.0062111170189453</v>
      </c>
      <c r="T43" s="33" t="n">
        <f aca="false">2*(O43-G43)*(1-O43)*O43</f>
        <v>-0.0114432298198454</v>
      </c>
      <c r="U43" s="33" t="n">
        <f aca="false">2*(O43-G43)*(1-O43)*O43*C43</f>
        <v>-0.065226409973119</v>
      </c>
      <c r="V43" s="33" t="n">
        <f aca="false">2*(O43-G43)*(1-O43)*O43*D43</f>
        <v>-0.0331853664775518</v>
      </c>
      <c r="W43" s="33" t="n">
        <f aca="false">2*(O43-G43)*(1-O43)*O43*E43</f>
        <v>-0.0480615652433509</v>
      </c>
      <c r="X43" s="33" t="n">
        <f aca="false">2*(O43-G43)*(1-O43)*O43*F43</f>
        <v>-0.0148761987657991</v>
      </c>
    </row>
    <row r="44" customFormat="false" ht="14.25" hidden="false" customHeight="true" outlineLevel="0" collapsed="false">
      <c r="A44" s="56"/>
      <c r="B44" s="65" t="n">
        <v>18</v>
      </c>
      <c r="C44" s="58" t="n">
        <f aca="false" t="array" ref="C44:C44">IF($B44&lt;=10, INDEX(Data!$A:$A,40+$B44), INDEX(Data!$A:$A,80+$B44))</f>
        <v>6.2</v>
      </c>
      <c r="D44" s="59" t="n">
        <f aca="false" t="array" ref="D44:D44">IF($B44&lt;=10, INDEX(Data!$B:$B,40+$B44), INDEX(Data!$B:$B,80+$B44))</f>
        <v>2.9</v>
      </c>
      <c r="E44" s="59" t="n">
        <f aca="false" t="array" ref="E44:E44">IF($B44&lt;=10, INDEX(Data!$C:$C,40+$B44), INDEX(Data!$C:$C,80+$B44))</f>
        <v>4.3</v>
      </c>
      <c r="F44" s="59" t="n">
        <f aca="false" t="array" ref="F44:F44">IF($B44&lt;=10, INDEX(Data!$D:$D,40+$B44), INDEX(Data!$D:$D,80+$B44))</f>
        <v>1.3</v>
      </c>
      <c r="G44" s="59" t="n">
        <f aca="false" t="array" ref="G44:G44">IF(INDEX(Data!$E:$E,IF($B44&lt;=10,40+$B44,80+$B44))="Iris-setosa",0,1)</f>
        <v>1</v>
      </c>
      <c r="H44" s="60" t="n">
        <f aca="false">IF(G44=P44, 1, 0)</f>
        <v>1</v>
      </c>
      <c r="I44" s="66" t="n">
        <f aca="false">I43-$K$4*T43</f>
        <v>0.305056352245999</v>
      </c>
      <c r="J44" s="66" t="n">
        <f aca="false">J43-$K$4*U43</f>
        <v>-0.234870748034326</v>
      </c>
      <c r="K44" s="66" t="n">
        <f aca="false">K43-$K$4*V43</f>
        <v>-0.216418145811213</v>
      </c>
      <c r="L44" s="66" t="n">
        <f aca="false">L43-$K$4*W43</f>
        <v>0.791134425719964</v>
      </c>
      <c r="M44" s="66" t="n">
        <f aca="false">M43-$K$4*X43</f>
        <v>0.667107264243432</v>
      </c>
      <c r="N44" s="62" t="n">
        <f aca="false">I44+J44*C44+K44*D44+L44*E44+F44*M44</f>
        <v>2.49036256569297</v>
      </c>
      <c r="O44" s="62" t="n">
        <f aca="false">1/(1+EXP(-N44))</f>
        <v>0.923463432262558</v>
      </c>
      <c r="P44" s="63" t="n">
        <f aca="false">IF(O44&gt;0.5,1,0)</f>
        <v>1</v>
      </c>
      <c r="Q44" s="63" t="n">
        <f aca="false">O44-G44</f>
        <v>-0.0765365677374417</v>
      </c>
      <c r="R44" s="64" t="n">
        <f aca="false">Q44^2</f>
        <v>0.005857846201028</v>
      </c>
      <c r="T44" s="33" t="n">
        <f aca="false">2*(O44-G44)*(1-O44)*O44</f>
        <v>-0.010819013516935</v>
      </c>
      <c r="U44" s="33" t="n">
        <f aca="false">2*(O44-G44)*(1-O44)*O44*C44</f>
        <v>-0.067077883804997</v>
      </c>
      <c r="V44" s="33" t="n">
        <f aca="false">2*(O44-G44)*(1-O44)*O44*D44</f>
        <v>-0.0313751391991115</v>
      </c>
      <c r="W44" s="33" t="n">
        <f aca="false">2*(O44-G44)*(1-O44)*O44*E44</f>
        <v>-0.0465217581228205</v>
      </c>
      <c r="X44" s="33" t="n">
        <f aca="false">2*(O44-G44)*(1-O44)*O44*F44</f>
        <v>-0.0140647175720155</v>
      </c>
    </row>
    <row r="45" customFormat="false" ht="14.25" hidden="false" customHeight="true" outlineLevel="0" collapsed="false">
      <c r="A45" s="56"/>
      <c r="B45" s="57" t="n">
        <v>19</v>
      </c>
      <c r="C45" s="58" t="n">
        <f aca="false" t="array" ref="C45:C45">IF($B45&lt;=10, INDEX(Data!$A:$A,40+$B45), INDEX(Data!$A:$A,80+$B45))</f>
        <v>5.1</v>
      </c>
      <c r="D45" s="59" t="n">
        <f aca="false" t="array" ref="D45:D45">IF($B45&lt;=10, INDEX(Data!$B:$B,40+$B45), INDEX(Data!$B:$B,80+$B45))</f>
        <v>2.5</v>
      </c>
      <c r="E45" s="59" t="n">
        <f aca="false" t="array" ref="E45:E45">IF($B45&lt;=10, INDEX(Data!$C:$C,40+$B45), INDEX(Data!$C:$C,80+$B45))</f>
        <v>3</v>
      </c>
      <c r="F45" s="59" t="n">
        <f aca="false" t="array" ref="F45:F45">IF($B45&lt;=10, INDEX(Data!$D:$D,40+$B45), INDEX(Data!$D:$D,80+$B45))</f>
        <v>1.1</v>
      </c>
      <c r="G45" s="59" t="n">
        <f aca="false" t="array" ref="G45:G45">IF(INDEX(Data!$E:$E,IF($B45&lt;=10,40+$B45,80+$B45))="Iris-setosa",0,1)</f>
        <v>1</v>
      </c>
      <c r="H45" s="60" t="n">
        <f aca="false">IF(G45=P45, 1, 0)</f>
        <v>1</v>
      </c>
      <c r="I45" s="66" t="n">
        <f aca="false">I44-$K$4*T44</f>
        <v>0.306138253597692</v>
      </c>
      <c r="J45" s="66" t="n">
        <f aca="false">J44-$K$4*U44</f>
        <v>-0.228162959653827</v>
      </c>
      <c r="K45" s="66" t="n">
        <f aca="false">K44-$K$4*V44</f>
        <v>-0.213280631891302</v>
      </c>
      <c r="L45" s="66" t="n">
        <f aca="false">L44-$K$4*W44</f>
        <v>0.795786601532246</v>
      </c>
      <c r="M45" s="66" t="n">
        <f aca="false">M44-$K$4*X44</f>
        <v>0.668513736000634</v>
      </c>
      <c r="N45" s="62" t="n">
        <f aca="false">I45+J45*C45+K45*D45+L45*E45+F45*M45</f>
        <v>1.73203049383236</v>
      </c>
      <c r="O45" s="62" t="n">
        <f aca="false">1/(1+EXP(-N45))</f>
        <v>0.849671958444424</v>
      </c>
      <c r="P45" s="63" t="n">
        <f aca="false">IF(O45&gt;0.5,1,0)</f>
        <v>1</v>
      </c>
      <c r="Q45" s="63" t="n">
        <f aca="false">O45-G45</f>
        <v>-0.150328041555576</v>
      </c>
      <c r="R45" s="64" t="n">
        <f aca="false">Q45^2</f>
        <v>0.0225985200779351</v>
      </c>
      <c r="T45" s="33" t="n">
        <f aca="false">2*(O45-G45)*(1-O45)*O45</f>
        <v>-0.0384026576251295</v>
      </c>
      <c r="U45" s="33" t="n">
        <f aca="false">2*(O45-G45)*(1-O45)*O45*C45</f>
        <v>-0.19585355388816</v>
      </c>
      <c r="V45" s="33" t="n">
        <f aca="false">2*(O45-G45)*(1-O45)*O45*D45</f>
        <v>-0.0960066440628237</v>
      </c>
      <c r="W45" s="33" t="n">
        <f aca="false">2*(O45-G45)*(1-O45)*O45*E45</f>
        <v>-0.115207972875388</v>
      </c>
      <c r="X45" s="33" t="n">
        <f aca="false">2*(O45-G45)*(1-O45)*O45*F45</f>
        <v>-0.0422429233876424</v>
      </c>
    </row>
    <row r="46" customFormat="false" ht="14.25" hidden="false" customHeight="true" outlineLevel="0" collapsed="false">
      <c r="A46" s="56"/>
      <c r="B46" s="65" t="n">
        <v>20</v>
      </c>
      <c r="C46" s="58" t="n">
        <f aca="false" t="array" ref="C46:C46">IF($B46&lt;=10, INDEX(Data!$A:$A,40+$B46), INDEX(Data!$A:$A,80+$B46))</f>
        <v>5.7</v>
      </c>
      <c r="D46" s="59" t="n">
        <f aca="false" t="array" ref="D46:D46">IF($B46&lt;=10, INDEX(Data!$B:$B,40+$B46), INDEX(Data!$B:$B,80+$B46))</f>
        <v>2.8</v>
      </c>
      <c r="E46" s="59" t="n">
        <f aca="false" t="array" ref="E46:E46">IF($B46&lt;=10, INDEX(Data!$C:$C,40+$B46), INDEX(Data!$C:$C,80+$B46))</f>
        <v>4.1</v>
      </c>
      <c r="F46" s="59" t="n">
        <f aca="false" t="array" ref="F46:F46">IF($B46&lt;=10, INDEX(Data!$D:$D,40+$B46), INDEX(Data!$D:$D,80+$B46))</f>
        <v>1.3</v>
      </c>
      <c r="G46" s="59" t="n">
        <f aca="false" t="array" ref="G46:G46">IF(INDEX(Data!$E:$E,IF($B46&lt;=10,40+$B46,80+$B46))="Iris-setosa",0,1)</f>
        <v>1</v>
      </c>
      <c r="H46" s="60" t="n">
        <f aca="false">IF(G46=P46, 1, 0)</f>
        <v>1</v>
      </c>
      <c r="I46" s="66" t="n">
        <f aca="false">I45-$K$4*T45</f>
        <v>0.309978519360205</v>
      </c>
      <c r="J46" s="66" t="n">
        <f aca="false">J45-$K$4*U45</f>
        <v>-0.20857760426501</v>
      </c>
      <c r="K46" s="66" t="n">
        <f aca="false">K45-$K$4*V45</f>
        <v>-0.203679967485019</v>
      </c>
      <c r="L46" s="66" t="n">
        <f aca="false">L45-$K$4*W45</f>
        <v>0.807307398819785</v>
      </c>
      <c r="M46" s="66" t="n">
        <f aca="false">M45-$K$4*X45</f>
        <v>0.672738028339398</v>
      </c>
      <c r="N46" s="62" t="n">
        <f aca="false">I46+J46*C46+K46*D46+L46*E46+F46*M46</f>
        <v>2.73530203809393</v>
      </c>
      <c r="O46" s="62" t="n">
        <f aca="false">1/(1+EXP(-N46))</f>
        <v>0.939077877150147</v>
      </c>
      <c r="P46" s="63" t="n">
        <f aca="false">IF(O46&gt;0.5,1,0)</f>
        <v>1</v>
      </c>
      <c r="Q46" s="63" t="n">
        <f aca="false">O46-G46</f>
        <v>-0.0609221228498533</v>
      </c>
      <c r="R46" s="64" t="n">
        <f aca="false">Q46^2</f>
        <v>0.00371150505253262</v>
      </c>
      <c r="S46" s="1" t="n">
        <f aca="false">AVERAGE(R27:R46)</f>
        <v>0.0648500822076679</v>
      </c>
      <c r="T46" s="33" t="n">
        <f aca="false">2*(O46-G46)*(1-O46)*O46</f>
        <v>-0.00697078457152875</v>
      </c>
      <c r="U46" s="33" t="n">
        <f aca="false">2*(O46-G46)*(1-O46)*O46*C46</f>
        <v>-0.0397334720577139</v>
      </c>
      <c r="V46" s="33" t="n">
        <f aca="false">2*(O46-G46)*(1-O46)*O46*D46</f>
        <v>-0.0195181968002805</v>
      </c>
      <c r="W46" s="33" t="n">
        <f aca="false">2*(O46-G46)*(1-O46)*O46*E46</f>
        <v>-0.0285802167432679</v>
      </c>
      <c r="X46" s="33" t="n">
        <f aca="false">2*(O46-G46)*(1-O46)*O46*F46</f>
        <v>-0.00906201994298738</v>
      </c>
    </row>
    <row r="47" customFormat="false" ht="14.25" hidden="false" customHeight="true" outlineLevel="0" collapsed="false">
      <c r="A47" s="67" t="s">
        <v>34</v>
      </c>
      <c r="B47" s="34" t="n">
        <v>1</v>
      </c>
      <c r="C47" s="2" t="n">
        <f aca="false">IF($B47&lt;=10, INDEX(Data!$A:$A,40+$B47), INDEX(Data!$A:$A,80+$B47))</f>
        <v>5</v>
      </c>
      <c r="D47" s="54" t="n">
        <f aca="false">IF($B47&lt;=10, INDEX(Data!$B:$B,40+$B47), INDEX(Data!$B:$B,80+$B47))</f>
        <v>3.5</v>
      </c>
      <c r="E47" s="54" t="n">
        <f aca="false">IF($B47&lt;=10, INDEX(Data!$C:$C,40+$B47), INDEX(Data!$C:$C,80+$B47))</f>
        <v>1.3</v>
      </c>
      <c r="F47" s="54" t="n">
        <f aca="false">IF($B47&lt;=10, INDEX(Data!$D:$D,40+$B47), INDEX(Data!$D:$D,80+$B47))</f>
        <v>0.3</v>
      </c>
      <c r="G47" s="54" t="n">
        <f aca="false">IF(INDEX(Data!$E:$E,IF($B47&lt;=10,40+$B47,80+$B47))="Iris-setosa",0,1)</f>
        <v>0</v>
      </c>
      <c r="H47" s="1" t="n">
        <f aca="false">IF(G47=P47, 1, 0)</f>
        <v>0</v>
      </c>
      <c r="I47" s="34" t="n">
        <f aca="false">'SLP-Training'!I244</f>
        <v>0.310190099105033</v>
      </c>
      <c r="J47" s="34" t="n">
        <f aca="false">'SLP-Training'!J244</f>
        <v>-0.153520057701108</v>
      </c>
      <c r="K47" s="34" t="n">
        <f aca="false">'SLP-Training'!K244</f>
        <v>-0.20435632753447</v>
      </c>
      <c r="L47" s="34" t="n">
        <f aca="false">'SLP-Training'!L244</f>
        <v>0.864798838787006</v>
      </c>
      <c r="M47" s="34" t="n">
        <f aca="false">'SLP-Training'!M244</f>
        <v>0.709043497089357</v>
      </c>
      <c r="N47" s="31" t="n">
        <f aca="false">I47+J47*C47+K47*D47+L47*E47+F47*M47</f>
        <v>0.164294203778763</v>
      </c>
      <c r="O47" s="31" t="n">
        <f aca="false">1/(1+EXP(-N47))</f>
        <v>0.54098140953923</v>
      </c>
      <c r="P47" s="32" t="n">
        <f aca="false">IF(O47&gt;0.5,1,0)</f>
        <v>1</v>
      </c>
      <c r="Q47" s="32" t="n">
        <f aca="false">O47-G47</f>
        <v>0.54098140953923</v>
      </c>
      <c r="R47" s="33" t="n">
        <f aca="false">Q47^2</f>
        <v>0.292660885467052</v>
      </c>
      <c r="T47" s="33" t="n">
        <f aca="false">2*(O47-G47)*(1-O47)*O47</f>
        <v>0.268673574260174</v>
      </c>
      <c r="U47" s="33" t="n">
        <f aca="false">2*(O47-G47)*(1-O47)*O47*C47</f>
        <v>1.34336787130087</v>
      </c>
      <c r="V47" s="33" t="n">
        <f aca="false">2*(O47-G47)*(1-O47)*O47*D47</f>
        <v>0.940357509910609</v>
      </c>
      <c r="W47" s="33" t="n">
        <f aca="false">2*(O47-G47)*(1-O47)*O47*E47</f>
        <v>0.349275646538226</v>
      </c>
      <c r="X47" s="33" t="n">
        <f aca="false">2*(O47-G47)*(1-O47)*O47*F47</f>
        <v>0.0806020722780522</v>
      </c>
    </row>
    <row r="48" customFormat="false" ht="14.25" hidden="false" customHeight="true" outlineLevel="0" collapsed="false">
      <c r="A48" s="67"/>
      <c r="B48" s="34" t="n">
        <v>2</v>
      </c>
      <c r="C48" s="2" t="n">
        <f aca="false">IF($B48&lt;=10, INDEX(Data!$A:$A,40+$B48), INDEX(Data!$A:$A,80+$B48))</f>
        <v>4.5</v>
      </c>
      <c r="D48" s="54" t="n">
        <f aca="false">IF($B48&lt;=10, INDEX(Data!$B:$B,40+$B48), INDEX(Data!$B:$B,80+$B48))</f>
        <v>2.3</v>
      </c>
      <c r="E48" s="54" t="n">
        <f aca="false">IF($B48&lt;=10, INDEX(Data!$C:$C,40+$B48), INDEX(Data!$C:$C,80+$B48))</f>
        <v>1.3</v>
      </c>
      <c r="F48" s="54" t="n">
        <f aca="false">IF($B48&lt;=10, INDEX(Data!$D:$D,40+$B48), INDEX(Data!$D:$D,80+$B48))</f>
        <v>0.3</v>
      </c>
      <c r="G48" s="54" t="n">
        <f aca="false">IF(INDEX(Data!$E:$E,IF($B48&lt;=10,40+$B48,80+$B48))="Iris-setosa",0,1)</f>
        <v>0</v>
      </c>
      <c r="H48" s="1" t="n">
        <f aca="false">IF(G48=P48, 1, 0)</f>
        <v>1</v>
      </c>
      <c r="I48" s="34" t="n">
        <f aca="false">I47-$K$4*T47</f>
        <v>0.283322741679016</v>
      </c>
      <c r="J48" s="34" t="n">
        <f aca="false">J47-$K$4*U47</f>
        <v>-0.287856844831195</v>
      </c>
      <c r="K48" s="34" t="n">
        <f aca="false">K47-$K$4*V47</f>
        <v>-0.298392078525531</v>
      </c>
      <c r="L48" s="34" t="n">
        <f aca="false">L47-$K$4*W47</f>
        <v>0.829871274133183</v>
      </c>
      <c r="M48" s="34" t="n">
        <f aca="false">M47-$K$4*X47</f>
        <v>0.700983289861552</v>
      </c>
      <c r="N48" s="31" t="n">
        <f aca="false">I48+J48*C48+K48*D48+L48*E48+F48*M48</f>
        <v>-0.409207197338479</v>
      </c>
      <c r="O48" s="31" t="n">
        <f aca="false">1/(1+EXP(-N48))</f>
        <v>0.399102235583813</v>
      </c>
      <c r="P48" s="32" t="n">
        <f aca="false">IF(O48&gt;0.5,1,0)</f>
        <v>0</v>
      </c>
      <c r="Q48" s="32" t="n">
        <f aca="false">O48-G48</f>
        <v>0.399102235583813</v>
      </c>
      <c r="R48" s="33" t="n">
        <f aca="false">Q48^2</f>
        <v>0.159282594447998</v>
      </c>
      <c r="T48" s="33" t="n">
        <f aca="false">2*(O48-G48)*(1-O48)*O48</f>
        <v>0.191425109828424</v>
      </c>
      <c r="U48" s="33" t="n">
        <f aca="false">2*(O48-G48)*(1-O48)*O48*C48</f>
        <v>0.861412994227907</v>
      </c>
      <c r="V48" s="33" t="n">
        <f aca="false">2*(O48-G48)*(1-O48)*O48*D48</f>
        <v>0.440277752605374</v>
      </c>
      <c r="W48" s="33" t="n">
        <f aca="false">2*(O48-G48)*(1-O48)*O48*E48</f>
        <v>0.248852642776951</v>
      </c>
      <c r="X48" s="33" t="n">
        <f aca="false">2*(O48-G48)*(1-O48)*O48*F48</f>
        <v>0.0574275329485271</v>
      </c>
    </row>
    <row r="49" customFormat="false" ht="14.25" hidden="false" customHeight="true" outlineLevel="0" collapsed="false">
      <c r="A49" s="67"/>
      <c r="B49" s="34" t="n">
        <v>3</v>
      </c>
      <c r="C49" s="2" t="n">
        <f aca="false">IF($B49&lt;=10, INDEX(Data!$A:$A,40+$B49), INDEX(Data!$A:$A,80+$B49))</f>
        <v>4.4</v>
      </c>
      <c r="D49" s="54" t="n">
        <f aca="false">IF($B49&lt;=10, INDEX(Data!$B:$B,40+$B49), INDEX(Data!$B:$B,80+$B49))</f>
        <v>3.2</v>
      </c>
      <c r="E49" s="54" t="n">
        <f aca="false">IF($B49&lt;=10, INDEX(Data!$C:$C,40+$B49), INDEX(Data!$C:$C,80+$B49))</f>
        <v>1.3</v>
      </c>
      <c r="F49" s="54" t="n">
        <f aca="false">IF($B49&lt;=10, INDEX(Data!$D:$D,40+$B49), INDEX(Data!$D:$D,80+$B49))</f>
        <v>0.2</v>
      </c>
      <c r="G49" s="54" t="n">
        <f aca="false">IF(INDEX(Data!$E:$E,IF($B49&lt;=10,40+$B49,80+$B49))="Iris-setosa",0,1)</f>
        <v>0</v>
      </c>
      <c r="H49" s="1" t="n">
        <f aca="false">IF(G49=P49, 1, 0)</f>
        <v>1</v>
      </c>
      <c r="I49" s="34" t="n">
        <f aca="false">I48-$K$4*T48</f>
        <v>0.264180230696174</v>
      </c>
      <c r="J49" s="34" t="n">
        <f aca="false">J48-$K$4*U48</f>
        <v>-0.373998144253986</v>
      </c>
      <c r="K49" s="34" t="n">
        <f aca="false">K48-$K$4*V48</f>
        <v>-0.342419853786069</v>
      </c>
      <c r="L49" s="34" t="n">
        <f aca="false">L48-$K$4*W48</f>
        <v>0.804986009855488</v>
      </c>
      <c r="M49" s="34" t="n">
        <f aca="false">M48-$K$4*X48</f>
        <v>0.695240536566699</v>
      </c>
      <c r="N49" s="31" t="n">
        <f aca="false">I49+J49*C49+K49*D49+L49*E49+F49*M49</f>
        <v>-1.29162521601131</v>
      </c>
      <c r="O49" s="31" t="n">
        <f aca="false">1/(1+EXP(-N49))</f>
        <v>0.215577853187287</v>
      </c>
      <c r="P49" s="32" t="n">
        <f aca="false">IF(O49&gt;0.5,1,0)</f>
        <v>0</v>
      </c>
      <c r="Q49" s="32" t="n">
        <f aca="false">O49-G49</f>
        <v>0.215577853187287</v>
      </c>
      <c r="R49" s="33" t="n">
        <f aca="false">Q49^2</f>
        <v>0.0464738107848394</v>
      </c>
      <c r="T49" s="33" t="n">
        <f aca="false">2*(O49-G49)*(1-O49)*O49</f>
        <v>0.0729101728528231</v>
      </c>
      <c r="U49" s="33" t="n">
        <f aca="false">2*(O49-G49)*(1-O49)*O49*C49</f>
        <v>0.320804760552422</v>
      </c>
      <c r="V49" s="33" t="n">
        <f aca="false">2*(O49-G49)*(1-O49)*O49*D49</f>
        <v>0.233312553129034</v>
      </c>
      <c r="W49" s="33" t="n">
        <f aca="false">2*(O49-G49)*(1-O49)*O49*E49</f>
        <v>0.0947832247086701</v>
      </c>
      <c r="X49" s="33" t="n">
        <f aca="false">2*(O49-G49)*(1-O49)*O49*F49</f>
        <v>0.0145820345705646</v>
      </c>
    </row>
    <row r="50" customFormat="false" ht="14.25" hidden="false" customHeight="true" outlineLevel="0" collapsed="false">
      <c r="A50" s="67"/>
      <c r="B50" s="34" t="n">
        <v>4</v>
      </c>
      <c r="C50" s="2" t="n">
        <f aca="false">IF($B50&lt;=10, INDEX(Data!$A:$A,40+$B50), INDEX(Data!$A:$A,80+$B50))</f>
        <v>5</v>
      </c>
      <c r="D50" s="54" t="n">
        <f aca="false">IF($B50&lt;=10, INDEX(Data!$B:$B,40+$B50), INDEX(Data!$B:$B,80+$B50))</f>
        <v>3.5</v>
      </c>
      <c r="E50" s="54" t="n">
        <f aca="false">IF($B50&lt;=10, INDEX(Data!$C:$C,40+$B50), INDEX(Data!$C:$C,80+$B50))</f>
        <v>1.6</v>
      </c>
      <c r="F50" s="54" t="n">
        <f aca="false">IF($B50&lt;=10, INDEX(Data!$D:$D,40+$B50), INDEX(Data!$D:$D,80+$B50))</f>
        <v>0.6</v>
      </c>
      <c r="G50" s="54" t="n">
        <f aca="false">IF(INDEX(Data!$E:$E,IF($B50&lt;=10,40+$B50,80+$B50))="Iris-setosa",0,1)</f>
        <v>0</v>
      </c>
      <c r="H50" s="1" t="n">
        <f aca="false">IF(G50=P50, 1, 0)</f>
        <v>1</v>
      </c>
      <c r="I50" s="34" t="n">
        <f aca="false">I49-$K$4*T49</f>
        <v>0.256889213410891</v>
      </c>
      <c r="J50" s="34" t="n">
        <f aca="false">J49-$K$4*U49</f>
        <v>-0.406078620309228</v>
      </c>
      <c r="K50" s="34" t="n">
        <f aca="false">K49-$K$4*V49</f>
        <v>-0.365751109098972</v>
      </c>
      <c r="L50" s="34" t="n">
        <f aca="false">L49-$K$4*W49</f>
        <v>0.795507687384621</v>
      </c>
      <c r="M50" s="34" t="n">
        <f aca="false">M49-$K$4*X49</f>
        <v>0.693782333109643</v>
      </c>
      <c r="N50" s="31" t="n">
        <f aca="false">I50+J50*C50+K50*D50+L50*E50+F50*M50</f>
        <v>-1.36455107030047</v>
      </c>
      <c r="O50" s="31" t="n">
        <f aca="false">1/(1+EXP(-N50))</f>
        <v>0.203501629662163</v>
      </c>
      <c r="P50" s="32" t="n">
        <f aca="false">IF(O50&gt;0.5,1,0)</f>
        <v>0</v>
      </c>
      <c r="Q50" s="32" t="n">
        <f aca="false">O50-G50</f>
        <v>0.203501629662163</v>
      </c>
      <c r="R50" s="33" t="n">
        <f aca="false">Q50^2</f>
        <v>0.041412913275156</v>
      </c>
      <c r="T50" s="33" t="n">
        <f aca="false">2*(O50-G50)*(1-O50)*O50</f>
        <v>0.0659706358692078</v>
      </c>
      <c r="U50" s="33" t="n">
        <f aca="false">2*(O50-G50)*(1-O50)*O50*C50</f>
        <v>0.329853179346039</v>
      </c>
      <c r="V50" s="33" t="n">
        <f aca="false">2*(O50-G50)*(1-O50)*O50*D50</f>
        <v>0.230897225542227</v>
      </c>
      <c r="W50" s="33" t="n">
        <f aca="false">2*(O50-G50)*(1-O50)*O50*E50</f>
        <v>0.105553017390733</v>
      </c>
      <c r="X50" s="33" t="n">
        <f aca="false">2*(O50-G50)*(1-O50)*O50*F50</f>
        <v>0.0395823815215247</v>
      </c>
    </row>
    <row r="51" customFormat="false" ht="14.25" hidden="false" customHeight="true" outlineLevel="0" collapsed="false">
      <c r="A51" s="67"/>
      <c r="B51" s="34" t="n">
        <v>5</v>
      </c>
      <c r="C51" s="2" t="n">
        <f aca="false">IF($B51&lt;=10, INDEX(Data!$A:$A,40+$B51), INDEX(Data!$A:$A,80+$B51))</f>
        <v>5.1</v>
      </c>
      <c r="D51" s="54" t="n">
        <f aca="false">IF($B51&lt;=10, INDEX(Data!$B:$B,40+$B51), INDEX(Data!$B:$B,80+$B51))</f>
        <v>3.8</v>
      </c>
      <c r="E51" s="54" t="n">
        <f aca="false">IF($B51&lt;=10, INDEX(Data!$C:$C,40+$B51), INDEX(Data!$C:$C,80+$B51))</f>
        <v>1.9</v>
      </c>
      <c r="F51" s="54" t="n">
        <f aca="false">IF($B51&lt;=10, INDEX(Data!$D:$D,40+$B51), INDEX(Data!$D:$D,80+$B51))</f>
        <v>0.4</v>
      </c>
      <c r="G51" s="54" t="n">
        <f aca="false">IF(INDEX(Data!$E:$E,IF($B51&lt;=10,40+$B51,80+$B51))="Iris-setosa",0,1)</f>
        <v>0</v>
      </c>
      <c r="H51" s="1" t="n">
        <f aca="false">IF(G51=P51, 1, 0)</f>
        <v>1</v>
      </c>
      <c r="I51" s="34" t="n">
        <f aca="false">I50-$K$4*T50</f>
        <v>0.250292149823971</v>
      </c>
      <c r="J51" s="34" t="n">
        <f aca="false">J50-$K$4*U50</f>
        <v>-0.439063938243832</v>
      </c>
      <c r="K51" s="34" t="n">
        <f aca="false">K50-$K$4*V50</f>
        <v>-0.388840831653195</v>
      </c>
      <c r="L51" s="34" t="n">
        <f aca="false">L50-$K$4*W50</f>
        <v>0.784952385645548</v>
      </c>
      <c r="M51" s="34" t="n">
        <f aca="false">M50-$K$4*X50</f>
        <v>0.68982409495749</v>
      </c>
      <c r="N51" s="31" t="n">
        <f aca="false">I51+J51*C51+K51*D51+L51*E51+F51*M51</f>
        <v>-1.69918992479217</v>
      </c>
      <c r="O51" s="31" t="n">
        <f aca="false">1/(1+EXP(-N51))</f>
        <v>0.154571095178173</v>
      </c>
      <c r="P51" s="32" t="n">
        <f aca="false">IF(O51&gt;0.5,1,0)</f>
        <v>0</v>
      </c>
      <c r="Q51" s="32" t="n">
        <f aca="false">O51-G51</f>
        <v>0.154571095178173</v>
      </c>
      <c r="R51" s="33" t="n">
        <f aca="false">Q51^2</f>
        <v>0.0238922234645799</v>
      </c>
      <c r="T51" s="33" t="n">
        <f aca="false">2*(O51-G51)*(1-O51)*O51</f>
        <v>0.0403983526348363</v>
      </c>
      <c r="U51" s="33" t="n">
        <f aca="false">2*(O51-G51)*(1-O51)*O51*C51</f>
        <v>0.206031598437665</v>
      </c>
      <c r="V51" s="33" t="n">
        <f aca="false">2*(O51-G51)*(1-O51)*O51*D51</f>
        <v>0.153513740012378</v>
      </c>
      <c r="W51" s="33" t="n">
        <f aca="false">2*(O51-G51)*(1-O51)*O51*E51</f>
        <v>0.0767568700061889</v>
      </c>
      <c r="X51" s="33" t="n">
        <f aca="false">2*(O51-G51)*(1-O51)*O51*F51</f>
        <v>0.0161593410539345</v>
      </c>
    </row>
    <row r="52" customFormat="false" ht="14.25" hidden="false" customHeight="true" outlineLevel="0" collapsed="false">
      <c r="A52" s="67"/>
      <c r="B52" s="34" t="n">
        <v>6</v>
      </c>
      <c r="C52" s="2" t="n">
        <f aca="false">IF($B52&lt;=10, INDEX(Data!$A:$A,40+$B52), INDEX(Data!$A:$A,80+$B52))</f>
        <v>4.8</v>
      </c>
      <c r="D52" s="54" t="n">
        <f aca="false">IF($B52&lt;=10, INDEX(Data!$B:$B,40+$B52), INDEX(Data!$B:$B,80+$B52))</f>
        <v>3</v>
      </c>
      <c r="E52" s="54" t="n">
        <f aca="false">IF($B52&lt;=10, INDEX(Data!$C:$C,40+$B52), INDEX(Data!$C:$C,80+$B52))</f>
        <v>1.4</v>
      </c>
      <c r="F52" s="54" t="n">
        <f aca="false">IF($B52&lt;=10, INDEX(Data!$D:$D,40+$B52), INDEX(Data!$D:$D,80+$B52))</f>
        <v>0.3</v>
      </c>
      <c r="G52" s="54" t="n">
        <f aca="false">IF(INDEX(Data!$E:$E,IF($B52&lt;=10,40+$B52,80+$B52))="Iris-setosa",0,1)</f>
        <v>0</v>
      </c>
      <c r="H52" s="1" t="n">
        <f aca="false">IF(G52=P52, 1, 0)</f>
        <v>1</v>
      </c>
      <c r="I52" s="34" t="n">
        <f aca="false">I51-$K$4*T51</f>
        <v>0.246252314560487</v>
      </c>
      <c r="J52" s="34" t="n">
        <f aca="false">J51-$K$4*U51</f>
        <v>-0.459667098087598</v>
      </c>
      <c r="K52" s="34" t="n">
        <f aca="false">K51-$K$4*V51</f>
        <v>-0.404192205654433</v>
      </c>
      <c r="L52" s="34" t="n">
        <f aca="false">L51-$K$4*W51</f>
        <v>0.777276698644929</v>
      </c>
      <c r="M52" s="34" t="n">
        <f aca="false">M51-$K$4*X51</f>
        <v>0.688208160852097</v>
      </c>
      <c r="N52" s="31" t="n">
        <f aca="false">I52+J52*C52+K52*D52+L52*E52+F52*M52</f>
        <v>-1.87807654686475</v>
      </c>
      <c r="O52" s="31" t="n">
        <f aca="false">1/(1+EXP(-N52))</f>
        <v>0.132609961590312</v>
      </c>
      <c r="P52" s="32" t="n">
        <f aca="false">IF(O52&gt;0.5,1,0)</f>
        <v>0</v>
      </c>
      <c r="Q52" s="32" t="n">
        <f aca="false">O52-G52</f>
        <v>0.132609961590312</v>
      </c>
      <c r="R52" s="33" t="n">
        <f aca="false">Q52^2</f>
        <v>0.0175854019129841</v>
      </c>
      <c r="T52" s="33" t="n">
        <f aca="false">2*(O52-G52)*(1-O52)*O52</f>
        <v>0.0305068048815062</v>
      </c>
      <c r="U52" s="33" t="n">
        <f aca="false">2*(O52-G52)*(1-O52)*O52*C52</f>
        <v>0.14643266343123</v>
      </c>
      <c r="V52" s="33" t="n">
        <f aca="false">2*(O52-G52)*(1-O52)*O52*D52</f>
        <v>0.0915204146445185</v>
      </c>
      <c r="W52" s="33" t="n">
        <f aca="false">2*(O52-G52)*(1-O52)*O52*E52</f>
        <v>0.0427095268341086</v>
      </c>
      <c r="X52" s="33" t="n">
        <f aca="false">2*(O52-G52)*(1-O52)*O52*F52</f>
        <v>0.00915204146445185</v>
      </c>
    </row>
    <row r="53" customFormat="false" ht="14.25" hidden="false" customHeight="true" outlineLevel="0" collapsed="false">
      <c r="A53" s="67"/>
      <c r="B53" s="34" t="n">
        <v>7</v>
      </c>
      <c r="C53" s="2" t="n">
        <f aca="false">IF($B53&lt;=10, INDEX(Data!$A:$A,40+$B53), INDEX(Data!$A:$A,80+$B53))</f>
        <v>5.1</v>
      </c>
      <c r="D53" s="54" t="n">
        <f aca="false">IF($B53&lt;=10, INDEX(Data!$B:$B,40+$B53), INDEX(Data!$B:$B,80+$B53))</f>
        <v>3.8</v>
      </c>
      <c r="E53" s="54" t="n">
        <f aca="false">IF($B53&lt;=10, INDEX(Data!$C:$C,40+$B53), INDEX(Data!$C:$C,80+$B53))</f>
        <v>1.6</v>
      </c>
      <c r="F53" s="54" t="n">
        <f aca="false">IF($B53&lt;=10, INDEX(Data!$D:$D,40+$B53), INDEX(Data!$D:$D,80+$B53))</f>
        <v>0.2</v>
      </c>
      <c r="G53" s="54" t="n">
        <f aca="false">IF(INDEX(Data!$E:$E,IF($B53&lt;=10,40+$B53,80+$B53))="Iris-setosa",0,1)</f>
        <v>0</v>
      </c>
      <c r="H53" s="1" t="n">
        <f aca="false">IF(G53=P53, 1, 0)</f>
        <v>1</v>
      </c>
      <c r="I53" s="34" t="n">
        <f aca="false">I52-$K$4*T52</f>
        <v>0.243201634072336</v>
      </c>
      <c r="J53" s="34" t="n">
        <f aca="false">J52-$K$4*U52</f>
        <v>-0.474310364430721</v>
      </c>
      <c r="K53" s="34" t="n">
        <f aca="false">K52-$K$4*V52</f>
        <v>-0.413344247118884</v>
      </c>
      <c r="L53" s="34" t="n">
        <f aca="false">L52-$K$4*W52</f>
        <v>0.773005745961518</v>
      </c>
      <c r="M53" s="34" t="n">
        <f aca="false">M52-$K$4*X52</f>
        <v>0.687292956705652</v>
      </c>
      <c r="N53" s="31" t="n">
        <f aca="false">I53+J53*C53+K53*D53+L53*E53+F53*M53</f>
        <v>-2.37222157869654</v>
      </c>
      <c r="O53" s="31" t="n">
        <f aca="false">1/(1+EXP(-N53))</f>
        <v>0.0853156146188658</v>
      </c>
      <c r="P53" s="32" t="n">
        <f aca="false">IF(O53&gt;0.5,1,0)</f>
        <v>0</v>
      </c>
      <c r="Q53" s="32" t="n">
        <f aca="false">O53-G53</f>
        <v>0.0853156146188658</v>
      </c>
      <c r="R53" s="33" t="n">
        <f aca="false">Q53^2</f>
        <v>0.00727875409779483</v>
      </c>
      <c r="T53" s="33" t="n">
        <f aca="false">2*(O53-G53)*(1-O53)*O53</f>
        <v>0.0133155254365638</v>
      </c>
      <c r="U53" s="33" t="n">
        <f aca="false">2*(O53-G53)*(1-O53)*O53*C53</f>
        <v>0.0679091797264751</v>
      </c>
      <c r="V53" s="33" t="n">
        <f aca="false">2*(O53-G53)*(1-O53)*O53*D53</f>
        <v>0.0505989966589423</v>
      </c>
      <c r="W53" s="33" t="n">
        <f aca="false">2*(O53-G53)*(1-O53)*O53*E53</f>
        <v>0.021304840698502</v>
      </c>
      <c r="X53" s="33" t="n">
        <f aca="false">2*(O53-G53)*(1-O53)*O53*F53</f>
        <v>0.00266310508731275</v>
      </c>
    </row>
    <row r="54" customFormat="false" ht="14.25" hidden="false" customHeight="true" outlineLevel="0" collapsed="false">
      <c r="A54" s="67"/>
      <c r="B54" s="34" t="n">
        <v>8</v>
      </c>
      <c r="C54" s="2" t="n">
        <f aca="false">IF($B54&lt;=10, INDEX(Data!$A:$A,40+$B54), INDEX(Data!$A:$A,80+$B54))</f>
        <v>4.6</v>
      </c>
      <c r="D54" s="54" t="n">
        <f aca="false">IF($B54&lt;=10, INDEX(Data!$B:$B,40+$B54), INDEX(Data!$B:$B,80+$B54))</f>
        <v>3.2</v>
      </c>
      <c r="E54" s="54" t="n">
        <f aca="false">IF($B54&lt;=10, INDEX(Data!$C:$C,40+$B54), INDEX(Data!$C:$C,80+$B54))</f>
        <v>1.4</v>
      </c>
      <c r="F54" s="54" t="n">
        <f aca="false">IF($B54&lt;=10, INDEX(Data!$D:$D,40+$B54), INDEX(Data!$D:$D,80+$B54))</f>
        <v>0.2</v>
      </c>
      <c r="G54" s="54" t="n">
        <f aca="false">IF(INDEX(Data!$E:$E,IF($B54&lt;=10,40+$B54,80+$B54))="Iris-setosa",0,1)</f>
        <v>0</v>
      </c>
      <c r="H54" s="1" t="n">
        <f aca="false">IF(G54=P54, 1, 0)</f>
        <v>1</v>
      </c>
      <c r="I54" s="34" t="n">
        <f aca="false">I53-$K$4*T53</f>
        <v>0.24187008152868</v>
      </c>
      <c r="J54" s="34" t="n">
        <f aca="false">J53-$K$4*U53</f>
        <v>-0.481101282403369</v>
      </c>
      <c r="K54" s="34" t="n">
        <f aca="false">K53-$K$4*V53</f>
        <v>-0.418404146784779</v>
      </c>
      <c r="L54" s="34" t="n">
        <f aca="false">L53-$K$4*W53</f>
        <v>0.770875261891668</v>
      </c>
      <c r="M54" s="34" t="n">
        <f aca="false">M53-$K$4*X53</f>
        <v>0.687026646196921</v>
      </c>
      <c r="N54" s="31" t="n">
        <f aca="false">I54+J54*C54+K54*D54+L54*E54+F54*M54</f>
        <v>-2.09345839135039</v>
      </c>
      <c r="O54" s="31" t="n">
        <f aca="false">1/(1+EXP(-N54))</f>
        <v>0.109734258658137</v>
      </c>
      <c r="P54" s="32" t="n">
        <f aca="false">IF(O54&gt;0.5,1,0)</f>
        <v>0</v>
      </c>
      <c r="Q54" s="32" t="n">
        <f aca="false">O54-G54</f>
        <v>0.109734258658137</v>
      </c>
      <c r="R54" s="33" t="n">
        <f aca="false">Q54^2</f>
        <v>0.0120416075232509</v>
      </c>
      <c r="T54" s="33" t="n">
        <f aca="false">2*(O54-G54)*(1-O54)*O54</f>
        <v>0.0214404612972694</v>
      </c>
      <c r="U54" s="33" t="n">
        <f aca="false">2*(O54-G54)*(1-O54)*O54*C54</f>
        <v>0.0986261219674391</v>
      </c>
      <c r="V54" s="33" t="n">
        <f aca="false">2*(O54-G54)*(1-O54)*O54*D54</f>
        <v>0.068609476151262</v>
      </c>
      <c r="W54" s="33" t="n">
        <f aca="false">2*(O54-G54)*(1-O54)*O54*E54</f>
        <v>0.0300166458161771</v>
      </c>
      <c r="X54" s="33" t="n">
        <f aca="false">2*(O54-G54)*(1-O54)*O54*F54</f>
        <v>0.00428809225945388</v>
      </c>
    </row>
    <row r="55" customFormat="false" ht="14.25" hidden="false" customHeight="true" outlineLevel="0" collapsed="false">
      <c r="A55" s="67"/>
      <c r="B55" s="34" t="n">
        <v>9</v>
      </c>
      <c r="C55" s="2" t="n">
        <f aca="false">IF($B55&lt;=10, INDEX(Data!$A:$A,40+$B55), INDEX(Data!$A:$A,80+$B55))</f>
        <v>5.3</v>
      </c>
      <c r="D55" s="54" t="n">
        <f aca="false">IF($B55&lt;=10, INDEX(Data!$B:$B,40+$B55), INDEX(Data!$B:$B,80+$B55))</f>
        <v>3.7</v>
      </c>
      <c r="E55" s="54" t="n">
        <f aca="false">IF($B55&lt;=10, INDEX(Data!$C:$C,40+$B55), INDEX(Data!$C:$C,80+$B55))</f>
        <v>1.5</v>
      </c>
      <c r="F55" s="54" t="n">
        <f aca="false">IF($B55&lt;=10, INDEX(Data!$D:$D,40+$B55), INDEX(Data!$D:$D,80+$B55))</f>
        <v>0.2</v>
      </c>
      <c r="G55" s="54" t="n">
        <f aca="false">IF(INDEX(Data!$E:$E,IF($B55&lt;=10,40+$B55,80+$B55))="Iris-setosa",0,1)</f>
        <v>0</v>
      </c>
      <c r="H55" s="1" t="n">
        <f aca="false">IF(G55=P55, 1, 0)</f>
        <v>1</v>
      </c>
      <c r="I55" s="34" t="n">
        <f aca="false">I54-$K$4*T54</f>
        <v>0.239726035398953</v>
      </c>
      <c r="J55" s="34" t="n">
        <f aca="false">J54-$K$4*U54</f>
        <v>-0.490963894600112</v>
      </c>
      <c r="K55" s="34" t="n">
        <f aca="false">K54-$K$4*V54</f>
        <v>-0.425265094399905</v>
      </c>
      <c r="L55" s="34" t="n">
        <f aca="false">L54-$K$4*W54</f>
        <v>0.76787359731005</v>
      </c>
      <c r="M55" s="34" t="n">
        <f aca="false">M54-$K$4*X54</f>
        <v>0.686597836970975</v>
      </c>
      <c r="N55" s="31" t="n">
        <f aca="false">I55+J55*C55+K55*D55+L55*E55+F55*M55</f>
        <v>-2.64673349190202</v>
      </c>
      <c r="O55" s="31" t="n">
        <f aca="false">1/(1+EXP(-N55))</f>
        <v>0.0661906246048671</v>
      </c>
      <c r="P55" s="32" t="n">
        <f aca="false">IF(O55&gt;0.5,1,0)</f>
        <v>0</v>
      </c>
      <c r="Q55" s="32" t="n">
        <f aca="false">O55-G55</f>
        <v>0.0661906246048671</v>
      </c>
      <c r="R55" s="33" t="n">
        <f aca="false">Q55^2</f>
        <v>0.00438119878558244</v>
      </c>
      <c r="T55" s="33" t="n">
        <f aca="false">2*(O55-G55)*(1-O55)*O55</f>
        <v>0.0081824090028933</v>
      </c>
      <c r="U55" s="33" t="n">
        <f aca="false">2*(O55-G55)*(1-O55)*O55*C55</f>
        <v>0.0433667677153345</v>
      </c>
      <c r="V55" s="33" t="n">
        <f aca="false">2*(O55-G55)*(1-O55)*O55*D55</f>
        <v>0.0302749133107052</v>
      </c>
      <c r="W55" s="33" t="n">
        <f aca="false">2*(O55-G55)*(1-O55)*O55*E55</f>
        <v>0.01227361350434</v>
      </c>
      <c r="X55" s="33" t="n">
        <f aca="false">2*(O55-G55)*(1-O55)*O55*F55</f>
        <v>0.00163648180057866</v>
      </c>
    </row>
    <row r="56" customFormat="false" ht="14.25" hidden="false" customHeight="true" outlineLevel="0" collapsed="false">
      <c r="A56" s="67"/>
      <c r="B56" s="34" t="n">
        <v>10</v>
      </c>
      <c r="C56" s="2" t="n">
        <f aca="false">IF($B56&lt;=10, INDEX(Data!$A:$A,40+$B56), INDEX(Data!$A:$A,80+$B56))</f>
        <v>5</v>
      </c>
      <c r="D56" s="54" t="n">
        <f aca="false">IF($B56&lt;=10, INDEX(Data!$B:$B,40+$B56), INDEX(Data!$B:$B,80+$B56))</f>
        <v>3.3</v>
      </c>
      <c r="E56" s="54" t="n">
        <f aca="false">IF($B56&lt;=10, INDEX(Data!$C:$C,40+$B56), INDEX(Data!$C:$C,80+$B56))</f>
        <v>1.4</v>
      </c>
      <c r="F56" s="54" t="n">
        <f aca="false">IF($B56&lt;=10, INDEX(Data!$D:$D,40+$B56), INDEX(Data!$D:$D,80+$B56))</f>
        <v>0.2</v>
      </c>
      <c r="G56" s="54" t="n">
        <f aca="false">IF(INDEX(Data!$E:$E,IF($B56&lt;=10,40+$B56,80+$B56))="Iris-setosa",0,1)</f>
        <v>0</v>
      </c>
      <c r="H56" s="1" t="n">
        <f aca="false">IF(G56=P56, 1, 0)</f>
        <v>1</v>
      </c>
      <c r="I56" s="34" t="n">
        <f aca="false">I55-$K$4*T55</f>
        <v>0.238907794498664</v>
      </c>
      <c r="J56" s="34" t="n">
        <f aca="false">J55-$K$4*U55</f>
        <v>-0.495300571371646</v>
      </c>
      <c r="K56" s="34" t="n">
        <f aca="false">K55-$K$4*V55</f>
        <v>-0.428292585730975</v>
      </c>
      <c r="L56" s="34" t="n">
        <f aca="false">L55-$K$4*W55</f>
        <v>0.766646235959616</v>
      </c>
      <c r="M56" s="34" t="n">
        <f aca="false">M55-$K$4*X55</f>
        <v>0.686434188790917</v>
      </c>
      <c r="N56" s="31" t="n">
        <f aca="false">I56+J56*C56+K56*D56+L56*E56+F56*M56</f>
        <v>-2.44036902717014</v>
      </c>
      <c r="O56" s="31" t="n">
        <f aca="false">1/(1+EXP(-N56))</f>
        <v>0.0801457024001737</v>
      </c>
      <c r="P56" s="32" t="n">
        <f aca="false">IF(O56&gt;0.5,1,0)</f>
        <v>0</v>
      </c>
      <c r="Q56" s="32" t="n">
        <f aca="false">O56-G56</f>
        <v>0.0801457024001737</v>
      </c>
      <c r="R56" s="33" t="n">
        <f aca="false">Q56^2</f>
        <v>0.00642333361321721</v>
      </c>
      <c r="T56" s="33" t="n">
        <f aca="false">2*(O56-G56)*(1-O56)*O56</f>
        <v>0.0118170620580705</v>
      </c>
      <c r="U56" s="33" t="n">
        <f aca="false">2*(O56-G56)*(1-O56)*O56*C56</f>
        <v>0.0590853102903527</v>
      </c>
      <c r="V56" s="33" t="n">
        <f aca="false">2*(O56-G56)*(1-O56)*O56*D56</f>
        <v>0.0389963047916328</v>
      </c>
      <c r="W56" s="33" t="n">
        <f aca="false">2*(O56-G56)*(1-O56)*O56*E56</f>
        <v>0.0165438868812988</v>
      </c>
      <c r="X56" s="33" t="n">
        <f aca="false">2*(O56-G56)*(1-O56)*O56*F56</f>
        <v>0.00236341241161411</v>
      </c>
    </row>
    <row r="57" customFormat="false" ht="14.25" hidden="false" customHeight="true" outlineLevel="0" collapsed="false">
      <c r="A57" s="67"/>
      <c r="B57" s="34" t="n">
        <v>11</v>
      </c>
      <c r="C57" s="2" t="n">
        <f aca="false">IF($B57&lt;=10, INDEX(Data!$A:$A,40+$B57), INDEX(Data!$A:$A,80+$B57))</f>
        <v>5.5</v>
      </c>
      <c r="D57" s="54" t="n">
        <f aca="false">IF($B57&lt;=10, INDEX(Data!$B:$B,40+$B57), INDEX(Data!$B:$B,80+$B57))</f>
        <v>2.6</v>
      </c>
      <c r="E57" s="54" t="n">
        <f aca="false">IF($B57&lt;=10, INDEX(Data!$C:$C,40+$B57), INDEX(Data!$C:$C,80+$B57))</f>
        <v>4.4</v>
      </c>
      <c r="F57" s="54" t="n">
        <f aca="false">IF($B57&lt;=10, INDEX(Data!$D:$D,40+$B57), INDEX(Data!$D:$D,80+$B57))</f>
        <v>1.2</v>
      </c>
      <c r="G57" s="54" t="n">
        <f aca="false">IF(INDEX(Data!$E:$E,IF($B57&lt;=10,40+$B57,80+$B57))="Iris-setosa",0,1)</f>
        <v>1</v>
      </c>
      <c r="H57" s="1" t="n">
        <f aca="false">IF(G57=P57, 1, 0)</f>
        <v>1</v>
      </c>
      <c r="I57" s="34" t="n">
        <f aca="false">I56-$K$4*T56</f>
        <v>0.237726088292857</v>
      </c>
      <c r="J57" s="34" t="n">
        <f aca="false">J56-$K$4*U56</f>
        <v>-0.501209102400681</v>
      </c>
      <c r="K57" s="34" t="n">
        <f aca="false">K56-$K$4*V56</f>
        <v>-0.432192216210139</v>
      </c>
      <c r="L57" s="34" t="n">
        <f aca="false">L56-$K$4*W56</f>
        <v>0.764991847271487</v>
      </c>
      <c r="M57" s="34" t="n">
        <f aca="false">M56-$K$4*X56</f>
        <v>0.686197847549756</v>
      </c>
      <c r="N57" s="31" t="n">
        <f aca="false">I57+J57*C57+K57*D57+L57*E57+F57*M57</f>
        <v>0.546777807996998</v>
      </c>
      <c r="O57" s="31" t="n">
        <f aca="false">1/(1+EXP(-N57))</f>
        <v>0.633387695236753</v>
      </c>
      <c r="P57" s="32" t="n">
        <f aca="false">IF(O57&gt;0.5,1,0)</f>
        <v>1</v>
      </c>
      <c r="Q57" s="32" t="n">
        <f aca="false">O57-G57</f>
        <v>-0.366612304763247</v>
      </c>
      <c r="R57" s="33" t="n">
        <f aca="false">Q57^2</f>
        <v>0.13440458200382</v>
      </c>
      <c r="T57" s="33" t="n">
        <f aca="false">2*(O57-G57)*(1-O57)*O57</f>
        <v>-0.170260416849318</v>
      </c>
      <c r="U57" s="33" t="n">
        <f aca="false">2*(O57-G57)*(1-O57)*O57*C57</f>
        <v>-0.936432292671247</v>
      </c>
      <c r="V57" s="33" t="n">
        <f aca="false">2*(O57-G57)*(1-O57)*O57*D57</f>
        <v>-0.442677083808226</v>
      </c>
      <c r="W57" s="33" t="n">
        <f aca="false">2*(O57-G57)*(1-O57)*O57*E57</f>
        <v>-0.749145834136998</v>
      </c>
      <c r="X57" s="33" t="n">
        <f aca="false">2*(O57-G57)*(1-O57)*O57*F57</f>
        <v>-0.204312500219181</v>
      </c>
    </row>
    <row r="58" customFormat="false" ht="14.25" hidden="false" customHeight="true" outlineLevel="0" collapsed="false">
      <c r="A58" s="67"/>
      <c r="B58" s="34" t="n">
        <v>12</v>
      </c>
      <c r="C58" s="2" t="n">
        <f aca="false">IF($B58&lt;=10, INDEX(Data!$A:$A,40+$B58), INDEX(Data!$A:$A,80+$B58))</f>
        <v>6.1</v>
      </c>
      <c r="D58" s="54" t="n">
        <f aca="false">IF($B58&lt;=10, INDEX(Data!$B:$B,40+$B58), INDEX(Data!$B:$B,80+$B58))</f>
        <v>3</v>
      </c>
      <c r="E58" s="54" t="n">
        <f aca="false">IF($B58&lt;=10, INDEX(Data!$C:$C,40+$B58), INDEX(Data!$C:$C,80+$B58))</f>
        <v>4.6</v>
      </c>
      <c r="F58" s="54" t="n">
        <f aca="false">IF($B58&lt;=10, INDEX(Data!$D:$D,40+$B58), INDEX(Data!$D:$D,80+$B58))</f>
        <v>1.4</v>
      </c>
      <c r="G58" s="54" t="n">
        <f aca="false">IF(INDEX(Data!$E:$E,IF($B58&lt;=10,40+$B58,80+$B58))="Iris-setosa",0,1)</f>
        <v>1</v>
      </c>
      <c r="H58" s="1" t="n">
        <f aca="false">IF(G58=P58, 1, 0)</f>
        <v>1</v>
      </c>
      <c r="I58" s="34" t="n">
        <f aca="false">I57-$K$4*T57</f>
        <v>0.254752129977788</v>
      </c>
      <c r="J58" s="34" t="n">
        <f aca="false">J57-$K$4*U57</f>
        <v>-0.407565873133556</v>
      </c>
      <c r="K58" s="34" t="n">
        <f aca="false">K57-$K$4*V57</f>
        <v>-0.387924507829316</v>
      </c>
      <c r="L58" s="34" t="n">
        <f aca="false">L57-$K$4*W57</f>
        <v>0.839906430685186</v>
      </c>
      <c r="M58" s="34" t="n">
        <f aca="false">M57-$K$4*X57</f>
        <v>0.706629097571674</v>
      </c>
      <c r="N58" s="31" t="n">
        <f aca="false">I58+J58*C58+K58*D58+L58*E58+F58*M58</f>
        <v>1.45767709812735</v>
      </c>
      <c r="O58" s="31" t="n">
        <f aca="false">1/(1+EXP(-N58))</f>
        <v>0.81117713587227</v>
      </c>
      <c r="P58" s="32" t="n">
        <f aca="false">IF(O58&gt;0.5,1,0)</f>
        <v>1</v>
      </c>
      <c r="Q58" s="32" t="n">
        <f aca="false">O58-G58</f>
        <v>-0.188822864127731</v>
      </c>
      <c r="R58" s="33" t="n">
        <f aca="false">Q58^2</f>
        <v>0.0356540740173994</v>
      </c>
      <c r="T58" s="33" t="n">
        <f aca="false">2*(O58-G58)*(1-O58)*O58</f>
        <v>-0.0578435392872239</v>
      </c>
      <c r="U58" s="33" t="n">
        <f aca="false">2*(O58-G58)*(1-O58)*O58*C58</f>
        <v>-0.352845589652066</v>
      </c>
      <c r="V58" s="33" t="n">
        <f aca="false">2*(O58-G58)*(1-O58)*O58*D58</f>
        <v>-0.173530617861672</v>
      </c>
      <c r="W58" s="33" t="n">
        <f aca="false">2*(O58-G58)*(1-O58)*O58*E58</f>
        <v>-0.26608028072123</v>
      </c>
      <c r="X58" s="33" t="n">
        <f aca="false">2*(O58-G58)*(1-O58)*O58*F58</f>
        <v>-0.0809809550021134</v>
      </c>
    </row>
    <row r="59" customFormat="false" ht="14.25" hidden="false" customHeight="true" outlineLevel="0" collapsed="false">
      <c r="A59" s="67"/>
      <c r="B59" s="34" t="n">
        <v>13</v>
      </c>
      <c r="C59" s="2" t="n">
        <f aca="false">IF($B59&lt;=10, INDEX(Data!$A:$A,40+$B59), INDEX(Data!$A:$A,80+$B59))</f>
        <v>5.8</v>
      </c>
      <c r="D59" s="54" t="n">
        <f aca="false">IF($B59&lt;=10, INDEX(Data!$B:$B,40+$B59), INDEX(Data!$B:$B,80+$B59))</f>
        <v>2.6</v>
      </c>
      <c r="E59" s="54" t="n">
        <f aca="false">IF($B59&lt;=10, INDEX(Data!$C:$C,40+$B59), INDEX(Data!$C:$C,80+$B59))</f>
        <v>4</v>
      </c>
      <c r="F59" s="54" t="n">
        <f aca="false">IF($B59&lt;=10, INDEX(Data!$D:$D,40+$B59), INDEX(Data!$D:$D,80+$B59))</f>
        <v>1.2</v>
      </c>
      <c r="G59" s="54" t="n">
        <f aca="false">IF(INDEX(Data!$E:$E,IF($B59&lt;=10,40+$B59,80+$B59))="Iris-setosa",0,1)</f>
        <v>1</v>
      </c>
      <c r="H59" s="1" t="n">
        <f aca="false">IF(G59=P59, 1, 0)</f>
        <v>1</v>
      </c>
      <c r="I59" s="34" t="n">
        <f aca="false">I58-$K$4*T58</f>
        <v>0.260536483906511</v>
      </c>
      <c r="J59" s="34" t="n">
        <f aca="false">J58-$K$4*U58</f>
        <v>-0.37228131416835</v>
      </c>
      <c r="K59" s="34" t="n">
        <f aca="false">K58-$K$4*V58</f>
        <v>-0.370571446043149</v>
      </c>
      <c r="L59" s="34" t="n">
        <f aca="false">L58-$K$4*W58</f>
        <v>0.866514458757309</v>
      </c>
      <c r="M59" s="34" t="n">
        <f aca="false">M58-$K$4*X58</f>
        <v>0.714727193071885</v>
      </c>
      <c r="N59" s="31" t="n">
        <f aca="false">I59+J59*C59+K59*D59+L59*E59+F59*M59</f>
        <v>1.46154956873339</v>
      </c>
      <c r="O59" s="31" t="n">
        <f aca="false">1/(1+EXP(-N59))</f>
        <v>0.81176956288045</v>
      </c>
      <c r="P59" s="32" t="n">
        <f aca="false">IF(O59&gt;0.5,1,0)</f>
        <v>1</v>
      </c>
      <c r="Q59" s="32" t="n">
        <f aca="false">O59-G59</f>
        <v>-0.18823043711955</v>
      </c>
      <c r="R59" s="33" t="n">
        <f aca="false">Q59^2</f>
        <v>0.0354306974582169</v>
      </c>
      <c r="T59" s="33" t="n">
        <f aca="false">2*(O59-G59)*(1-O59)*O59</f>
        <v>-0.0575231235764124</v>
      </c>
      <c r="U59" s="33" t="n">
        <f aca="false">2*(O59-G59)*(1-O59)*O59*C59</f>
        <v>-0.333634116743192</v>
      </c>
      <c r="V59" s="33" t="n">
        <f aca="false">2*(O59-G59)*(1-O59)*O59*D59</f>
        <v>-0.149560121298672</v>
      </c>
      <c r="W59" s="33" t="n">
        <f aca="false">2*(O59-G59)*(1-O59)*O59*E59</f>
        <v>-0.230092494305649</v>
      </c>
      <c r="X59" s="33" t="n">
        <f aca="false">2*(O59-G59)*(1-O59)*O59*F59</f>
        <v>-0.0690277482916948</v>
      </c>
    </row>
    <row r="60" customFormat="false" ht="14.25" hidden="false" customHeight="true" outlineLevel="0" collapsed="false">
      <c r="A60" s="67"/>
      <c r="B60" s="34" t="n">
        <v>14</v>
      </c>
      <c r="C60" s="2" t="n">
        <f aca="false">IF($B60&lt;=10, INDEX(Data!$A:$A,40+$B60), INDEX(Data!$A:$A,80+$B60))</f>
        <v>5</v>
      </c>
      <c r="D60" s="54" t="n">
        <f aca="false">IF($B60&lt;=10, INDEX(Data!$B:$B,40+$B60), INDEX(Data!$B:$B,80+$B60))</f>
        <v>2.3</v>
      </c>
      <c r="E60" s="54" t="n">
        <f aca="false">IF($B60&lt;=10, INDEX(Data!$C:$C,40+$B60), INDEX(Data!$C:$C,80+$B60))</f>
        <v>3.3</v>
      </c>
      <c r="F60" s="54" t="n">
        <f aca="false">IF($B60&lt;=10, INDEX(Data!$D:$D,40+$B60), INDEX(Data!$D:$D,80+$B60))</f>
        <v>1</v>
      </c>
      <c r="G60" s="54" t="n">
        <f aca="false">IF(INDEX(Data!$E:$E,IF($B60&lt;=10,40+$B60,80+$B60))="Iris-setosa",0,1)</f>
        <v>1</v>
      </c>
      <c r="H60" s="1" t="n">
        <f aca="false">IF(G60=P60, 1, 0)</f>
        <v>1</v>
      </c>
      <c r="I60" s="34" t="n">
        <f aca="false">I59-$K$4*T59</f>
        <v>0.266288796264152</v>
      </c>
      <c r="J60" s="34" t="n">
        <f aca="false">J59-$K$4*U59</f>
        <v>-0.338917902494031</v>
      </c>
      <c r="K60" s="34" t="n">
        <f aca="false">K59-$K$4*V59</f>
        <v>-0.355615433913282</v>
      </c>
      <c r="L60" s="34" t="n">
        <f aca="false">L59-$K$4*W59</f>
        <v>0.889523708187874</v>
      </c>
      <c r="M60" s="34" t="n">
        <f aca="false">M59-$K$4*X59</f>
        <v>0.721629967901055</v>
      </c>
      <c r="N60" s="31" t="n">
        <f aca="false">I60+J60*C60+K60*D60+L60*E60+F60*M60</f>
        <v>1.41084199071449</v>
      </c>
      <c r="O60" s="31" t="n">
        <f aca="false">1/(1+EXP(-N60))</f>
        <v>0.803898713707211</v>
      </c>
      <c r="P60" s="32" t="n">
        <f aca="false">IF(O60&gt;0.5,1,0)</f>
        <v>1</v>
      </c>
      <c r="Q60" s="32" t="n">
        <f aca="false">O60-G60</f>
        <v>-0.196101286292789</v>
      </c>
      <c r="R60" s="33" t="n">
        <f aca="false">Q60^2</f>
        <v>0.0384557144856863</v>
      </c>
      <c r="T60" s="33" t="n">
        <f aca="false">2*(O60-G60)*(1-O60)*O60</f>
        <v>-0.0618289988194699</v>
      </c>
      <c r="U60" s="33" t="n">
        <f aca="false">2*(O60-G60)*(1-O60)*O60*C60</f>
        <v>-0.30914499409735</v>
      </c>
      <c r="V60" s="33" t="n">
        <f aca="false">2*(O60-G60)*(1-O60)*O60*D60</f>
        <v>-0.142206697284781</v>
      </c>
      <c r="W60" s="33" t="n">
        <f aca="false">2*(O60-G60)*(1-O60)*O60*E60</f>
        <v>-0.204035696104251</v>
      </c>
      <c r="X60" s="33" t="n">
        <f aca="false">2*(O60-G60)*(1-O60)*O60*F60</f>
        <v>-0.0618289988194699</v>
      </c>
    </row>
    <row r="61" customFormat="false" ht="14.25" hidden="false" customHeight="true" outlineLevel="0" collapsed="false">
      <c r="A61" s="67"/>
      <c r="B61" s="34" t="n">
        <v>15</v>
      </c>
      <c r="C61" s="2" t="n">
        <f aca="false">IF($B61&lt;=10, INDEX(Data!$A:$A,40+$B61), INDEX(Data!$A:$A,80+$B61))</f>
        <v>5.6</v>
      </c>
      <c r="D61" s="54" t="n">
        <f aca="false">IF($B61&lt;=10, INDEX(Data!$B:$B,40+$B61), INDEX(Data!$B:$B,80+$B61))</f>
        <v>2.7</v>
      </c>
      <c r="E61" s="54" t="n">
        <f aca="false">IF($B61&lt;=10, INDEX(Data!$C:$C,40+$B61), INDEX(Data!$C:$C,80+$B61))</f>
        <v>4.2</v>
      </c>
      <c r="F61" s="54" t="n">
        <f aca="false">IF($B61&lt;=10, INDEX(Data!$D:$D,40+$B61), INDEX(Data!$D:$D,80+$B61))</f>
        <v>1.3</v>
      </c>
      <c r="G61" s="54" t="n">
        <f aca="false">IF(INDEX(Data!$E:$E,IF($B61&lt;=10,40+$B61,80+$B61))="Iris-setosa",0,1)</f>
        <v>1</v>
      </c>
      <c r="H61" s="1" t="n">
        <f aca="false">IF(G61=P61, 1, 0)</f>
        <v>1</v>
      </c>
      <c r="I61" s="34" t="n">
        <f aca="false">I60-$K$4*T60</f>
        <v>0.272471696146099</v>
      </c>
      <c r="J61" s="34" t="n">
        <f aca="false">J60-$K$4*U60</f>
        <v>-0.308003403084296</v>
      </c>
      <c r="K61" s="34" t="n">
        <f aca="false">K60-$K$4*V60</f>
        <v>-0.341394764184804</v>
      </c>
      <c r="L61" s="34" t="n">
        <f aca="false">L60-$K$4*W60</f>
        <v>0.909927277798299</v>
      </c>
      <c r="M61" s="34" t="n">
        <f aca="false">M60-$K$4*X60</f>
        <v>0.727812867783002</v>
      </c>
      <c r="N61" s="31" t="n">
        <f aca="false">I61+J61*C61+K61*D61+L61*E61+F61*M61</f>
        <v>2.39373807044583</v>
      </c>
      <c r="O61" s="31" t="n">
        <f aca="false">1/(1+EXP(-N61))</f>
        <v>0.916348552028332</v>
      </c>
      <c r="P61" s="32" t="n">
        <f aca="false">IF(O61&gt;0.5,1,0)</f>
        <v>1</v>
      </c>
      <c r="Q61" s="32" t="n">
        <f aca="false">O61-G61</f>
        <v>-0.0836514479716678</v>
      </c>
      <c r="R61" s="33" t="n">
        <f aca="false">Q61^2</f>
        <v>0.00699756474775664</v>
      </c>
      <c r="T61" s="33" t="n">
        <f aca="false">2*(O61-G61)*(1-O61)*O61</f>
        <v>-0.0128244166486626</v>
      </c>
      <c r="U61" s="33" t="n">
        <f aca="false">2*(O61-G61)*(1-O61)*O61*C61</f>
        <v>-0.0718167332325106</v>
      </c>
      <c r="V61" s="33" t="n">
        <f aca="false">2*(O61-G61)*(1-O61)*O61*D61</f>
        <v>-0.034625924951389</v>
      </c>
      <c r="W61" s="33" t="n">
        <f aca="false">2*(O61-G61)*(1-O61)*O61*E61</f>
        <v>-0.0538625499243829</v>
      </c>
      <c r="X61" s="33" t="n">
        <f aca="false">2*(O61-G61)*(1-O61)*O61*F61</f>
        <v>-0.0166717416432614</v>
      </c>
    </row>
    <row r="62" customFormat="false" ht="14.25" hidden="false" customHeight="true" outlineLevel="0" collapsed="false">
      <c r="A62" s="67"/>
      <c r="B62" s="34" t="n">
        <v>16</v>
      </c>
      <c r="C62" s="2" t="n">
        <f aca="false">IF($B62&lt;=10, INDEX(Data!$A:$A,40+$B62), INDEX(Data!$A:$A,80+$B62))</f>
        <v>5.7</v>
      </c>
      <c r="D62" s="54" t="n">
        <f aca="false">IF($B62&lt;=10, INDEX(Data!$B:$B,40+$B62), INDEX(Data!$B:$B,80+$B62))</f>
        <v>3</v>
      </c>
      <c r="E62" s="54" t="n">
        <f aca="false">IF($B62&lt;=10, INDEX(Data!$C:$C,40+$B62), INDEX(Data!$C:$C,80+$B62))</f>
        <v>4.2</v>
      </c>
      <c r="F62" s="54" t="n">
        <f aca="false">IF($B62&lt;=10, INDEX(Data!$D:$D,40+$B62), INDEX(Data!$D:$D,80+$B62))</f>
        <v>1.2</v>
      </c>
      <c r="G62" s="54" t="n">
        <f aca="false">IF(INDEX(Data!$E:$E,IF($B62&lt;=10,40+$B62,80+$B62))="Iris-setosa",0,1)</f>
        <v>1</v>
      </c>
      <c r="H62" s="1" t="n">
        <f aca="false">IF(G62=P62, 1, 0)</f>
        <v>1</v>
      </c>
      <c r="I62" s="34" t="n">
        <f aca="false">I61-$K$4*T61</f>
        <v>0.273754137810965</v>
      </c>
      <c r="J62" s="34" t="n">
        <f aca="false">J61-$K$4*U61</f>
        <v>-0.300821729761045</v>
      </c>
      <c r="K62" s="34" t="n">
        <f aca="false">K61-$K$4*V61</f>
        <v>-0.337932171689665</v>
      </c>
      <c r="L62" s="34" t="n">
        <f aca="false">L61-$K$4*W61</f>
        <v>0.915313532790738</v>
      </c>
      <c r="M62" s="34" t="n">
        <f aca="false">M61-$K$4*X61</f>
        <v>0.729480041947328</v>
      </c>
      <c r="N62" s="31" t="n">
        <f aca="false">I62+J62*C62+K62*D62+L62*E62+F62*M62</f>
        <v>2.26496665116191</v>
      </c>
      <c r="O62" s="31" t="n">
        <f aca="false">1/(1+EXP(-N62))</f>
        <v>0.905933732331884</v>
      </c>
      <c r="P62" s="32" t="n">
        <f aca="false">IF(O62&gt;0.5,1,0)</f>
        <v>1</v>
      </c>
      <c r="Q62" s="32" t="n">
        <f aca="false">O62-G62</f>
        <v>-0.0940662676681161</v>
      </c>
      <c r="R62" s="33" t="n">
        <f aca="false">Q62^2</f>
        <v>0.00884846271300967</v>
      </c>
      <c r="T62" s="33" t="n">
        <f aca="false">2*(O62-G62)*(1-O62)*O62</f>
        <v>-0.0160322417019927</v>
      </c>
      <c r="U62" s="33" t="n">
        <f aca="false">2*(O62-G62)*(1-O62)*O62*C62</f>
        <v>-0.0913837777013584</v>
      </c>
      <c r="V62" s="33" t="n">
        <f aca="false">2*(O62-G62)*(1-O62)*O62*D62</f>
        <v>-0.0480967251059781</v>
      </c>
      <c r="W62" s="33" t="n">
        <f aca="false">2*(O62-G62)*(1-O62)*O62*E62</f>
        <v>-0.0673354151483694</v>
      </c>
      <c r="X62" s="33" t="n">
        <f aca="false">2*(O62-G62)*(1-O62)*O62*F62</f>
        <v>-0.0192386900423912</v>
      </c>
    </row>
    <row r="63" customFormat="false" ht="14.25" hidden="false" customHeight="true" outlineLevel="0" collapsed="false">
      <c r="A63" s="67"/>
      <c r="B63" s="34" t="n">
        <v>17</v>
      </c>
      <c r="C63" s="2" t="n">
        <f aca="false">IF($B63&lt;=10, INDEX(Data!$A:$A,40+$B63), INDEX(Data!$A:$A,80+$B63))</f>
        <v>5.7</v>
      </c>
      <c r="D63" s="54" t="n">
        <f aca="false">IF($B63&lt;=10, INDEX(Data!$B:$B,40+$B63), INDEX(Data!$B:$B,80+$B63))</f>
        <v>2.9</v>
      </c>
      <c r="E63" s="54" t="n">
        <f aca="false">IF($B63&lt;=10, INDEX(Data!$C:$C,40+$B63), INDEX(Data!$C:$C,80+$B63))</f>
        <v>4.2</v>
      </c>
      <c r="F63" s="54" t="n">
        <f aca="false">IF($B63&lt;=10, INDEX(Data!$D:$D,40+$B63), INDEX(Data!$D:$D,80+$B63))</f>
        <v>1.3</v>
      </c>
      <c r="G63" s="54" t="n">
        <f aca="false">IF(INDEX(Data!$E:$E,IF($B63&lt;=10,40+$B63,80+$B63))="Iris-setosa",0,1)</f>
        <v>1</v>
      </c>
      <c r="H63" s="1" t="n">
        <f aca="false">IF(G63=P63, 1, 0)</f>
        <v>1</v>
      </c>
      <c r="I63" s="34" t="n">
        <f aca="false">I62-$K$4*T62</f>
        <v>0.275357361981164</v>
      </c>
      <c r="J63" s="34" t="n">
        <f aca="false">J62-$K$4*U62</f>
        <v>-0.291683351990909</v>
      </c>
      <c r="K63" s="34" t="n">
        <f aca="false">K62-$K$4*V62</f>
        <v>-0.333122499179067</v>
      </c>
      <c r="L63" s="34" t="n">
        <f aca="false">L62-$K$4*W62</f>
        <v>0.922047074305574</v>
      </c>
      <c r="M63" s="34" t="n">
        <f aca="false">M62-$K$4*X62</f>
        <v>0.731403910951567</v>
      </c>
      <c r="N63" s="31" t="n">
        <f aca="false">I63+J63*C63+K63*D63+L63*E63+F63*M63</f>
        <v>2.47012980433414</v>
      </c>
      <c r="O63" s="31" t="n">
        <f aca="false">1/(1+EXP(-N63))</f>
        <v>0.922021098078934</v>
      </c>
      <c r="P63" s="32" t="n">
        <f aca="false">IF(O63&gt;0.5,1,0)</f>
        <v>1</v>
      </c>
      <c r="Q63" s="32" t="n">
        <f aca="false">O63-G63</f>
        <v>-0.0779789019210657</v>
      </c>
      <c r="R63" s="33" t="n">
        <f aca="false">Q63^2</f>
        <v>0.00608070914481519</v>
      </c>
      <c r="T63" s="33" t="n">
        <f aca="false">2*(O63-G63)*(1-O63)*O63</f>
        <v>-0.0112130842456022</v>
      </c>
      <c r="U63" s="33" t="n">
        <f aca="false">2*(O63-G63)*(1-O63)*O63*C63</f>
        <v>-0.0639145801999327</v>
      </c>
      <c r="V63" s="33" t="n">
        <f aca="false">2*(O63-G63)*(1-O63)*O63*D63</f>
        <v>-0.0325179443122465</v>
      </c>
      <c r="W63" s="33" t="n">
        <f aca="false">2*(O63-G63)*(1-O63)*O63*E63</f>
        <v>-0.0470949538315294</v>
      </c>
      <c r="X63" s="33" t="n">
        <f aca="false">2*(O63-G63)*(1-O63)*O63*F63</f>
        <v>-0.0145770095192829</v>
      </c>
    </row>
    <row r="64" customFormat="false" ht="14.25" hidden="false" customHeight="true" outlineLevel="0" collapsed="false">
      <c r="A64" s="67"/>
      <c r="B64" s="34" t="n">
        <v>18</v>
      </c>
      <c r="C64" s="2" t="n">
        <f aca="false">IF($B64&lt;=10, INDEX(Data!$A:$A,40+$B64), INDEX(Data!$A:$A,80+$B64))</f>
        <v>6.2</v>
      </c>
      <c r="D64" s="54" t="n">
        <f aca="false">IF($B64&lt;=10, INDEX(Data!$B:$B,40+$B64), INDEX(Data!$B:$B,80+$B64))</f>
        <v>2.9</v>
      </c>
      <c r="E64" s="54" t="n">
        <f aca="false">IF($B64&lt;=10, INDEX(Data!$C:$C,40+$B64), INDEX(Data!$C:$C,80+$B64))</f>
        <v>4.3</v>
      </c>
      <c r="F64" s="54" t="n">
        <f aca="false">IF($B64&lt;=10, INDEX(Data!$D:$D,40+$B64), INDEX(Data!$D:$D,80+$B64))</f>
        <v>1.3</v>
      </c>
      <c r="G64" s="54" t="n">
        <f aca="false">IF(INDEX(Data!$E:$E,IF($B64&lt;=10,40+$B64,80+$B64))="Iris-setosa",0,1)</f>
        <v>1</v>
      </c>
      <c r="H64" s="1" t="n">
        <f aca="false">IF(G64=P64, 1, 0)</f>
        <v>1</v>
      </c>
      <c r="I64" s="34" t="n">
        <f aca="false">I63-$K$4*T63</f>
        <v>0.276478670405725</v>
      </c>
      <c r="J64" s="34" t="n">
        <f aca="false">J63-$K$4*U63</f>
        <v>-0.285291893970916</v>
      </c>
      <c r="K64" s="34" t="n">
        <f aca="false">K63-$K$4*V63</f>
        <v>-0.329870704747842</v>
      </c>
      <c r="L64" s="34" t="n">
        <f aca="false">L63-$K$4*W63</f>
        <v>0.926756569688727</v>
      </c>
      <c r="M64" s="34" t="n">
        <f aca="false">M63-$K$4*X63</f>
        <v>0.732861611903495</v>
      </c>
      <c r="N64" s="31" t="n">
        <f aca="false">I64+J64*C64+K64*D64+L64*E64+F64*M64</f>
        <v>2.48881722915338</v>
      </c>
      <c r="O64" s="31" t="n">
        <f aca="false">1/(1+EXP(-N64))</f>
        <v>0.923354138352121</v>
      </c>
      <c r="P64" s="32" t="n">
        <f aca="false">IF(O64&gt;0.5,1,0)</f>
        <v>1</v>
      </c>
      <c r="Q64" s="32" t="n">
        <f aca="false">O64-G64</f>
        <v>-0.0766458616478793</v>
      </c>
      <c r="R64" s="33" t="n">
        <f aca="false">Q64^2</f>
        <v>0.00587458810774586</v>
      </c>
      <c r="T64" s="33" t="n">
        <f aca="false">2*(O64-G64)*(1-O64)*O64</f>
        <v>-0.0108486504808026</v>
      </c>
      <c r="U64" s="33" t="n">
        <f aca="false">2*(O64-G64)*(1-O64)*O64*C64</f>
        <v>-0.0672616329809761</v>
      </c>
      <c r="V64" s="33" t="n">
        <f aca="false">2*(O64-G64)*(1-O64)*O64*D64</f>
        <v>-0.0314610863943275</v>
      </c>
      <c r="W64" s="33" t="n">
        <f aca="false">2*(O64-G64)*(1-O64)*O64*E64</f>
        <v>-0.0466491970674511</v>
      </c>
      <c r="X64" s="33" t="n">
        <f aca="false">2*(O64-G64)*(1-O64)*O64*F64</f>
        <v>-0.0141032456250434</v>
      </c>
    </row>
    <row r="65" customFormat="false" ht="14.25" hidden="false" customHeight="true" outlineLevel="0" collapsed="false">
      <c r="A65" s="67"/>
      <c r="B65" s="34" t="n">
        <v>19</v>
      </c>
      <c r="C65" s="2" t="n">
        <f aca="false">IF($B65&lt;=10, INDEX(Data!$A:$A,40+$B65), INDEX(Data!$A:$A,80+$B65))</f>
        <v>5.1</v>
      </c>
      <c r="D65" s="54" t="n">
        <f aca="false">IF($B65&lt;=10, INDEX(Data!$B:$B,40+$B65), INDEX(Data!$B:$B,80+$B65))</f>
        <v>2.5</v>
      </c>
      <c r="E65" s="54" t="n">
        <f aca="false">IF($B65&lt;=10, INDEX(Data!$C:$C,40+$B65), INDEX(Data!$C:$C,80+$B65))</f>
        <v>3</v>
      </c>
      <c r="F65" s="54" t="n">
        <f aca="false">IF($B65&lt;=10, INDEX(Data!$D:$D,40+$B65), INDEX(Data!$D:$D,80+$B65))</f>
        <v>1.1</v>
      </c>
      <c r="G65" s="54" t="n">
        <f aca="false">IF(INDEX(Data!$E:$E,IF($B65&lt;=10,40+$B65,80+$B65))="Iris-setosa",0,1)</f>
        <v>1</v>
      </c>
      <c r="H65" s="1" t="n">
        <f aca="false">IF(G65=P65, 1, 0)</f>
        <v>1</v>
      </c>
      <c r="I65" s="34" t="n">
        <f aca="false">I64-$K$4*T64</f>
        <v>0.277563535453805</v>
      </c>
      <c r="J65" s="34" t="n">
        <f aca="false">J64-$K$4*U64</f>
        <v>-0.278565730672818</v>
      </c>
      <c r="K65" s="34" t="n">
        <f aca="false">K64-$K$4*V64</f>
        <v>-0.326724596108409</v>
      </c>
      <c r="L65" s="34" t="n">
        <f aca="false">L64-$K$4*W64</f>
        <v>0.931421489395472</v>
      </c>
      <c r="M65" s="34" t="n">
        <f aca="false">M64-$K$4*X64</f>
        <v>0.734271936466</v>
      </c>
      <c r="N65" s="31" t="n">
        <f aca="false">I65+J65*C65+K65*D65+L65*E65+F65*M65</f>
        <v>1.64203041705043</v>
      </c>
      <c r="O65" s="31" t="n">
        <f aca="false">1/(1+EXP(-N65))</f>
        <v>0.837811027295075</v>
      </c>
      <c r="P65" s="32" t="n">
        <f aca="false">IF(O65&gt;0.5,1,0)</f>
        <v>1</v>
      </c>
      <c r="Q65" s="32" t="n">
        <f aca="false">O65-G65</f>
        <v>-0.162188972704925</v>
      </c>
      <c r="R65" s="33" t="n">
        <f aca="false">Q65^2</f>
        <v>0.0263052628670788</v>
      </c>
      <c r="T65" s="33" t="n">
        <f aca="false">2*(O65-G65)*(1-O65)*O65</f>
        <v>-0.0440776786118686</v>
      </c>
      <c r="U65" s="33" t="n">
        <f aca="false">2*(O65-G65)*(1-O65)*O65*C65</f>
        <v>-0.22479616092053</v>
      </c>
      <c r="V65" s="33" t="n">
        <f aca="false">2*(O65-G65)*(1-O65)*O65*D65</f>
        <v>-0.110194196529672</v>
      </c>
      <c r="W65" s="33" t="n">
        <f aca="false">2*(O65-G65)*(1-O65)*O65*E65</f>
        <v>-0.132233035835606</v>
      </c>
      <c r="X65" s="33" t="n">
        <f aca="false">2*(O65-G65)*(1-O65)*O65*F65</f>
        <v>-0.0484854464730555</v>
      </c>
    </row>
    <row r="66" customFormat="false" ht="14.25" hidden="false" customHeight="true" outlineLevel="0" collapsed="false">
      <c r="A66" s="67"/>
      <c r="B66" s="34" t="n">
        <v>20</v>
      </c>
      <c r="C66" s="2" t="n">
        <f aca="false">IF($B66&lt;=10, INDEX(Data!$A:$A,40+$B66), INDEX(Data!$A:$A,80+$B66))</f>
        <v>5.7</v>
      </c>
      <c r="D66" s="54" t="n">
        <f aca="false">IF($B66&lt;=10, INDEX(Data!$B:$B,40+$B66), INDEX(Data!$B:$B,80+$B66))</f>
        <v>2.8</v>
      </c>
      <c r="E66" s="54" t="n">
        <f aca="false">IF($B66&lt;=10, INDEX(Data!$C:$C,40+$B66), INDEX(Data!$C:$C,80+$B66))</f>
        <v>4.1</v>
      </c>
      <c r="F66" s="54" t="n">
        <f aca="false">IF($B66&lt;=10, INDEX(Data!$D:$D,40+$B66), INDEX(Data!$D:$D,80+$B66))</f>
        <v>1.3</v>
      </c>
      <c r="G66" s="54" t="n">
        <f aca="false">IF(INDEX(Data!$E:$E,IF($B66&lt;=10,40+$B66,80+$B66))="Iris-setosa",0,1)</f>
        <v>1</v>
      </c>
      <c r="H66" s="1" t="n">
        <f aca="false">IF(G66=P66, 1, 0)</f>
        <v>1</v>
      </c>
      <c r="I66" s="34" t="n">
        <f aca="false">I65-$K$4*T65</f>
        <v>0.281971303314992</v>
      </c>
      <c r="J66" s="34" t="n">
        <f aca="false">J65-$K$4*U65</f>
        <v>-0.256086114580765</v>
      </c>
      <c r="K66" s="34" t="n">
        <f aca="false">K65-$K$4*V65</f>
        <v>-0.315705176455442</v>
      </c>
      <c r="L66" s="34" t="n">
        <f aca="false">L65-$K$4*W65</f>
        <v>0.944644792979033</v>
      </c>
      <c r="M66" s="34" t="n">
        <f aca="false">M65-$K$4*X65</f>
        <v>0.739120481113305</v>
      </c>
      <c r="N66" s="31" t="n">
        <f aca="false">I66+J66*C66+K66*D66+L66*E66+F66*M66</f>
        <v>2.77220623279072</v>
      </c>
      <c r="O66" s="31" t="n">
        <f aca="false">1/(1+EXP(-N66))</f>
        <v>0.941155291128105</v>
      </c>
      <c r="P66" s="32" t="n">
        <f aca="false">IF(O66&gt;0.5,1,0)</f>
        <v>1</v>
      </c>
      <c r="Q66" s="32" t="n">
        <f aca="false">O66-G66</f>
        <v>-0.0588447088718947</v>
      </c>
      <c r="R66" s="33" t="n">
        <f aca="false">Q66^2</f>
        <v>0.00346269976221805</v>
      </c>
      <c r="S66" s="1" t="n">
        <f aca="false">AVERAGE(R47:R66)</f>
        <v>0.04564735393401</v>
      </c>
      <c r="T66" s="33" t="n">
        <f aca="false">2*(O66-G66)*(1-O66)*O66</f>
        <v>-0.0065178764055991</v>
      </c>
      <c r="U66" s="33" t="n">
        <f aca="false">2*(O66-G66)*(1-O66)*O66*C66</f>
        <v>-0.0371518955119149</v>
      </c>
      <c r="V66" s="33" t="n">
        <f aca="false">2*(O66-G66)*(1-O66)*O66*D66</f>
        <v>-0.0182500539356775</v>
      </c>
      <c r="W66" s="33" t="n">
        <f aca="false">2*(O66-G66)*(1-O66)*O66*E66</f>
        <v>-0.0267232932629563</v>
      </c>
      <c r="X66" s="33" t="n">
        <f aca="false">2*(O66-G66)*(1-O66)*O66*F66</f>
        <v>-0.00847323932727883</v>
      </c>
    </row>
    <row r="67" customFormat="false" ht="14.25" hidden="false" customHeight="true" outlineLevel="0" collapsed="false">
      <c r="A67" s="67" t="s">
        <v>35</v>
      </c>
      <c r="B67" s="34" t="n">
        <v>1</v>
      </c>
      <c r="C67" s="2" t="n">
        <f aca="false">IF($B67&lt;=10, INDEX(Data!$A:$A,40+$B67), INDEX(Data!$A:$A,80+$B67))</f>
        <v>5</v>
      </c>
      <c r="D67" s="54" t="n">
        <f aca="false">IF($B67&lt;=10, INDEX(Data!$B:$B,40+$B67), INDEX(Data!$B:$B,80+$B67))</f>
        <v>3.5</v>
      </c>
      <c r="E67" s="54" t="n">
        <f aca="false">IF($B67&lt;=10, INDEX(Data!$C:$C,40+$B67), INDEX(Data!$C:$C,80+$B67))</f>
        <v>1.3</v>
      </c>
      <c r="F67" s="54" t="n">
        <f aca="false">IF($B67&lt;=10, INDEX(Data!$D:$D,40+$B67), INDEX(Data!$D:$D,80+$B67))</f>
        <v>0.3</v>
      </c>
      <c r="G67" s="54" t="n">
        <f aca="false">IF(INDEX(Data!$E:$E,IF($B67&lt;=10,40+$B67,80+$B67))="Iris-setosa",0,1)</f>
        <v>0</v>
      </c>
      <c r="H67" s="1" t="n">
        <f aca="false">IF(G67=P67, 1, 0)</f>
        <v>1</v>
      </c>
      <c r="I67" s="34" t="n">
        <f aca="false">'SLP-Training'!I324</f>
        <v>0.282063030419968</v>
      </c>
      <c r="J67" s="34" t="n">
        <f aca="false">'SLP-Training'!J324</f>
        <v>-0.203019421857289</v>
      </c>
      <c r="K67" s="34" t="n">
        <f aca="false">'SLP-Training'!K324</f>
        <v>-0.318678508368344</v>
      </c>
      <c r="L67" s="34" t="n">
        <f aca="false">'SLP-Training'!L324</f>
        <v>1.0016976398014</v>
      </c>
      <c r="M67" s="34" t="n">
        <f aca="false">'SLP-Training'!M324</f>
        <v>0.770513648730663</v>
      </c>
      <c r="N67" s="31" t="n">
        <f aca="false">I67+J67*C67+K67*D67+L67*E67+F67*M67</f>
        <v>-0.315047831794657</v>
      </c>
      <c r="O67" s="31" t="n">
        <f aca="false">1/(1+EXP(-N67))</f>
        <v>0.421883101005003</v>
      </c>
      <c r="P67" s="32" t="n">
        <f aca="false">IF(O67&gt;0.5,1,0)</f>
        <v>0</v>
      </c>
      <c r="Q67" s="32" t="n">
        <f aca="false">O67-G67</f>
        <v>0.421883101005003</v>
      </c>
      <c r="R67" s="33" t="n">
        <f aca="false">Q67^2</f>
        <v>0.177985350913598</v>
      </c>
      <c r="T67" s="33" t="n">
        <f aca="false">2*(O67-G67)*(1-O67)*O67</f>
        <v>0.205792678273411</v>
      </c>
      <c r="U67" s="33" t="n">
        <f aca="false">2*(O67-G67)*(1-O67)*O67*C67</f>
        <v>1.02896339136706</v>
      </c>
      <c r="V67" s="33" t="n">
        <f aca="false">2*(O67-G67)*(1-O67)*O67*D67</f>
        <v>0.720274373956939</v>
      </c>
      <c r="W67" s="33" t="n">
        <f aca="false">2*(O67-G67)*(1-O67)*O67*E67</f>
        <v>0.267530481755434</v>
      </c>
      <c r="X67" s="33" t="n">
        <f aca="false">2*(O67-G67)*(1-O67)*O67*F67</f>
        <v>0.0617378034820233</v>
      </c>
    </row>
    <row r="68" customFormat="false" ht="14.25" hidden="false" customHeight="true" outlineLevel="0" collapsed="false">
      <c r="A68" s="67"/>
      <c r="B68" s="34" t="n">
        <v>2</v>
      </c>
      <c r="C68" s="2" t="n">
        <f aca="false">IF($B68&lt;=10, INDEX(Data!$A:$A,40+$B68), INDEX(Data!$A:$A,80+$B68))</f>
        <v>4.5</v>
      </c>
      <c r="D68" s="54" t="n">
        <f aca="false">IF($B68&lt;=10, INDEX(Data!$B:$B,40+$B68), INDEX(Data!$B:$B,80+$B68))</f>
        <v>2.3</v>
      </c>
      <c r="E68" s="54" t="n">
        <f aca="false">IF($B68&lt;=10, INDEX(Data!$C:$C,40+$B68), INDEX(Data!$C:$C,80+$B68))</f>
        <v>1.3</v>
      </c>
      <c r="F68" s="54" t="n">
        <f aca="false">IF($B68&lt;=10, INDEX(Data!$D:$D,40+$B68), INDEX(Data!$D:$D,80+$B68))</f>
        <v>0.3</v>
      </c>
      <c r="G68" s="54" t="n">
        <f aca="false">IF(INDEX(Data!$E:$E,IF($B68&lt;=10,40+$B68,80+$B68))="Iris-setosa",0,1)</f>
        <v>0</v>
      </c>
      <c r="H68" s="1" t="n">
        <f aca="false">IF(G68=P68, 1, 0)</f>
        <v>1</v>
      </c>
      <c r="I68" s="34" t="n">
        <f aca="false">I67-$K$4*T67</f>
        <v>0.261483762592627</v>
      </c>
      <c r="J68" s="34" t="n">
        <f aca="false">J67-$K$4*U67</f>
        <v>-0.305915760993995</v>
      </c>
      <c r="K68" s="34" t="n">
        <f aca="false">K67-$K$4*V67</f>
        <v>-0.390705945764038</v>
      </c>
      <c r="L68" s="34" t="n">
        <f aca="false">L67-$K$4*W67</f>
        <v>0.97494459162586</v>
      </c>
      <c r="M68" s="34" t="n">
        <f aca="false">M67-$K$4*X67</f>
        <v>0.76433986838246</v>
      </c>
      <c r="N68" s="31" t="n">
        <f aca="false">I68+J68*C68+K68*D68+L68*E68+F68*M68</f>
        <v>-0.517030907509279</v>
      </c>
      <c r="O68" s="31" t="n">
        <f aca="false">1/(1+EXP(-N68))</f>
        <v>0.373546768500012</v>
      </c>
      <c r="P68" s="32" t="n">
        <f aca="false">IF(O68&gt;0.5,1,0)</f>
        <v>0</v>
      </c>
      <c r="Q68" s="32" t="n">
        <f aca="false">O68-G68</f>
        <v>0.373546768500012</v>
      </c>
      <c r="R68" s="33" t="n">
        <f aca="false">Q68^2</f>
        <v>0.139537188256801</v>
      </c>
      <c r="T68" s="33" t="n">
        <f aca="false">2*(O68-G68)*(1-O68)*O68</f>
        <v>0.174827044995791</v>
      </c>
      <c r="U68" s="33" t="n">
        <f aca="false">2*(O68-G68)*(1-O68)*O68*C68</f>
        <v>0.786721702481059</v>
      </c>
      <c r="V68" s="33" t="n">
        <f aca="false">2*(O68-G68)*(1-O68)*O68*D68</f>
        <v>0.402102203490319</v>
      </c>
      <c r="W68" s="33" t="n">
        <f aca="false">2*(O68-G68)*(1-O68)*O68*E68</f>
        <v>0.227275158494528</v>
      </c>
      <c r="X68" s="33" t="n">
        <f aca="false">2*(O68-G68)*(1-O68)*O68*F68</f>
        <v>0.0524481134987373</v>
      </c>
    </row>
    <row r="69" customFormat="false" ht="14.25" hidden="false" customHeight="true" outlineLevel="0" collapsed="false">
      <c r="A69" s="67"/>
      <c r="B69" s="34" t="n">
        <v>3</v>
      </c>
      <c r="C69" s="2" t="n">
        <f aca="false">IF($B69&lt;=10, INDEX(Data!$A:$A,40+$B69), INDEX(Data!$A:$A,80+$B69))</f>
        <v>4.4</v>
      </c>
      <c r="D69" s="54" t="n">
        <f aca="false">IF($B69&lt;=10, INDEX(Data!$B:$B,40+$B69), INDEX(Data!$B:$B,80+$B69))</f>
        <v>3.2</v>
      </c>
      <c r="E69" s="54" t="n">
        <f aca="false">IF($B69&lt;=10, INDEX(Data!$C:$C,40+$B69), INDEX(Data!$C:$C,80+$B69))</f>
        <v>1.3</v>
      </c>
      <c r="F69" s="54" t="n">
        <f aca="false">IF($B69&lt;=10, INDEX(Data!$D:$D,40+$B69), INDEX(Data!$D:$D,80+$B69))</f>
        <v>0.2</v>
      </c>
      <c r="G69" s="54" t="n">
        <f aca="false">IF(INDEX(Data!$E:$E,IF($B69&lt;=10,40+$B69,80+$B69))="Iris-setosa",0,1)</f>
        <v>0</v>
      </c>
      <c r="H69" s="1" t="n">
        <f aca="false">IF(G69=P69, 1, 0)</f>
        <v>1</v>
      </c>
      <c r="I69" s="34" t="n">
        <f aca="false">I68-$K$4*T68</f>
        <v>0.244001058093048</v>
      </c>
      <c r="J69" s="34" t="n">
        <f aca="false">J68-$K$4*U68</f>
        <v>-0.384587931242101</v>
      </c>
      <c r="K69" s="34" t="n">
        <f aca="false">K68-$K$4*V68</f>
        <v>-0.43091616611307</v>
      </c>
      <c r="L69" s="34" t="n">
        <f aca="false">L68-$K$4*W68</f>
        <v>0.952217075776408</v>
      </c>
      <c r="M69" s="34" t="n">
        <f aca="false">M68-$K$4*X68</f>
        <v>0.759095057032587</v>
      </c>
      <c r="N69" s="31" t="n">
        <f aca="false">I69+J69*C69+K69*D69+L69*E69+F69*M69</f>
        <v>-1.43741636101817</v>
      </c>
      <c r="O69" s="31" t="n">
        <f aca="false">1/(1+EXP(-N69))</f>
        <v>0.191945758735235</v>
      </c>
      <c r="P69" s="32" t="n">
        <f aca="false">IF(O69&gt;0.5,1,0)</f>
        <v>0</v>
      </c>
      <c r="Q69" s="32" t="n">
        <f aca="false">O69-G69</f>
        <v>0.191945758735235</v>
      </c>
      <c r="R69" s="33" t="n">
        <f aca="false">Q69^2</f>
        <v>0.0368431742964452</v>
      </c>
      <c r="T69" s="33" t="n">
        <f aca="false">2*(O69-G69)*(1-O69)*O69</f>
        <v>0.059542566503799</v>
      </c>
      <c r="U69" s="33" t="n">
        <f aca="false">2*(O69-G69)*(1-O69)*O69*C69</f>
        <v>0.261987292616716</v>
      </c>
      <c r="V69" s="33" t="n">
        <f aca="false">2*(O69-G69)*(1-O69)*O69*D69</f>
        <v>0.190536212812157</v>
      </c>
      <c r="W69" s="33" t="n">
        <f aca="false">2*(O69-G69)*(1-O69)*O69*E69</f>
        <v>0.0774053364549387</v>
      </c>
      <c r="X69" s="33" t="n">
        <f aca="false">2*(O69-G69)*(1-O69)*O69*F69</f>
        <v>0.0119085133007598</v>
      </c>
    </row>
    <row r="70" customFormat="false" ht="14.25" hidden="false" customHeight="true" outlineLevel="0" collapsed="false">
      <c r="A70" s="67"/>
      <c r="B70" s="34" t="n">
        <v>4</v>
      </c>
      <c r="C70" s="2" t="n">
        <f aca="false">IF($B70&lt;=10, INDEX(Data!$A:$A,40+$B70), INDEX(Data!$A:$A,80+$B70))</f>
        <v>5</v>
      </c>
      <c r="D70" s="54" t="n">
        <f aca="false">IF($B70&lt;=10, INDEX(Data!$B:$B,40+$B70), INDEX(Data!$B:$B,80+$B70))</f>
        <v>3.5</v>
      </c>
      <c r="E70" s="54" t="n">
        <f aca="false">IF($B70&lt;=10, INDEX(Data!$C:$C,40+$B70), INDEX(Data!$C:$C,80+$B70))</f>
        <v>1.6</v>
      </c>
      <c r="F70" s="54" t="n">
        <f aca="false">IF($B70&lt;=10, INDEX(Data!$D:$D,40+$B70), INDEX(Data!$D:$D,80+$B70))</f>
        <v>0.6</v>
      </c>
      <c r="G70" s="54" t="n">
        <f aca="false">IF(INDEX(Data!$E:$E,IF($B70&lt;=10,40+$B70,80+$B70))="Iris-setosa",0,1)</f>
        <v>0</v>
      </c>
      <c r="H70" s="1" t="n">
        <f aca="false">IF(G70=P70, 1, 0)</f>
        <v>1</v>
      </c>
      <c r="I70" s="34" t="n">
        <f aca="false">I69-$K$4*T69</f>
        <v>0.238046801442668</v>
      </c>
      <c r="J70" s="34" t="n">
        <f aca="false">J69-$K$4*U69</f>
        <v>-0.410786660503772</v>
      </c>
      <c r="K70" s="34" t="n">
        <f aca="false">K69-$K$4*V69</f>
        <v>-0.449969787394285</v>
      </c>
      <c r="L70" s="34" t="n">
        <f aca="false">L69-$K$4*W69</f>
        <v>0.944476542130914</v>
      </c>
      <c r="M70" s="34" t="n">
        <f aca="false">M69-$K$4*X69</f>
        <v>0.757904205702511</v>
      </c>
      <c r="N70" s="31" t="n">
        <f aca="false">I70+J70*C70+K70*D70+L70*E70+F70*M70</f>
        <v>-1.42487576612522</v>
      </c>
      <c r="O70" s="31" t="n">
        <f aca="false">1/(1+EXP(-N70))</f>
        <v>0.193898355061565</v>
      </c>
      <c r="P70" s="32" t="n">
        <f aca="false">IF(O70&gt;0.5,1,0)</f>
        <v>0</v>
      </c>
      <c r="Q70" s="32" t="n">
        <f aca="false">O70-G70</f>
        <v>0.193898355061565</v>
      </c>
      <c r="R70" s="33" t="n">
        <f aca="false">Q70^2</f>
        <v>0.0375965720955807</v>
      </c>
      <c r="T70" s="33" t="n">
        <f aca="false">2*(O70-G70)*(1-O70)*O70</f>
        <v>0.0606133172205881</v>
      </c>
      <c r="U70" s="33" t="n">
        <f aca="false">2*(O70-G70)*(1-O70)*O70*C70</f>
        <v>0.30306658610294</v>
      </c>
      <c r="V70" s="33" t="n">
        <f aca="false">2*(O70-G70)*(1-O70)*O70*D70</f>
        <v>0.212146610272058</v>
      </c>
      <c r="W70" s="33" t="n">
        <f aca="false">2*(O70-G70)*(1-O70)*O70*E70</f>
        <v>0.0969813075529409</v>
      </c>
      <c r="X70" s="33" t="n">
        <f aca="false">2*(O70-G70)*(1-O70)*O70*F70</f>
        <v>0.0363679903323529</v>
      </c>
    </row>
    <row r="71" customFormat="false" ht="14.25" hidden="false" customHeight="true" outlineLevel="0" collapsed="false">
      <c r="A71" s="67"/>
      <c r="B71" s="34" t="n">
        <v>5</v>
      </c>
      <c r="C71" s="2" t="n">
        <f aca="false">IF($B71&lt;=10, INDEX(Data!$A:$A,40+$B71), INDEX(Data!$A:$A,80+$B71))</f>
        <v>5.1</v>
      </c>
      <c r="D71" s="54" t="n">
        <f aca="false">IF($B71&lt;=10, INDEX(Data!$B:$B,40+$B71), INDEX(Data!$B:$B,80+$B71))</f>
        <v>3.8</v>
      </c>
      <c r="E71" s="54" t="n">
        <f aca="false">IF($B71&lt;=10, INDEX(Data!$C:$C,40+$B71), INDEX(Data!$C:$C,80+$B71))</f>
        <v>1.9</v>
      </c>
      <c r="F71" s="54" t="n">
        <f aca="false">IF($B71&lt;=10, INDEX(Data!$D:$D,40+$B71), INDEX(Data!$D:$D,80+$B71))</f>
        <v>0.4</v>
      </c>
      <c r="G71" s="54" t="n">
        <f aca="false">IF(INDEX(Data!$E:$E,IF($B71&lt;=10,40+$B71,80+$B71))="Iris-setosa",0,1)</f>
        <v>0</v>
      </c>
      <c r="H71" s="1" t="n">
        <f aca="false">IF(G71=P71, 1, 0)</f>
        <v>1</v>
      </c>
      <c r="I71" s="34" t="n">
        <f aca="false">I70-$K$4*T70</f>
        <v>0.231985469720609</v>
      </c>
      <c r="J71" s="34" t="n">
        <f aca="false">J70-$K$4*U70</f>
        <v>-0.441093319114066</v>
      </c>
      <c r="K71" s="34" t="n">
        <f aca="false">K70-$K$4*V70</f>
        <v>-0.471184448421491</v>
      </c>
      <c r="L71" s="34" t="n">
        <f aca="false">L70-$K$4*W70</f>
        <v>0.93477841137562</v>
      </c>
      <c r="M71" s="34" t="n">
        <f aca="false">M70-$K$4*X70</f>
        <v>0.754267406669275</v>
      </c>
      <c r="N71" s="31" t="n">
        <f aca="false">I71+J71*C71+K71*D71+L71*E71+F71*M71</f>
        <v>-1.73030541748141</v>
      </c>
      <c r="O71" s="31" t="n">
        <f aca="false">1/(1+EXP(-N71))</f>
        <v>0.150548517671299</v>
      </c>
      <c r="P71" s="32" t="n">
        <f aca="false">IF(O71&gt;0.5,1,0)</f>
        <v>0</v>
      </c>
      <c r="Q71" s="32" t="n">
        <f aca="false">O71-G71</f>
        <v>0.150548517671299</v>
      </c>
      <c r="R71" s="33" t="n">
        <f aca="false">Q71^2</f>
        <v>0.0226648561730256</v>
      </c>
      <c r="T71" s="33" t="n">
        <f aca="false">2*(O71-G71)*(1-O71)*O71</f>
        <v>0.0385053913458867</v>
      </c>
      <c r="U71" s="33" t="n">
        <f aca="false">2*(O71-G71)*(1-O71)*O71*C71</f>
        <v>0.196377495864022</v>
      </c>
      <c r="V71" s="33" t="n">
        <f aca="false">2*(O71-G71)*(1-O71)*O71*D71</f>
        <v>0.14632048711437</v>
      </c>
      <c r="W71" s="33" t="n">
        <f aca="false">2*(O71-G71)*(1-O71)*O71*E71</f>
        <v>0.0731602435571848</v>
      </c>
      <c r="X71" s="33" t="n">
        <f aca="false">2*(O71-G71)*(1-O71)*O71*F71</f>
        <v>0.0154021565383547</v>
      </c>
    </row>
    <row r="72" customFormat="false" ht="14.25" hidden="false" customHeight="true" outlineLevel="0" collapsed="false">
      <c r="A72" s="67"/>
      <c r="B72" s="34" t="n">
        <v>6</v>
      </c>
      <c r="C72" s="2" t="n">
        <f aca="false">IF($B72&lt;=10, INDEX(Data!$A:$A,40+$B72), INDEX(Data!$A:$A,80+$B72))</f>
        <v>4.8</v>
      </c>
      <c r="D72" s="54" t="n">
        <f aca="false">IF($B72&lt;=10, INDEX(Data!$B:$B,40+$B72), INDEX(Data!$B:$B,80+$B72))</f>
        <v>3</v>
      </c>
      <c r="E72" s="54" t="n">
        <f aca="false">IF($B72&lt;=10, INDEX(Data!$C:$C,40+$B72), INDEX(Data!$C:$C,80+$B72))</f>
        <v>1.4</v>
      </c>
      <c r="F72" s="54" t="n">
        <f aca="false">IF($B72&lt;=10, INDEX(Data!$D:$D,40+$B72), INDEX(Data!$D:$D,80+$B72))</f>
        <v>0.3</v>
      </c>
      <c r="G72" s="54" t="n">
        <f aca="false">IF(INDEX(Data!$E:$E,IF($B72&lt;=10,40+$B72,80+$B72))="Iris-setosa",0,1)</f>
        <v>0</v>
      </c>
      <c r="H72" s="1" t="n">
        <f aca="false">IF(G72=P72, 1, 0)</f>
        <v>1</v>
      </c>
      <c r="I72" s="34" t="n">
        <f aca="false">I71-$K$4*T71</f>
        <v>0.228134930586021</v>
      </c>
      <c r="J72" s="34" t="n">
        <f aca="false">J71-$K$4*U71</f>
        <v>-0.460731068700468</v>
      </c>
      <c r="K72" s="34" t="n">
        <f aca="false">K71-$K$4*V71</f>
        <v>-0.485816497132928</v>
      </c>
      <c r="L72" s="34" t="n">
        <f aca="false">L71-$K$4*W71</f>
        <v>0.927462387019901</v>
      </c>
      <c r="M72" s="34" t="n">
        <f aca="false">M71-$K$4*X71</f>
        <v>0.75272719101544</v>
      </c>
      <c r="N72" s="31" t="n">
        <f aca="false">I72+J72*C72+K72*D72+L72*E72+F72*M72</f>
        <v>-1.91655819144252</v>
      </c>
      <c r="O72" s="31" t="n">
        <f aca="false">1/(1+EXP(-N72))</f>
        <v>0.128245864510172</v>
      </c>
      <c r="P72" s="32" t="n">
        <f aca="false">IF(O72&gt;0.5,1,0)</f>
        <v>0</v>
      </c>
      <c r="Q72" s="32" t="n">
        <f aca="false">O72-G72</f>
        <v>0.128245864510172</v>
      </c>
      <c r="R72" s="33" t="n">
        <f aca="false">Q72^2</f>
        <v>0.0164470017639614</v>
      </c>
      <c r="T72" s="33" t="n">
        <f aca="false">2*(O72-G72)*(1-O72)*O72</f>
        <v>0.0286754836082836</v>
      </c>
      <c r="U72" s="33" t="n">
        <f aca="false">2*(O72-G72)*(1-O72)*O72*C72</f>
        <v>0.137642321319761</v>
      </c>
      <c r="V72" s="33" t="n">
        <f aca="false">2*(O72-G72)*(1-O72)*O72*D72</f>
        <v>0.0860264508248508</v>
      </c>
      <c r="W72" s="33" t="n">
        <f aca="false">2*(O72-G72)*(1-O72)*O72*E72</f>
        <v>0.0401456770515971</v>
      </c>
      <c r="X72" s="33" t="n">
        <f aca="false">2*(O72-G72)*(1-O72)*O72*F72</f>
        <v>0.00860264508248508</v>
      </c>
    </row>
    <row r="73" customFormat="false" ht="14.25" hidden="false" customHeight="true" outlineLevel="0" collapsed="false">
      <c r="A73" s="67"/>
      <c r="B73" s="34" t="n">
        <v>7</v>
      </c>
      <c r="C73" s="2" t="n">
        <f aca="false">IF($B73&lt;=10, INDEX(Data!$A:$A,40+$B73), INDEX(Data!$A:$A,80+$B73))</f>
        <v>5.1</v>
      </c>
      <c r="D73" s="54" t="n">
        <f aca="false">IF($B73&lt;=10, INDEX(Data!$B:$B,40+$B73), INDEX(Data!$B:$B,80+$B73))</f>
        <v>3.8</v>
      </c>
      <c r="E73" s="54" t="n">
        <f aca="false">IF($B73&lt;=10, INDEX(Data!$C:$C,40+$B73), INDEX(Data!$C:$C,80+$B73))</f>
        <v>1.6</v>
      </c>
      <c r="F73" s="54" t="n">
        <f aca="false">IF($B73&lt;=10, INDEX(Data!$D:$D,40+$B73), INDEX(Data!$D:$D,80+$B73))</f>
        <v>0.2</v>
      </c>
      <c r="G73" s="54" t="n">
        <f aca="false">IF(INDEX(Data!$E:$E,IF($B73&lt;=10,40+$B73,80+$B73))="Iris-setosa",0,1)</f>
        <v>0</v>
      </c>
      <c r="H73" s="1" t="n">
        <f aca="false">IF(G73=P73, 1, 0)</f>
        <v>1</v>
      </c>
      <c r="I73" s="34" t="n">
        <f aca="false">I72-$K$4*T72</f>
        <v>0.225267382225192</v>
      </c>
      <c r="J73" s="34" t="n">
        <f aca="false">J72-$K$4*U72</f>
        <v>-0.474495300832445</v>
      </c>
      <c r="K73" s="34" t="n">
        <f aca="false">K72-$K$4*V72</f>
        <v>-0.494419142215413</v>
      </c>
      <c r="L73" s="34" t="n">
        <f aca="false">L72-$K$4*W72</f>
        <v>0.923447819314741</v>
      </c>
      <c r="M73" s="34" t="n">
        <f aca="false">M72-$K$4*X72</f>
        <v>0.751866926507191</v>
      </c>
      <c r="N73" s="31" t="n">
        <f aca="false">I73+J73*C73+K73*D73+L73*E73+F73*M73</f>
        <v>-2.44556149623382</v>
      </c>
      <c r="O73" s="31" t="n">
        <f aca="false">1/(1+EXP(-N73))</f>
        <v>0.0797637348591241</v>
      </c>
      <c r="P73" s="32" t="n">
        <f aca="false">IF(O73&gt;0.5,1,0)</f>
        <v>0</v>
      </c>
      <c r="Q73" s="32" t="n">
        <f aca="false">O73-G73</f>
        <v>0.0797637348591241</v>
      </c>
      <c r="R73" s="33" t="n">
        <f aca="false">Q73^2</f>
        <v>0.00636225339867665</v>
      </c>
      <c r="T73" s="33" t="n">
        <f aca="false">2*(O73-G73)*(1-O73)*O73</f>
        <v>0.0117095526109561</v>
      </c>
      <c r="U73" s="33" t="n">
        <f aca="false">2*(O73-G73)*(1-O73)*O73*C73</f>
        <v>0.059718718315876</v>
      </c>
      <c r="V73" s="33" t="n">
        <f aca="false">2*(O73-G73)*(1-O73)*O73*D73</f>
        <v>0.0444962999216331</v>
      </c>
      <c r="W73" s="33" t="n">
        <f aca="false">2*(O73-G73)*(1-O73)*O73*E73</f>
        <v>0.0187352841775297</v>
      </c>
      <c r="X73" s="33" t="n">
        <f aca="false">2*(O73-G73)*(1-O73)*O73*F73</f>
        <v>0.00234191052219122</v>
      </c>
    </row>
    <row r="74" customFormat="false" ht="14.25" hidden="false" customHeight="true" outlineLevel="0" collapsed="false">
      <c r="A74" s="67"/>
      <c r="B74" s="34" t="n">
        <v>8</v>
      </c>
      <c r="C74" s="2" t="n">
        <f aca="false">IF($B74&lt;=10, INDEX(Data!$A:$A,40+$B74), INDEX(Data!$A:$A,80+$B74))</f>
        <v>4.6</v>
      </c>
      <c r="D74" s="54" t="n">
        <f aca="false">IF($B74&lt;=10, INDEX(Data!$B:$B,40+$B74), INDEX(Data!$B:$B,80+$B74))</f>
        <v>3.2</v>
      </c>
      <c r="E74" s="54" t="n">
        <f aca="false">IF($B74&lt;=10, INDEX(Data!$C:$C,40+$B74), INDEX(Data!$C:$C,80+$B74))</f>
        <v>1.4</v>
      </c>
      <c r="F74" s="54" t="n">
        <f aca="false">IF($B74&lt;=10, INDEX(Data!$D:$D,40+$B74), INDEX(Data!$D:$D,80+$B74))</f>
        <v>0.2</v>
      </c>
      <c r="G74" s="54" t="n">
        <f aca="false">IF(INDEX(Data!$E:$E,IF($B74&lt;=10,40+$B74,80+$B74))="Iris-setosa",0,1)</f>
        <v>0</v>
      </c>
      <c r="H74" s="1" t="n">
        <f aca="false">IF(G74=P74, 1, 0)</f>
        <v>1</v>
      </c>
      <c r="I74" s="34" t="n">
        <f aca="false">I73-$K$4*T73</f>
        <v>0.224096426964097</v>
      </c>
      <c r="J74" s="34" t="n">
        <f aca="false">J73-$K$4*U73</f>
        <v>-0.480467172664032</v>
      </c>
      <c r="K74" s="34" t="n">
        <f aca="false">K73-$K$4*V73</f>
        <v>-0.498868772207577</v>
      </c>
      <c r="L74" s="34" t="n">
        <f aca="false">L73-$K$4*W73</f>
        <v>0.921574290896988</v>
      </c>
      <c r="M74" s="34" t="n">
        <f aca="false">M73-$K$4*X73</f>
        <v>0.751632735454972</v>
      </c>
      <c r="N74" s="31" t="n">
        <f aca="false">I74+J74*C74+K74*D74+L74*E74+F74*M74</f>
        <v>-2.14190208400792</v>
      </c>
      <c r="O74" s="31" t="n">
        <f aca="false">1/(1+EXP(-N74))</f>
        <v>0.105090370981738</v>
      </c>
      <c r="P74" s="32" t="n">
        <f aca="false">IF(O74&gt;0.5,1,0)</f>
        <v>0</v>
      </c>
      <c r="Q74" s="32" t="n">
        <f aca="false">O74-G74</f>
        <v>0.105090370981738</v>
      </c>
      <c r="R74" s="33" t="n">
        <f aca="false">Q74^2</f>
        <v>0.0110439860730792</v>
      </c>
      <c r="T74" s="33" t="n">
        <f aca="false">2*(O74-G74)*(1-O74)*O74</f>
        <v>0.0197667389590844</v>
      </c>
      <c r="U74" s="33" t="n">
        <f aca="false">2*(O74-G74)*(1-O74)*O74*C74</f>
        <v>0.0909269992117883</v>
      </c>
      <c r="V74" s="33" t="n">
        <f aca="false">2*(O74-G74)*(1-O74)*O74*D74</f>
        <v>0.0632535646690701</v>
      </c>
      <c r="W74" s="33" t="n">
        <f aca="false">2*(O74-G74)*(1-O74)*O74*E74</f>
        <v>0.0276734345427182</v>
      </c>
      <c r="X74" s="33" t="n">
        <f aca="false">2*(O74-G74)*(1-O74)*O74*F74</f>
        <v>0.00395334779181688</v>
      </c>
    </row>
    <row r="75" customFormat="false" ht="14.25" hidden="false" customHeight="true" outlineLevel="0" collapsed="false">
      <c r="A75" s="67"/>
      <c r="B75" s="34" t="n">
        <v>9</v>
      </c>
      <c r="C75" s="2" t="n">
        <f aca="false">IF($B75&lt;=10, INDEX(Data!$A:$A,40+$B75), INDEX(Data!$A:$A,80+$B75))</f>
        <v>5.3</v>
      </c>
      <c r="D75" s="54" t="n">
        <f aca="false">IF($B75&lt;=10, INDEX(Data!$B:$B,40+$B75), INDEX(Data!$B:$B,80+$B75))</f>
        <v>3.7</v>
      </c>
      <c r="E75" s="54" t="n">
        <f aca="false">IF($B75&lt;=10, INDEX(Data!$C:$C,40+$B75), INDEX(Data!$C:$C,80+$B75))</f>
        <v>1.5</v>
      </c>
      <c r="F75" s="54" t="n">
        <f aca="false">IF($B75&lt;=10, INDEX(Data!$D:$D,40+$B75), INDEX(Data!$D:$D,80+$B75))</f>
        <v>0.2</v>
      </c>
      <c r="G75" s="54" t="n">
        <f aca="false">IF(INDEX(Data!$E:$E,IF($B75&lt;=10,40+$B75,80+$B75))="Iris-setosa",0,1)</f>
        <v>0</v>
      </c>
      <c r="H75" s="1" t="n">
        <f aca="false">IF(G75=P75, 1, 0)</f>
        <v>1</v>
      </c>
      <c r="I75" s="34" t="n">
        <f aca="false">I74-$K$4*T74</f>
        <v>0.222119753068188</v>
      </c>
      <c r="J75" s="34" t="n">
        <f aca="false">J74-$K$4*U74</f>
        <v>-0.489559872585211</v>
      </c>
      <c r="K75" s="34" t="n">
        <f aca="false">K74-$K$4*V74</f>
        <v>-0.505194128674484</v>
      </c>
      <c r="L75" s="34" t="n">
        <f aca="false">L74-$K$4*W74</f>
        <v>0.918806947442717</v>
      </c>
      <c r="M75" s="34" t="n">
        <f aca="false">M74-$K$4*X74</f>
        <v>0.751237400675791</v>
      </c>
      <c r="N75" s="31" t="n">
        <f aca="false">I75+J75*C75+K75*D75+L75*E75+F75*M75</f>
        <v>-2.71330794642979</v>
      </c>
      <c r="O75" s="31" t="n">
        <f aca="false">1/(1+EXP(-N75))</f>
        <v>0.0621926367093552</v>
      </c>
      <c r="P75" s="32" t="n">
        <f aca="false">IF(O75&gt;0.5,1,0)</f>
        <v>0</v>
      </c>
      <c r="Q75" s="32" t="n">
        <f aca="false">O75-G75</f>
        <v>0.0621926367093552</v>
      </c>
      <c r="R75" s="33" t="n">
        <f aca="false">Q75^2</f>
        <v>0.00386792406086184</v>
      </c>
      <c r="T75" s="33" t="n">
        <f aca="false">2*(O75-G75)*(1-O75)*O75</f>
        <v>0.00725473532985057</v>
      </c>
      <c r="U75" s="33" t="n">
        <f aca="false">2*(O75-G75)*(1-O75)*O75*C75</f>
        <v>0.038450097248208</v>
      </c>
      <c r="V75" s="33" t="n">
        <f aca="false">2*(O75-G75)*(1-O75)*O75*D75</f>
        <v>0.0268425207204471</v>
      </c>
      <c r="W75" s="33" t="n">
        <f aca="false">2*(O75-G75)*(1-O75)*O75*E75</f>
        <v>0.0108821029947759</v>
      </c>
      <c r="X75" s="33" t="n">
        <f aca="false">2*(O75-G75)*(1-O75)*O75*F75</f>
        <v>0.00145094706597011</v>
      </c>
    </row>
    <row r="76" customFormat="false" ht="14.25" hidden="false" customHeight="true" outlineLevel="0" collapsed="false">
      <c r="A76" s="67"/>
      <c r="B76" s="34" t="n">
        <v>10</v>
      </c>
      <c r="C76" s="2" t="n">
        <f aca="false">IF($B76&lt;=10, INDEX(Data!$A:$A,40+$B76), INDEX(Data!$A:$A,80+$B76))</f>
        <v>5</v>
      </c>
      <c r="D76" s="54" t="n">
        <f aca="false">IF($B76&lt;=10, INDEX(Data!$B:$B,40+$B76), INDEX(Data!$B:$B,80+$B76))</f>
        <v>3.3</v>
      </c>
      <c r="E76" s="54" t="n">
        <f aca="false">IF($B76&lt;=10, INDEX(Data!$C:$C,40+$B76), INDEX(Data!$C:$C,80+$B76))</f>
        <v>1.4</v>
      </c>
      <c r="F76" s="54" t="n">
        <f aca="false">IF($B76&lt;=10, INDEX(Data!$D:$D,40+$B76), INDEX(Data!$D:$D,80+$B76))</f>
        <v>0.2</v>
      </c>
      <c r="G76" s="54" t="n">
        <f aca="false">IF(INDEX(Data!$E:$E,IF($B76&lt;=10,40+$B76,80+$B76))="Iris-setosa",0,1)</f>
        <v>0</v>
      </c>
      <c r="H76" s="1" t="n">
        <f aca="false">IF(G76=P76, 1, 0)</f>
        <v>1</v>
      </c>
      <c r="I76" s="34" t="n">
        <f aca="false">I75-$K$4*T75</f>
        <v>0.221394279535203</v>
      </c>
      <c r="J76" s="34" t="n">
        <f aca="false">J75-$K$4*U75</f>
        <v>-0.493404882310032</v>
      </c>
      <c r="K76" s="34" t="n">
        <f aca="false">K75-$K$4*V75</f>
        <v>-0.507878380746528</v>
      </c>
      <c r="L76" s="34" t="n">
        <f aca="false">L75-$K$4*W75</f>
        <v>0.917718737143239</v>
      </c>
      <c r="M76" s="34" t="n">
        <f aca="false">M75-$K$4*X75</f>
        <v>0.751092305969194</v>
      </c>
      <c r="N76" s="31" t="n">
        <f aca="false">I76+J76*C76+K76*D76+L76*E76+F76*M76</f>
        <v>-2.48660409528413</v>
      </c>
      <c r="O76" s="31" t="n">
        <f aca="false">1/(1+EXP(-N76))</f>
        <v>0.0768026347732473</v>
      </c>
      <c r="P76" s="32" t="n">
        <f aca="false">IF(O76&gt;0.5,1,0)</f>
        <v>0</v>
      </c>
      <c r="Q76" s="32" t="n">
        <f aca="false">O76-G76</f>
        <v>0.0768026347732473</v>
      </c>
      <c r="R76" s="33" t="n">
        <f aca="false">Q76^2</f>
        <v>0.00589864470811282</v>
      </c>
      <c r="T76" s="33" t="n">
        <f aca="false">2*(O76-G76)*(1-O76)*O76</f>
        <v>0.010891226505877</v>
      </c>
      <c r="U76" s="33" t="n">
        <f aca="false">2*(O76-G76)*(1-O76)*O76*C76</f>
        <v>0.0544561325293848</v>
      </c>
      <c r="V76" s="33" t="n">
        <f aca="false">2*(O76-G76)*(1-O76)*O76*D76</f>
        <v>0.035941047469394</v>
      </c>
      <c r="W76" s="33" t="n">
        <f aca="false">2*(O76-G76)*(1-O76)*O76*E76</f>
        <v>0.0152477171082277</v>
      </c>
      <c r="X76" s="33" t="n">
        <f aca="false">2*(O76-G76)*(1-O76)*O76*F76</f>
        <v>0.00217824530117539</v>
      </c>
    </row>
    <row r="77" customFormat="false" ht="14.25" hidden="false" customHeight="true" outlineLevel="0" collapsed="false">
      <c r="A77" s="67"/>
      <c r="B77" s="34" t="n">
        <v>11</v>
      </c>
      <c r="C77" s="2" t="n">
        <f aca="false">IF($B77&lt;=10, INDEX(Data!$A:$A,40+$B77), INDEX(Data!$A:$A,80+$B77))</f>
        <v>5.5</v>
      </c>
      <c r="D77" s="54" t="n">
        <f aca="false">IF($B77&lt;=10, INDEX(Data!$B:$B,40+$B77), INDEX(Data!$B:$B,80+$B77))</f>
        <v>2.6</v>
      </c>
      <c r="E77" s="54" t="n">
        <f aca="false">IF($B77&lt;=10, INDEX(Data!$C:$C,40+$B77), INDEX(Data!$C:$C,80+$B77))</f>
        <v>4.4</v>
      </c>
      <c r="F77" s="54" t="n">
        <f aca="false">IF($B77&lt;=10, INDEX(Data!$D:$D,40+$B77), INDEX(Data!$D:$D,80+$B77))</f>
        <v>1.2</v>
      </c>
      <c r="G77" s="54" t="n">
        <f aca="false">IF(INDEX(Data!$E:$E,IF($B77&lt;=10,40+$B77,80+$B77))="Iris-setosa",0,1)</f>
        <v>1</v>
      </c>
      <c r="H77" s="1" t="n">
        <f aca="false">IF(G77=P77, 1, 0)</f>
        <v>1</v>
      </c>
      <c r="I77" s="34" t="n">
        <f aca="false">I76-$K$4*T76</f>
        <v>0.220305156884615</v>
      </c>
      <c r="J77" s="34" t="n">
        <f aca="false">J76-$K$4*U76</f>
        <v>-0.49885049556297</v>
      </c>
      <c r="K77" s="34" t="n">
        <f aca="false">K76-$K$4*V76</f>
        <v>-0.511472485493468</v>
      </c>
      <c r="L77" s="34" t="n">
        <f aca="false">L76-$K$4*W76</f>
        <v>0.916193965432416</v>
      </c>
      <c r="M77" s="34" t="n">
        <f aca="false">M76-$K$4*X76</f>
        <v>0.750874481439076</v>
      </c>
      <c r="N77" s="31" t="n">
        <f aca="false">I77+J77*C77+K77*D77+L77*E77+F77*M77</f>
        <v>1.07910179463479</v>
      </c>
      <c r="O77" s="31" t="n">
        <f aca="false">1/(1+EXP(-N77))</f>
        <v>0.746323968680882</v>
      </c>
      <c r="P77" s="32" t="n">
        <f aca="false">IF(O77&gt;0.5,1,0)</f>
        <v>1</v>
      </c>
      <c r="Q77" s="32" t="n">
        <f aca="false">O77-G77</f>
        <v>-0.253676031319118</v>
      </c>
      <c r="R77" s="33" t="n">
        <f aca="false">Q77^2</f>
        <v>0.0643515288658181</v>
      </c>
      <c r="T77" s="33" t="n">
        <f aca="false">2*(O77-G77)*(1-O77)*O77</f>
        <v>-0.0960541768276395</v>
      </c>
      <c r="U77" s="33" t="n">
        <f aca="false">2*(O77-G77)*(1-O77)*O77*C77</f>
        <v>-0.528297972552017</v>
      </c>
      <c r="V77" s="33" t="n">
        <f aca="false">2*(O77-G77)*(1-O77)*O77*D77</f>
        <v>-0.249740859751863</v>
      </c>
      <c r="W77" s="33" t="n">
        <f aca="false">2*(O77-G77)*(1-O77)*O77*E77</f>
        <v>-0.422638378041614</v>
      </c>
      <c r="X77" s="33" t="n">
        <f aca="false">2*(O77-G77)*(1-O77)*O77*F77</f>
        <v>-0.115265012193167</v>
      </c>
    </row>
    <row r="78" customFormat="false" ht="14.25" hidden="false" customHeight="true" outlineLevel="0" collapsed="false">
      <c r="A78" s="67"/>
      <c r="B78" s="34" t="n">
        <v>12</v>
      </c>
      <c r="C78" s="2" t="n">
        <f aca="false">IF($B78&lt;=10, INDEX(Data!$A:$A,40+$B78), INDEX(Data!$A:$A,80+$B78))</f>
        <v>6.1</v>
      </c>
      <c r="D78" s="54" t="n">
        <f aca="false">IF($B78&lt;=10, INDEX(Data!$B:$B,40+$B78), INDEX(Data!$B:$B,80+$B78))</f>
        <v>3</v>
      </c>
      <c r="E78" s="54" t="n">
        <f aca="false">IF($B78&lt;=10, INDEX(Data!$C:$C,40+$B78), INDEX(Data!$C:$C,80+$B78))</f>
        <v>4.6</v>
      </c>
      <c r="F78" s="54" t="n">
        <f aca="false">IF($B78&lt;=10, INDEX(Data!$D:$D,40+$B78), INDEX(Data!$D:$D,80+$B78))</f>
        <v>1.4</v>
      </c>
      <c r="G78" s="54" t="n">
        <f aca="false">IF(INDEX(Data!$E:$E,IF($B78&lt;=10,40+$B78,80+$B78))="Iris-setosa",0,1)</f>
        <v>1</v>
      </c>
      <c r="H78" s="1" t="n">
        <f aca="false">IF(G78=P78, 1, 0)</f>
        <v>1</v>
      </c>
      <c r="I78" s="34" t="n">
        <f aca="false">I77-$K$4*T77</f>
        <v>0.229910574567379</v>
      </c>
      <c r="J78" s="34" t="n">
        <f aca="false">J77-$K$4*U77</f>
        <v>-0.446020698307769</v>
      </c>
      <c r="K78" s="34" t="n">
        <f aca="false">K77-$K$4*V77</f>
        <v>-0.486498399518281</v>
      </c>
      <c r="L78" s="34" t="n">
        <f aca="false">L77-$K$4*W77</f>
        <v>0.958457803236578</v>
      </c>
      <c r="M78" s="34" t="n">
        <f aca="false">M77-$K$4*X77</f>
        <v>0.762400982658393</v>
      </c>
      <c r="N78" s="31" t="n">
        <f aca="false">I78+J78*C78+K78*D78+L78*E78+F78*M78</f>
        <v>1.52595638694515</v>
      </c>
      <c r="O78" s="31" t="n">
        <f aca="false">1/(1+EXP(-N78))</f>
        <v>0.821413914831293</v>
      </c>
      <c r="P78" s="32" t="n">
        <f aca="false">IF(O78&gt;0.5,1,0)</f>
        <v>1</v>
      </c>
      <c r="Q78" s="32" t="n">
        <f aca="false">O78-G78</f>
        <v>-0.178586085168707</v>
      </c>
      <c r="R78" s="33" t="n">
        <f aca="false">Q78^2</f>
        <v>0.0318929898158848</v>
      </c>
      <c r="T78" s="33" t="n">
        <f aca="false">2*(O78-G78)*(1-O78)*O78</f>
        <v>-0.0523946912406809</v>
      </c>
      <c r="U78" s="33" t="n">
        <f aca="false">2*(O78-G78)*(1-O78)*O78*C78</f>
        <v>-0.319607616568154</v>
      </c>
      <c r="V78" s="33" t="n">
        <f aca="false">2*(O78-G78)*(1-O78)*O78*D78</f>
        <v>-0.157184073722043</v>
      </c>
      <c r="W78" s="33" t="n">
        <f aca="false">2*(O78-G78)*(1-O78)*O78*E78</f>
        <v>-0.241015579707132</v>
      </c>
      <c r="X78" s="33" t="n">
        <f aca="false">2*(O78-G78)*(1-O78)*O78*F78</f>
        <v>-0.0733525677369533</v>
      </c>
    </row>
    <row r="79" customFormat="false" ht="14.25" hidden="false" customHeight="true" outlineLevel="0" collapsed="false">
      <c r="A79" s="67"/>
      <c r="B79" s="34" t="n">
        <v>13</v>
      </c>
      <c r="C79" s="2" t="n">
        <f aca="false">IF($B79&lt;=10, INDEX(Data!$A:$A,40+$B79), INDEX(Data!$A:$A,80+$B79))</f>
        <v>5.8</v>
      </c>
      <c r="D79" s="54" t="n">
        <f aca="false">IF($B79&lt;=10, INDEX(Data!$B:$B,40+$B79), INDEX(Data!$B:$B,80+$B79))</f>
        <v>2.6</v>
      </c>
      <c r="E79" s="54" t="n">
        <f aca="false">IF($B79&lt;=10, INDEX(Data!$C:$C,40+$B79), INDEX(Data!$C:$C,80+$B79))</f>
        <v>4</v>
      </c>
      <c r="F79" s="54" t="n">
        <f aca="false">IF($B79&lt;=10, INDEX(Data!$D:$D,40+$B79), INDEX(Data!$D:$D,80+$B79))</f>
        <v>1.2</v>
      </c>
      <c r="G79" s="54" t="n">
        <f aca="false">IF(INDEX(Data!$E:$E,IF($B79&lt;=10,40+$B79,80+$B79))="Iris-setosa",0,1)</f>
        <v>1</v>
      </c>
      <c r="H79" s="1" t="n">
        <f aca="false">IF(G79=P79, 1, 0)</f>
        <v>1</v>
      </c>
      <c r="I79" s="34" t="n">
        <f aca="false">I78-$K$4*T78</f>
        <v>0.235150043691447</v>
      </c>
      <c r="J79" s="34" t="n">
        <f aca="false">J78-$K$4*U78</f>
        <v>-0.414059936650953</v>
      </c>
      <c r="K79" s="34" t="n">
        <f aca="false">K78-$K$4*V78</f>
        <v>-0.470779992146077</v>
      </c>
      <c r="L79" s="34" t="n">
        <f aca="false">L78-$K$4*W78</f>
        <v>0.982559361207291</v>
      </c>
      <c r="M79" s="34" t="n">
        <f aca="false">M78-$K$4*X78</f>
        <v>0.769736239432088</v>
      </c>
      <c r="N79" s="31" t="n">
        <f aca="false">I79+J79*C79+K79*D79+L79*E79+F79*M79</f>
        <v>1.46349536368379</v>
      </c>
      <c r="O79" s="31" t="n">
        <f aca="false">1/(1+EXP(-N79))</f>
        <v>0.812066699493707</v>
      </c>
      <c r="P79" s="32" t="n">
        <f aca="false">IF(O79&gt;0.5,1,0)</f>
        <v>1</v>
      </c>
      <c r="Q79" s="32" t="n">
        <f aca="false">O79-G79</f>
        <v>-0.187933300506293</v>
      </c>
      <c r="R79" s="33" t="n">
        <f aca="false">Q79^2</f>
        <v>0.0353189254391888</v>
      </c>
      <c r="T79" s="33" t="n">
        <f aca="false">2*(O79-G79)*(1-O79)*O79</f>
        <v>-0.0573626464221326</v>
      </c>
      <c r="U79" s="33" t="n">
        <f aca="false">2*(O79-G79)*(1-O79)*O79*C79</f>
        <v>-0.332703349248369</v>
      </c>
      <c r="V79" s="33" t="n">
        <f aca="false">2*(O79-G79)*(1-O79)*O79*D79</f>
        <v>-0.149142880697545</v>
      </c>
      <c r="W79" s="33" t="n">
        <f aca="false">2*(O79-G79)*(1-O79)*O79*E79</f>
        <v>-0.229450585688531</v>
      </c>
      <c r="X79" s="33" t="n">
        <f aca="false">2*(O79-G79)*(1-O79)*O79*F79</f>
        <v>-0.0688351757065592</v>
      </c>
    </row>
    <row r="80" customFormat="false" ht="14.25" hidden="false" customHeight="true" outlineLevel="0" collapsed="false">
      <c r="A80" s="67"/>
      <c r="B80" s="34" t="n">
        <v>14</v>
      </c>
      <c r="C80" s="2" t="n">
        <f aca="false">IF($B80&lt;=10, INDEX(Data!$A:$A,40+$B80), INDEX(Data!$A:$A,80+$B80))</f>
        <v>5</v>
      </c>
      <c r="D80" s="54" t="n">
        <f aca="false">IF($B80&lt;=10, INDEX(Data!$B:$B,40+$B80), INDEX(Data!$B:$B,80+$B80))</f>
        <v>2.3</v>
      </c>
      <c r="E80" s="54" t="n">
        <f aca="false">IF($B80&lt;=10, INDEX(Data!$C:$C,40+$B80), INDEX(Data!$C:$C,80+$B80))</f>
        <v>3.3</v>
      </c>
      <c r="F80" s="54" t="n">
        <f aca="false">IF($B80&lt;=10, INDEX(Data!$D:$D,40+$B80), INDEX(Data!$D:$D,80+$B80))</f>
        <v>1</v>
      </c>
      <c r="G80" s="54" t="n">
        <f aca="false">IF(INDEX(Data!$E:$E,IF($B80&lt;=10,40+$B80,80+$B80))="Iris-setosa",0,1)</f>
        <v>1</v>
      </c>
      <c r="H80" s="1" t="n">
        <f aca="false">IF(G80=P80, 1, 0)</f>
        <v>1</v>
      </c>
      <c r="I80" s="34" t="n">
        <f aca="false">I79-$K$4*T79</f>
        <v>0.240886308333661</v>
      </c>
      <c r="J80" s="34" t="n">
        <f aca="false">J79-$K$4*U79</f>
        <v>-0.380789601726116</v>
      </c>
      <c r="K80" s="34" t="n">
        <f aca="false">K79-$K$4*V79</f>
        <v>-0.455865704076323</v>
      </c>
      <c r="L80" s="34" t="n">
        <f aca="false">L79-$K$4*W79</f>
        <v>1.00550441977614</v>
      </c>
      <c r="M80" s="34" t="n">
        <f aca="false">M79-$K$4*X79</f>
        <v>0.776619757002744</v>
      </c>
      <c r="N80" s="31" t="n">
        <f aca="false">I80+J80*C80+K80*D80+L80*E80+F80*M80</f>
        <v>1.38323152259156</v>
      </c>
      <c r="O80" s="31" t="n">
        <f aca="false">1/(1+EXP(-N80))</f>
        <v>0.79950949551811</v>
      </c>
      <c r="P80" s="32" t="n">
        <f aca="false">IF(O80&gt;0.5,1,0)</f>
        <v>1</v>
      </c>
      <c r="Q80" s="32" t="n">
        <f aca="false">O80-G80</f>
        <v>-0.20049050448189</v>
      </c>
      <c r="R80" s="33" t="n">
        <f aca="false">Q80^2</f>
        <v>0.0401964423874028</v>
      </c>
      <c r="T80" s="33" t="n">
        <f aca="false">2*(O80-G80)*(1-O80)*O80</f>
        <v>-0.0642748747495504</v>
      </c>
      <c r="U80" s="33" t="n">
        <f aca="false">2*(O80-G80)*(1-O80)*O80*C80</f>
        <v>-0.321374373747752</v>
      </c>
      <c r="V80" s="33" t="n">
        <f aca="false">2*(O80-G80)*(1-O80)*O80*D80</f>
        <v>-0.147832211923966</v>
      </c>
      <c r="W80" s="33" t="n">
        <f aca="false">2*(O80-G80)*(1-O80)*O80*E80</f>
        <v>-0.212107086673516</v>
      </c>
      <c r="X80" s="33" t="n">
        <f aca="false">2*(O80-G80)*(1-O80)*O80*F80</f>
        <v>-0.0642748747495504</v>
      </c>
    </row>
    <row r="81" customFormat="false" ht="14.25" hidden="false" customHeight="true" outlineLevel="0" collapsed="false">
      <c r="A81" s="67"/>
      <c r="B81" s="34" t="n">
        <v>15</v>
      </c>
      <c r="C81" s="2" t="n">
        <f aca="false">IF($B81&lt;=10, INDEX(Data!$A:$A,40+$B81), INDEX(Data!$A:$A,80+$B81))</f>
        <v>5.6</v>
      </c>
      <c r="D81" s="54" t="n">
        <f aca="false">IF($B81&lt;=10, INDEX(Data!$B:$B,40+$B81), INDEX(Data!$B:$B,80+$B81))</f>
        <v>2.7</v>
      </c>
      <c r="E81" s="54" t="n">
        <f aca="false">IF($B81&lt;=10, INDEX(Data!$C:$C,40+$B81), INDEX(Data!$C:$C,80+$B81))</f>
        <v>4.2</v>
      </c>
      <c r="F81" s="54" t="n">
        <f aca="false">IF($B81&lt;=10, INDEX(Data!$D:$D,40+$B81), INDEX(Data!$D:$D,80+$B81))</f>
        <v>1.3</v>
      </c>
      <c r="G81" s="54" t="n">
        <f aca="false">IF(INDEX(Data!$E:$E,IF($B81&lt;=10,40+$B81,80+$B81))="Iris-setosa",0,1)</f>
        <v>1</v>
      </c>
      <c r="H81" s="1" t="n">
        <f aca="false">IF(G81=P81, 1, 0)</f>
        <v>1</v>
      </c>
      <c r="I81" s="34" t="n">
        <f aca="false">I80-$K$4*T80</f>
        <v>0.247313795808616</v>
      </c>
      <c r="J81" s="34" t="n">
        <f aca="false">J80-$K$4*U80</f>
        <v>-0.348652164351341</v>
      </c>
      <c r="K81" s="34" t="n">
        <f aca="false">K80-$K$4*V80</f>
        <v>-0.441082482883926</v>
      </c>
      <c r="L81" s="34" t="n">
        <f aca="false">L80-$K$4*W80</f>
        <v>1.0267151284435</v>
      </c>
      <c r="M81" s="34" t="n">
        <f aca="false">M80-$K$4*X80</f>
        <v>0.783047244477699</v>
      </c>
      <c r="N81" s="31" t="n">
        <f aca="false">I81+J81*C81+K81*D81+L81*E81+F81*M81</f>
        <v>2.4341039289382</v>
      </c>
      <c r="O81" s="31" t="n">
        <f aca="false">1/(1+EXP(-N81))</f>
        <v>0.9193912030953</v>
      </c>
      <c r="P81" s="32" t="n">
        <f aca="false">IF(O81&gt;0.5,1,0)</f>
        <v>1</v>
      </c>
      <c r="Q81" s="32" t="n">
        <f aca="false">O81-G81</f>
        <v>-0.0806087969047002</v>
      </c>
      <c r="R81" s="33" t="n">
        <f aca="false">Q81^2</f>
        <v>0.00649777813842321</v>
      </c>
      <c r="T81" s="33" t="n">
        <f aca="false">2*(O81-G81)*(1-O81)*O81</f>
        <v>-0.0119480001202625</v>
      </c>
      <c r="U81" s="33" t="n">
        <f aca="false">2*(O81-G81)*(1-O81)*O81*C81</f>
        <v>-0.06690880067347</v>
      </c>
      <c r="V81" s="33" t="n">
        <f aca="false">2*(O81-G81)*(1-O81)*O81*D81</f>
        <v>-0.0322596003247088</v>
      </c>
      <c r="W81" s="33" t="n">
        <f aca="false">2*(O81-G81)*(1-O81)*O81*E81</f>
        <v>-0.0501816005051025</v>
      </c>
      <c r="X81" s="33" t="n">
        <f aca="false">2*(O81-G81)*(1-O81)*O81*F81</f>
        <v>-0.0155324001563413</v>
      </c>
    </row>
    <row r="82" customFormat="false" ht="14.25" hidden="false" customHeight="true" outlineLevel="0" collapsed="false">
      <c r="A82" s="67"/>
      <c r="B82" s="34" t="n">
        <v>16</v>
      </c>
      <c r="C82" s="2" t="n">
        <f aca="false">IF($B82&lt;=10, INDEX(Data!$A:$A,40+$B82), INDEX(Data!$A:$A,80+$B82))</f>
        <v>5.7</v>
      </c>
      <c r="D82" s="54" t="n">
        <f aca="false">IF($B82&lt;=10, INDEX(Data!$B:$B,40+$B82), INDEX(Data!$B:$B,80+$B82))</f>
        <v>3</v>
      </c>
      <c r="E82" s="54" t="n">
        <f aca="false">IF($B82&lt;=10, INDEX(Data!$C:$C,40+$B82), INDEX(Data!$C:$C,80+$B82))</f>
        <v>4.2</v>
      </c>
      <c r="F82" s="54" t="n">
        <f aca="false">IF($B82&lt;=10, INDEX(Data!$D:$D,40+$B82), INDEX(Data!$D:$D,80+$B82))</f>
        <v>1.2</v>
      </c>
      <c r="G82" s="54" t="n">
        <f aca="false">IF(INDEX(Data!$E:$E,IF($B82&lt;=10,40+$B82,80+$B82))="Iris-setosa",0,1)</f>
        <v>1</v>
      </c>
      <c r="H82" s="1" t="n">
        <f aca="false">IF(G82=P82, 1, 0)</f>
        <v>1</v>
      </c>
      <c r="I82" s="34" t="n">
        <f aca="false">I81-$K$4*T81</f>
        <v>0.248508595820642</v>
      </c>
      <c r="J82" s="34" t="n">
        <f aca="false">J81-$K$4*U81</f>
        <v>-0.341961284283994</v>
      </c>
      <c r="K82" s="34" t="n">
        <f aca="false">K81-$K$4*V81</f>
        <v>-0.437856522851455</v>
      </c>
      <c r="L82" s="34" t="n">
        <f aca="false">L81-$K$4*W81</f>
        <v>1.03173328849401</v>
      </c>
      <c r="M82" s="34" t="n">
        <f aca="false">M81-$K$4*X81</f>
        <v>0.784600484493333</v>
      </c>
      <c r="N82" s="31" t="n">
        <f aca="false">I82+J82*C82+K82*D82+L82*E82+F82*M82</f>
        <v>2.26056009991433</v>
      </c>
      <c r="O82" s="31" t="n">
        <f aca="false">1/(1+EXP(-N82))</f>
        <v>0.905557543401226</v>
      </c>
      <c r="P82" s="32" t="n">
        <f aca="false">IF(O82&gt;0.5,1,0)</f>
        <v>1</v>
      </c>
      <c r="Q82" s="32" t="n">
        <f aca="false">O82-G82</f>
        <v>-0.0944424565987736</v>
      </c>
      <c r="R82" s="33" t="n">
        <f aca="false">Q82^2</f>
        <v>0.00891937760841123</v>
      </c>
      <c r="T82" s="33" t="n">
        <f aca="false">2*(O82-G82)*(1-O82)*O82</f>
        <v>-0.0161540193514816</v>
      </c>
      <c r="U82" s="33" t="n">
        <f aca="false">2*(O82-G82)*(1-O82)*O82*C82</f>
        <v>-0.0920779103034449</v>
      </c>
      <c r="V82" s="33" t="n">
        <f aca="false">2*(O82-G82)*(1-O82)*O82*D82</f>
        <v>-0.0484620580544447</v>
      </c>
      <c r="W82" s="33" t="n">
        <f aca="false">2*(O82-G82)*(1-O82)*O82*E82</f>
        <v>-0.0678468812762226</v>
      </c>
      <c r="X82" s="33" t="n">
        <f aca="false">2*(O82-G82)*(1-O82)*O82*F82</f>
        <v>-0.0193848232217779</v>
      </c>
    </row>
    <row r="83" customFormat="false" ht="14.25" hidden="false" customHeight="true" outlineLevel="0" collapsed="false">
      <c r="A83" s="67"/>
      <c r="B83" s="34" t="n">
        <v>17</v>
      </c>
      <c r="C83" s="2" t="n">
        <f aca="false">IF($B83&lt;=10, INDEX(Data!$A:$A,40+$B83), INDEX(Data!$A:$A,80+$B83))</f>
        <v>5.7</v>
      </c>
      <c r="D83" s="54" t="n">
        <f aca="false">IF($B83&lt;=10, INDEX(Data!$B:$B,40+$B83), INDEX(Data!$B:$B,80+$B83))</f>
        <v>2.9</v>
      </c>
      <c r="E83" s="54" t="n">
        <f aca="false">IF($B83&lt;=10, INDEX(Data!$C:$C,40+$B83), INDEX(Data!$C:$C,80+$B83))</f>
        <v>4.2</v>
      </c>
      <c r="F83" s="54" t="n">
        <f aca="false">IF($B83&lt;=10, INDEX(Data!$D:$D,40+$B83), INDEX(Data!$D:$D,80+$B83))</f>
        <v>1.3</v>
      </c>
      <c r="G83" s="54" t="n">
        <f aca="false">IF(INDEX(Data!$E:$E,IF($B83&lt;=10,40+$B83,80+$B83))="Iris-setosa",0,1)</f>
        <v>1</v>
      </c>
      <c r="H83" s="1" t="n">
        <f aca="false">IF(G83=P83, 1, 0)</f>
        <v>1</v>
      </c>
      <c r="I83" s="34" t="n">
        <f aca="false">I82-$K$4*T82</f>
        <v>0.25012399775579</v>
      </c>
      <c r="J83" s="34" t="n">
        <f aca="false">J82-$K$4*U82</f>
        <v>-0.33275349325365</v>
      </c>
      <c r="K83" s="34" t="n">
        <f aca="false">K82-$K$4*V82</f>
        <v>-0.433010317046011</v>
      </c>
      <c r="L83" s="34" t="n">
        <f aca="false">L82-$K$4*W82</f>
        <v>1.03851797662163</v>
      </c>
      <c r="M83" s="34" t="n">
        <f aca="false">M82-$K$4*X82</f>
        <v>0.786538966815511</v>
      </c>
      <c r="N83" s="31" t="n">
        <f aca="false">I83+J83*C83+K83*D83+L83*E83+F83*M83</f>
        <v>2.48197532544756</v>
      </c>
      <c r="O83" s="31" t="n">
        <f aca="false">1/(1+EXP(-N83))</f>
        <v>0.922868523400652</v>
      </c>
      <c r="P83" s="32" t="n">
        <f aca="false">IF(O83&gt;0.5,1,0)</f>
        <v>1</v>
      </c>
      <c r="Q83" s="32" t="n">
        <f aca="false">O83-G83</f>
        <v>-0.0771314765993478</v>
      </c>
      <c r="R83" s="33" t="n">
        <f aca="false">Q83^2</f>
        <v>0.00594926468239574</v>
      </c>
      <c r="T83" s="33" t="n">
        <f aca="false">2*(O83-G83)*(1-O83)*O83</f>
        <v>-0.0109807782255244</v>
      </c>
      <c r="U83" s="33" t="n">
        <f aca="false">2*(O83-G83)*(1-O83)*O83*C83</f>
        <v>-0.0625904358854892</v>
      </c>
      <c r="V83" s="33" t="n">
        <f aca="false">2*(O83-G83)*(1-O83)*O83*D83</f>
        <v>-0.0318442568540208</v>
      </c>
      <c r="W83" s="33" t="n">
        <f aca="false">2*(O83-G83)*(1-O83)*O83*E83</f>
        <v>-0.0461192685472025</v>
      </c>
      <c r="X83" s="33" t="n">
        <f aca="false">2*(O83-G83)*(1-O83)*O83*F83</f>
        <v>-0.0142750116931817</v>
      </c>
    </row>
    <row r="84" customFormat="false" ht="14.25" hidden="false" customHeight="true" outlineLevel="0" collapsed="false">
      <c r="A84" s="67"/>
      <c r="B84" s="34" t="n">
        <v>18</v>
      </c>
      <c r="C84" s="2" t="n">
        <f aca="false">IF($B84&lt;=10, INDEX(Data!$A:$A,40+$B84), INDEX(Data!$A:$A,80+$B84))</f>
        <v>6.2</v>
      </c>
      <c r="D84" s="54" t="n">
        <f aca="false">IF($B84&lt;=10, INDEX(Data!$B:$B,40+$B84), INDEX(Data!$B:$B,80+$B84))</f>
        <v>2.9</v>
      </c>
      <c r="E84" s="54" t="n">
        <f aca="false">IF($B84&lt;=10, INDEX(Data!$C:$C,40+$B84), INDEX(Data!$C:$C,80+$B84))</f>
        <v>4.3</v>
      </c>
      <c r="F84" s="54" t="n">
        <f aca="false">IF($B84&lt;=10, INDEX(Data!$D:$D,40+$B84), INDEX(Data!$D:$D,80+$B84))</f>
        <v>1.3</v>
      </c>
      <c r="G84" s="54" t="n">
        <f aca="false">IF(INDEX(Data!$E:$E,IF($B84&lt;=10,40+$B84,80+$B84))="Iris-setosa",0,1)</f>
        <v>1</v>
      </c>
      <c r="H84" s="1" t="n">
        <f aca="false">IF(G84=P84, 1, 0)</f>
        <v>1</v>
      </c>
      <c r="I84" s="34" t="n">
        <f aca="false">I83-$K$4*T83</f>
        <v>0.251222075578343</v>
      </c>
      <c r="J84" s="34" t="n">
        <f aca="false">J83-$K$4*U83</f>
        <v>-0.326494449665101</v>
      </c>
      <c r="K84" s="34" t="n">
        <f aca="false">K83-$K$4*V83</f>
        <v>-0.429825891360609</v>
      </c>
      <c r="L84" s="34" t="n">
        <f aca="false">L83-$K$4*W83</f>
        <v>1.04312990347635</v>
      </c>
      <c r="M84" s="34" t="n">
        <f aca="false">M83-$K$4*X83</f>
        <v>0.787966467984829</v>
      </c>
      <c r="N84" s="31" t="n">
        <f aca="false">I84+J84*C84+K84*D84+L84*E84+F84*M84</f>
        <v>2.49027639603753</v>
      </c>
      <c r="O84" s="31" t="n">
        <f aca="false">1/(1+EXP(-N84))</f>
        <v>0.923457341679237</v>
      </c>
      <c r="P84" s="32" t="n">
        <f aca="false">IF(O84&gt;0.5,1,0)</f>
        <v>1</v>
      </c>
      <c r="Q84" s="32" t="n">
        <f aca="false">O84-G84</f>
        <v>-0.0765426583207629</v>
      </c>
      <c r="R84" s="33" t="n">
        <f aca="false">Q84^2</f>
        <v>0.00585877854280905</v>
      </c>
      <c r="T84" s="33" t="n">
        <f aca="false">2*(O84-G84)*(1-O84)*O84</f>
        <v>-0.0108206641172596</v>
      </c>
      <c r="U84" s="33" t="n">
        <f aca="false">2*(O84-G84)*(1-O84)*O84*C84</f>
        <v>-0.0670881175270096</v>
      </c>
      <c r="V84" s="33" t="n">
        <f aca="false">2*(O84-G84)*(1-O84)*O84*D84</f>
        <v>-0.0313799259400529</v>
      </c>
      <c r="W84" s="33" t="n">
        <f aca="false">2*(O84-G84)*(1-O84)*O84*E84</f>
        <v>-0.0465288557042163</v>
      </c>
      <c r="X84" s="33" t="n">
        <f aca="false">2*(O84-G84)*(1-O84)*O84*F84</f>
        <v>-0.0140668633524375</v>
      </c>
    </row>
    <row r="85" customFormat="false" ht="14.25" hidden="false" customHeight="true" outlineLevel="0" collapsed="false">
      <c r="A85" s="67"/>
      <c r="B85" s="34" t="n">
        <v>19</v>
      </c>
      <c r="C85" s="2" t="n">
        <f aca="false">IF($B85&lt;=10, INDEX(Data!$A:$A,40+$B85), INDEX(Data!$A:$A,80+$B85))</f>
        <v>5.1</v>
      </c>
      <c r="D85" s="54" t="n">
        <f aca="false">IF($B85&lt;=10, INDEX(Data!$B:$B,40+$B85), INDEX(Data!$B:$B,80+$B85))</f>
        <v>2.5</v>
      </c>
      <c r="E85" s="54" t="n">
        <f aca="false">IF($B85&lt;=10, INDEX(Data!$C:$C,40+$B85), INDEX(Data!$C:$C,80+$B85))</f>
        <v>3</v>
      </c>
      <c r="F85" s="54" t="n">
        <f aca="false">IF($B85&lt;=10, INDEX(Data!$D:$D,40+$B85), INDEX(Data!$D:$D,80+$B85))</f>
        <v>1.1</v>
      </c>
      <c r="G85" s="54" t="n">
        <f aca="false">IF(INDEX(Data!$E:$E,IF($B85&lt;=10,40+$B85,80+$B85))="Iris-setosa",0,1)</f>
        <v>1</v>
      </c>
      <c r="H85" s="1" t="n">
        <f aca="false">IF(G85=P85, 1, 0)</f>
        <v>1</v>
      </c>
      <c r="I85" s="34" t="n">
        <f aca="false">I84-$K$4*T84</f>
        <v>0.252304141990069</v>
      </c>
      <c r="J85" s="34" t="n">
        <f aca="false">J84-$K$4*U84</f>
        <v>-0.3197856379124</v>
      </c>
      <c r="K85" s="34" t="n">
        <f aca="false">K84-$K$4*V84</f>
        <v>-0.426687898766603</v>
      </c>
      <c r="L85" s="34" t="n">
        <f aca="false">L84-$K$4*W84</f>
        <v>1.04778278904677</v>
      </c>
      <c r="M85" s="34" t="n">
        <f aca="false">M84-$K$4*X84</f>
        <v>0.789373154320073</v>
      </c>
      <c r="N85" s="31" t="n">
        <f aca="false">I85+J85*C85+K85*D85+L85*E85+F85*M85</f>
        <v>1.56633647861271</v>
      </c>
      <c r="O85" s="31" t="n">
        <f aca="false">1/(1+EXP(-N85))</f>
        <v>0.827260717002908</v>
      </c>
      <c r="P85" s="32" t="n">
        <f aca="false">IF(O85&gt;0.5,1,0)</f>
        <v>1</v>
      </c>
      <c r="Q85" s="32" t="n">
        <f aca="false">O85-G85</f>
        <v>-0.172739282997092</v>
      </c>
      <c r="R85" s="33" t="n">
        <f aca="false">Q85^2</f>
        <v>0.0298388598903493</v>
      </c>
      <c r="T85" s="33" t="n">
        <f aca="false">2*(O85-G85)*(1-O85)*O85</f>
        <v>-0.0493690332548794</v>
      </c>
      <c r="U85" s="33" t="n">
        <f aca="false">2*(O85-G85)*(1-O85)*O85*C85</f>
        <v>-0.251782069599885</v>
      </c>
      <c r="V85" s="33" t="n">
        <f aca="false">2*(O85-G85)*(1-O85)*O85*D85</f>
        <v>-0.123422583137199</v>
      </c>
      <c r="W85" s="33" t="n">
        <f aca="false">2*(O85-G85)*(1-O85)*O85*E85</f>
        <v>-0.148107099764638</v>
      </c>
      <c r="X85" s="33" t="n">
        <f aca="false">2*(O85-G85)*(1-O85)*O85*F85</f>
        <v>-0.0543059365803674</v>
      </c>
    </row>
    <row r="86" customFormat="false" ht="14.25" hidden="false" customHeight="true" outlineLevel="0" collapsed="false">
      <c r="A86" s="67"/>
      <c r="B86" s="34" t="n">
        <v>20</v>
      </c>
      <c r="C86" s="2" t="n">
        <f aca="false">IF($B86&lt;=10, INDEX(Data!$A:$A,40+$B86), INDEX(Data!$A:$A,80+$B86))</f>
        <v>5.7</v>
      </c>
      <c r="D86" s="54" t="n">
        <f aca="false">IF($B86&lt;=10, INDEX(Data!$B:$B,40+$B86), INDEX(Data!$B:$B,80+$B86))</f>
        <v>2.8</v>
      </c>
      <c r="E86" s="54" t="n">
        <f aca="false">IF($B86&lt;=10, INDEX(Data!$C:$C,40+$B86), INDEX(Data!$C:$C,80+$B86))</f>
        <v>4.1</v>
      </c>
      <c r="F86" s="54" t="n">
        <f aca="false">IF($B86&lt;=10, INDEX(Data!$D:$D,40+$B86), INDEX(Data!$D:$D,80+$B86))</f>
        <v>1.3</v>
      </c>
      <c r="G86" s="54" t="n">
        <f aca="false">IF(INDEX(Data!$E:$E,IF($B86&lt;=10,40+$B86,80+$B86))="Iris-setosa",0,1)</f>
        <v>1</v>
      </c>
      <c r="H86" s="1" t="n">
        <f aca="false">IF(G86=P86, 1, 0)</f>
        <v>1</v>
      </c>
      <c r="I86" s="34" t="n">
        <f aca="false">I85-$K$4*T85</f>
        <v>0.257241045315556</v>
      </c>
      <c r="J86" s="34" t="n">
        <f aca="false">J85-$K$4*U85</f>
        <v>-0.294607430952411</v>
      </c>
      <c r="K86" s="34" t="n">
        <f aca="false">K85-$K$4*V85</f>
        <v>-0.414345640452884</v>
      </c>
      <c r="L86" s="34" t="n">
        <f aca="false">L85-$K$4*W85</f>
        <v>1.06259349902323</v>
      </c>
      <c r="M86" s="34" t="n">
        <f aca="false">M85-$K$4*X85</f>
        <v>0.79480374797811</v>
      </c>
      <c r="N86" s="31" t="n">
        <f aca="false">I86+J86*C86+K86*D86+L86*E86+F86*M86</f>
        <v>2.80768911398554</v>
      </c>
      <c r="O86" s="31" t="n">
        <f aca="false">1/(1+EXP(-N86))</f>
        <v>0.943089917799008</v>
      </c>
      <c r="P86" s="32" t="n">
        <f aca="false">IF(O86&gt;0.5,1,0)</f>
        <v>1</v>
      </c>
      <c r="Q86" s="32" t="n">
        <f aca="false">O86-G86</f>
        <v>-0.056910082200992</v>
      </c>
      <c r="R86" s="33" t="n">
        <f aca="false">Q86^2</f>
        <v>0.00323875745612367</v>
      </c>
      <c r="S86" s="1" t="n">
        <f aca="false">AVERAGE(R67:R86)</f>
        <v>0.0345154827283475</v>
      </c>
      <c r="T86" s="33" t="n">
        <f aca="false">2*(O86-G86)*(1-O86)*O86</f>
        <v>-0.00610887900613319</v>
      </c>
      <c r="U86" s="33" t="n">
        <f aca="false">2*(O86-G86)*(1-O86)*O86*C86</f>
        <v>-0.0348206103349592</v>
      </c>
      <c r="V86" s="33" t="n">
        <f aca="false">2*(O86-G86)*(1-O86)*O86*D86</f>
        <v>-0.0171048612171729</v>
      </c>
      <c r="W86" s="33" t="n">
        <f aca="false">2*(O86-G86)*(1-O86)*O86*E86</f>
        <v>-0.0250464039251461</v>
      </c>
      <c r="X86" s="33" t="n">
        <f aca="false">2*(O86-G86)*(1-O86)*O86*F86</f>
        <v>-0.00794154270797315</v>
      </c>
    </row>
    <row r="87" customFormat="false" ht="14.25" hidden="false" customHeight="true" outlineLevel="0" collapsed="false">
      <c r="A87" s="67" t="s">
        <v>36</v>
      </c>
      <c r="B87" s="34" t="n">
        <v>1</v>
      </c>
      <c r="C87" s="2" t="n">
        <f aca="false">IF($B87&lt;=10, INDEX(Data!$A:$A,40+$B87), INDEX(Data!$A:$A,80+$B87))</f>
        <v>5</v>
      </c>
      <c r="D87" s="54" t="n">
        <f aca="false">IF($B87&lt;=10, INDEX(Data!$B:$B,40+$B87), INDEX(Data!$B:$B,80+$B87))</f>
        <v>3.5</v>
      </c>
      <c r="E87" s="54" t="n">
        <f aca="false">IF($B87&lt;=10, INDEX(Data!$C:$C,40+$B87), INDEX(Data!$C:$C,80+$B87))</f>
        <v>1.3</v>
      </c>
      <c r="F87" s="54" t="n">
        <f aca="false">IF($B87&lt;=10, INDEX(Data!$D:$D,40+$B87), INDEX(Data!$D:$D,80+$B87))</f>
        <v>0.3</v>
      </c>
      <c r="G87" s="54" t="n">
        <f aca="false">IF(INDEX(Data!$E:$E,IF($B87&lt;=10,40+$B87,80+$B87))="Iris-setosa",0,1)</f>
        <v>0</v>
      </c>
      <c r="H87" s="1" t="n">
        <f aca="false">IF(G87=P87, 1, 0)</f>
        <v>1</v>
      </c>
      <c r="I87" s="34" t="n">
        <f aca="false">'SLP-Training'!I404</f>
        <v>0.257531000117361</v>
      </c>
      <c r="J87" s="34" t="n">
        <f aca="false">'SLP-Training'!J404</f>
        <v>-0.242839768925169</v>
      </c>
      <c r="K87" s="34" t="n">
        <f aca="false">'SLP-Training'!K404</f>
        <v>-0.417375355077675</v>
      </c>
      <c r="L87" s="34" t="n">
        <f aca="false">'SLP-Training'!L404</f>
        <v>1.12145890881008</v>
      </c>
      <c r="M87" s="34" t="n">
        <f aca="false">'SLP-Training'!M404</f>
        <v>0.823813288277666</v>
      </c>
      <c r="N87" s="31" t="n">
        <f aca="false">I87+J87*C87+K87*D87+L87*E87+F87*M87</f>
        <v>-0.712441019343937</v>
      </c>
      <c r="O87" s="31" t="n">
        <f aca="false">1/(1+EXP(-N87))</f>
        <v>0.329059688677378</v>
      </c>
      <c r="P87" s="32" t="n">
        <f aca="false">IF(O87&gt;0.5,1,0)</f>
        <v>0</v>
      </c>
      <c r="Q87" s="32" t="n">
        <f aca="false">O87-G87</f>
        <v>0.329059688677378</v>
      </c>
      <c r="R87" s="33" t="n">
        <f aca="false">Q87^2</f>
        <v>0.108280278712453</v>
      </c>
      <c r="T87" s="33" t="n">
        <f aca="false">2*(O87-G87)*(1-O87)*O87</f>
        <v>0.145299207818867</v>
      </c>
      <c r="U87" s="33" t="n">
        <f aca="false">2*(O87-G87)*(1-O87)*O87*C87</f>
        <v>0.726496039094333</v>
      </c>
      <c r="V87" s="33" t="n">
        <f aca="false">2*(O87-G87)*(1-O87)*O87*D87</f>
        <v>0.508547227366033</v>
      </c>
      <c r="W87" s="33" t="n">
        <f aca="false">2*(O87-G87)*(1-O87)*O87*E87</f>
        <v>0.188888970164527</v>
      </c>
      <c r="X87" s="33" t="n">
        <f aca="false">2*(O87-G87)*(1-O87)*O87*F87</f>
        <v>0.04358976234566</v>
      </c>
    </row>
    <row r="88" customFormat="false" ht="14.25" hidden="false" customHeight="true" outlineLevel="0" collapsed="false">
      <c r="A88" s="67"/>
      <c r="B88" s="34" t="n">
        <v>2</v>
      </c>
      <c r="C88" s="2" t="n">
        <f aca="false">IF($B88&lt;=10, INDEX(Data!$A:$A,40+$B88), INDEX(Data!$A:$A,80+$B88))</f>
        <v>4.5</v>
      </c>
      <c r="D88" s="54" t="n">
        <f aca="false">IF($B88&lt;=10, INDEX(Data!$B:$B,40+$B88), INDEX(Data!$B:$B,80+$B88))</f>
        <v>2.3</v>
      </c>
      <c r="E88" s="54" t="n">
        <f aca="false">IF($B88&lt;=10, INDEX(Data!$C:$C,40+$B88), INDEX(Data!$C:$C,80+$B88))</f>
        <v>1.3</v>
      </c>
      <c r="F88" s="54" t="n">
        <f aca="false">IF($B88&lt;=10, INDEX(Data!$D:$D,40+$B88), INDEX(Data!$D:$D,80+$B88))</f>
        <v>0.3</v>
      </c>
      <c r="G88" s="54" t="n">
        <f aca="false">IF(INDEX(Data!$E:$E,IF($B88&lt;=10,40+$B88,80+$B88))="Iris-setosa",0,1)</f>
        <v>0</v>
      </c>
      <c r="H88" s="1" t="n">
        <f aca="false">IF(G88=P88, 1, 0)</f>
        <v>1</v>
      </c>
      <c r="I88" s="34" t="n">
        <f aca="false">I87-$K$4*T87</f>
        <v>0.243001079335474</v>
      </c>
      <c r="J88" s="34" t="n">
        <f aca="false">J87-$K$4*U87</f>
        <v>-0.315489372834603</v>
      </c>
      <c r="K88" s="34" t="n">
        <f aca="false">K87-$K$4*V87</f>
        <v>-0.468230077814278</v>
      </c>
      <c r="L88" s="34" t="n">
        <f aca="false">L87-$K$4*W87</f>
        <v>1.10257001179363</v>
      </c>
      <c r="M88" s="34" t="n">
        <f aca="false">M87-$K$4*X87</f>
        <v>0.8194543120431</v>
      </c>
      <c r="N88" s="31" t="n">
        <f aca="false">I88+J88*C88+K88*D88+L88*E88+F88*M88</f>
        <v>-0.574452968448426</v>
      </c>
      <c r="O88" s="31" t="n">
        <f aca="false">1/(1+EXP(-N88))</f>
        <v>0.360209961824455</v>
      </c>
      <c r="P88" s="32" t="n">
        <f aca="false">IF(O88&gt;0.5,1,0)</f>
        <v>0</v>
      </c>
      <c r="Q88" s="32" t="n">
        <f aca="false">O88-G88</f>
        <v>0.360209961824455</v>
      </c>
      <c r="R88" s="33" t="n">
        <f aca="false">Q88^2</f>
        <v>0.129751216597575</v>
      </c>
      <c r="T88" s="33" t="n">
        <f aca="false">2*(O88-G88)*(1-O88)*O88</f>
        <v>0.166027071640572</v>
      </c>
      <c r="U88" s="33" t="n">
        <f aca="false">2*(O88-G88)*(1-O88)*O88*C88</f>
        <v>0.747121822382574</v>
      </c>
      <c r="V88" s="33" t="n">
        <f aca="false">2*(O88-G88)*(1-O88)*O88*D88</f>
        <v>0.381862264773316</v>
      </c>
      <c r="W88" s="33" t="n">
        <f aca="false">2*(O88-G88)*(1-O88)*O88*E88</f>
        <v>0.215835193132744</v>
      </c>
      <c r="X88" s="33" t="n">
        <f aca="false">2*(O88-G88)*(1-O88)*O88*F88</f>
        <v>0.0498081214921716</v>
      </c>
    </row>
    <row r="89" customFormat="false" ht="14.25" hidden="false" customHeight="true" outlineLevel="0" collapsed="false">
      <c r="A89" s="67"/>
      <c r="B89" s="34" t="n">
        <v>3</v>
      </c>
      <c r="C89" s="2" t="n">
        <f aca="false">IF($B89&lt;=10, INDEX(Data!$A:$A,40+$B89), INDEX(Data!$A:$A,80+$B89))</f>
        <v>4.4</v>
      </c>
      <c r="D89" s="54" t="n">
        <f aca="false">IF($B89&lt;=10, INDEX(Data!$B:$B,40+$B89), INDEX(Data!$B:$B,80+$B89))</f>
        <v>3.2</v>
      </c>
      <c r="E89" s="54" t="n">
        <f aca="false">IF($B89&lt;=10, INDEX(Data!$C:$C,40+$B89), INDEX(Data!$C:$C,80+$B89))</f>
        <v>1.3</v>
      </c>
      <c r="F89" s="54" t="n">
        <f aca="false">IF($B89&lt;=10, INDEX(Data!$D:$D,40+$B89), INDEX(Data!$D:$D,80+$B89))</f>
        <v>0.2</v>
      </c>
      <c r="G89" s="54" t="n">
        <f aca="false">IF(INDEX(Data!$E:$E,IF($B89&lt;=10,40+$B89,80+$B89))="Iris-setosa",0,1)</f>
        <v>0</v>
      </c>
      <c r="H89" s="1" t="n">
        <f aca="false">IF(G89=P89, 1, 0)</f>
        <v>1</v>
      </c>
      <c r="I89" s="34" t="n">
        <f aca="false">I88-$K$4*T88</f>
        <v>0.226398372171417</v>
      </c>
      <c r="J89" s="34" t="n">
        <f aca="false">J88-$K$4*U88</f>
        <v>-0.39020155507286</v>
      </c>
      <c r="K89" s="34" t="n">
        <f aca="false">K88-$K$4*V88</f>
        <v>-0.506416304291609</v>
      </c>
      <c r="L89" s="34" t="n">
        <f aca="false">L88-$K$4*W88</f>
        <v>1.08098649248036</v>
      </c>
      <c r="M89" s="34" t="n">
        <f aca="false">M88-$K$4*X88</f>
        <v>0.814473499893883</v>
      </c>
      <c r="N89" s="31" t="n">
        <f aca="false">I89+J89*C89+K89*D89+L89*E89+F89*M89</f>
        <v>-1.54284350367908</v>
      </c>
      <c r="O89" s="31" t="n">
        <f aca="false">1/(1+EXP(-N89))</f>
        <v>0.17612229315179</v>
      </c>
      <c r="P89" s="32" t="n">
        <f aca="false">IF(O89&gt;0.5,1,0)</f>
        <v>0</v>
      </c>
      <c r="Q89" s="32" t="n">
        <f aca="false">O89-G89</f>
        <v>0.17612229315179</v>
      </c>
      <c r="R89" s="33" t="n">
        <f aca="false">Q89^2</f>
        <v>0.0310190621450451</v>
      </c>
      <c r="T89" s="33" t="n">
        <f aca="false">2*(O89-G89)*(1-O89)*O89</f>
        <v>0.0511118275772837</v>
      </c>
      <c r="U89" s="33" t="n">
        <f aca="false">2*(O89-G89)*(1-O89)*O89*C89</f>
        <v>0.224892041340048</v>
      </c>
      <c r="V89" s="33" t="n">
        <f aca="false">2*(O89-G89)*(1-O89)*O89*D89</f>
        <v>0.163557848247308</v>
      </c>
      <c r="W89" s="33" t="n">
        <f aca="false">2*(O89-G89)*(1-O89)*O89*E89</f>
        <v>0.0664453758504688</v>
      </c>
      <c r="X89" s="33" t="n">
        <f aca="false">2*(O89-G89)*(1-O89)*O89*F89</f>
        <v>0.0102223655154567</v>
      </c>
    </row>
    <row r="90" customFormat="false" ht="14.25" hidden="false" customHeight="true" outlineLevel="0" collapsed="false">
      <c r="A90" s="67"/>
      <c r="B90" s="34" t="n">
        <v>4</v>
      </c>
      <c r="C90" s="2" t="n">
        <f aca="false">IF($B90&lt;=10, INDEX(Data!$A:$A,40+$B90), INDEX(Data!$A:$A,80+$B90))</f>
        <v>5</v>
      </c>
      <c r="D90" s="54" t="n">
        <f aca="false">IF($B90&lt;=10, INDEX(Data!$B:$B,40+$B90), INDEX(Data!$B:$B,80+$B90))</f>
        <v>3.5</v>
      </c>
      <c r="E90" s="54" t="n">
        <f aca="false">IF($B90&lt;=10, INDEX(Data!$C:$C,40+$B90), INDEX(Data!$C:$C,80+$B90))</f>
        <v>1.6</v>
      </c>
      <c r="F90" s="54" t="n">
        <f aca="false">IF($B90&lt;=10, INDEX(Data!$D:$D,40+$B90), INDEX(Data!$D:$D,80+$B90))</f>
        <v>0.6</v>
      </c>
      <c r="G90" s="54" t="n">
        <f aca="false">IF(INDEX(Data!$E:$E,IF($B90&lt;=10,40+$B90,80+$B90))="Iris-setosa",0,1)</f>
        <v>0</v>
      </c>
      <c r="H90" s="1" t="n">
        <f aca="false">IF(G90=P90, 1, 0)</f>
        <v>1</v>
      </c>
      <c r="I90" s="34" t="n">
        <f aca="false">I89-$K$4*T89</f>
        <v>0.221287189413688</v>
      </c>
      <c r="J90" s="34" t="n">
        <f aca="false">J89-$K$4*U89</f>
        <v>-0.412690759206865</v>
      </c>
      <c r="K90" s="34" t="n">
        <f aca="false">K89-$K$4*V89</f>
        <v>-0.52277208911634</v>
      </c>
      <c r="L90" s="34" t="n">
        <f aca="false">L89-$K$4*W89</f>
        <v>1.07434195489531</v>
      </c>
      <c r="M90" s="34" t="n">
        <f aca="false">M89-$K$4*X89</f>
        <v>0.813451263342337</v>
      </c>
      <c r="N90" s="31" t="n">
        <f aca="false">I90+J90*C90+K90*D90+L90*E90+F90*M90</f>
        <v>-1.46485103268993</v>
      </c>
      <c r="O90" s="31" t="n">
        <f aca="false">1/(1+EXP(-N90))</f>
        <v>0.187726493451414</v>
      </c>
      <c r="P90" s="32" t="n">
        <f aca="false">IF(O90&gt;0.5,1,0)</f>
        <v>0</v>
      </c>
      <c r="Q90" s="32" t="n">
        <f aca="false">O90-G90</f>
        <v>0.187726493451414</v>
      </c>
      <c r="R90" s="33" t="n">
        <f aca="false">Q90^2</f>
        <v>0.0352412363435637</v>
      </c>
      <c r="T90" s="33" t="n">
        <f aca="false">2*(O90-G90)*(1-O90)*O90</f>
        <v>0.057251045239788</v>
      </c>
      <c r="U90" s="33" t="n">
        <f aca="false">2*(O90-G90)*(1-O90)*O90*C90</f>
        <v>0.28625522619894</v>
      </c>
      <c r="V90" s="33" t="n">
        <f aca="false">2*(O90-G90)*(1-O90)*O90*D90</f>
        <v>0.200378658339258</v>
      </c>
      <c r="W90" s="33" t="n">
        <f aca="false">2*(O90-G90)*(1-O90)*O90*E90</f>
        <v>0.0916016723836608</v>
      </c>
      <c r="X90" s="33" t="n">
        <f aca="false">2*(O90-G90)*(1-O90)*O90*F90</f>
        <v>0.0343506271438728</v>
      </c>
    </row>
    <row r="91" customFormat="false" ht="14.25" hidden="false" customHeight="true" outlineLevel="0" collapsed="false">
      <c r="A91" s="67"/>
      <c r="B91" s="34" t="n">
        <v>5</v>
      </c>
      <c r="C91" s="2" t="n">
        <f aca="false">IF($B91&lt;=10, INDEX(Data!$A:$A,40+$B91), INDEX(Data!$A:$A,80+$B91))</f>
        <v>5.1</v>
      </c>
      <c r="D91" s="54" t="n">
        <f aca="false">IF($B91&lt;=10, INDEX(Data!$B:$B,40+$B91), INDEX(Data!$B:$B,80+$B91))</f>
        <v>3.8</v>
      </c>
      <c r="E91" s="54" t="n">
        <f aca="false">IF($B91&lt;=10, INDEX(Data!$C:$C,40+$B91), INDEX(Data!$C:$C,80+$B91))</f>
        <v>1.9</v>
      </c>
      <c r="F91" s="54" t="n">
        <f aca="false">IF($B91&lt;=10, INDEX(Data!$D:$D,40+$B91), INDEX(Data!$D:$D,80+$B91))</f>
        <v>0.4</v>
      </c>
      <c r="G91" s="54" t="n">
        <f aca="false">IF(INDEX(Data!$E:$E,IF($B91&lt;=10,40+$B91,80+$B91))="Iris-setosa",0,1)</f>
        <v>0</v>
      </c>
      <c r="H91" s="1" t="n">
        <f aca="false">IF(G91=P91, 1, 0)</f>
        <v>1</v>
      </c>
      <c r="I91" s="34" t="n">
        <f aca="false">I90-$K$4*T90</f>
        <v>0.21556208488971</v>
      </c>
      <c r="J91" s="34" t="n">
        <f aca="false">J90-$K$4*U90</f>
        <v>-0.441316281826759</v>
      </c>
      <c r="K91" s="34" t="n">
        <f aca="false">K90-$K$4*V90</f>
        <v>-0.542809954950266</v>
      </c>
      <c r="L91" s="34" t="n">
        <f aca="false">L90-$K$4*W90</f>
        <v>1.06518178765694</v>
      </c>
      <c r="M91" s="34" t="n">
        <f aca="false">M90-$K$4*X90</f>
        <v>0.81001620062795</v>
      </c>
      <c r="N91" s="31" t="n">
        <f aca="false">I91+J91*C91+K91*D91+L91*E91+F91*M91</f>
        <v>-1.7499769044384</v>
      </c>
      <c r="O91" s="31" t="n">
        <f aca="false">1/(1+EXP(-N91))</f>
        <v>0.148050111080658</v>
      </c>
      <c r="P91" s="32" t="n">
        <f aca="false">IF(O91&gt;0.5,1,0)</f>
        <v>0</v>
      </c>
      <c r="Q91" s="32" t="n">
        <f aca="false">O91-G91</f>
        <v>0.148050111080658</v>
      </c>
      <c r="R91" s="33" t="n">
        <f aca="false">Q91^2</f>
        <v>0.0219188353909953</v>
      </c>
      <c r="T91" s="33" t="n">
        <f aca="false">2*(O91-G91)*(1-O91)*O91</f>
        <v>0.0373474987531996</v>
      </c>
      <c r="U91" s="33" t="n">
        <f aca="false">2*(O91-G91)*(1-O91)*O91*C91</f>
        <v>0.190472243641318</v>
      </c>
      <c r="V91" s="33" t="n">
        <f aca="false">2*(O91-G91)*(1-O91)*O91*D91</f>
        <v>0.141920495262158</v>
      </c>
      <c r="W91" s="33" t="n">
        <f aca="false">2*(O91-G91)*(1-O91)*O91*E91</f>
        <v>0.0709602476310791</v>
      </c>
      <c r="X91" s="33" t="n">
        <f aca="false">2*(O91-G91)*(1-O91)*O91*F91</f>
        <v>0.0149389995012798</v>
      </c>
    </row>
    <row r="92" customFormat="false" ht="14.25" hidden="false" customHeight="true" outlineLevel="0" collapsed="false">
      <c r="A92" s="67"/>
      <c r="B92" s="34" t="n">
        <v>6</v>
      </c>
      <c r="C92" s="2" t="n">
        <f aca="false">IF($B92&lt;=10, INDEX(Data!$A:$A,40+$B92), INDEX(Data!$A:$A,80+$B92))</f>
        <v>4.8</v>
      </c>
      <c r="D92" s="54" t="n">
        <f aca="false">IF($B92&lt;=10, INDEX(Data!$B:$B,40+$B92), INDEX(Data!$B:$B,80+$B92))</f>
        <v>3</v>
      </c>
      <c r="E92" s="54" t="n">
        <f aca="false">IF($B92&lt;=10, INDEX(Data!$C:$C,40+$B92), INDEX(Data!$C:$C,80+$B92))</f>
        <v>1.4</v>
      </c>
      <c r="F92" s="54" t="n">
        <f aca="false">IF($B92&lt;=10, INDEX(Data!$D:$D,40+$B92), INDEX(Data!$D:$D,80+$B92))</f>
        <v>0.3</v>
      </c>
      <c r="G92" s="54" t="n">
        <f aca="false">IF(INDEX(Data!$E:$E,IF($B92&lt;=10,40+$B92,80+$B92))="Iris-setosa",0,1)</f>
        <v>0</v>
      </c>
      <c r="H92" s="1" t="n">
        <f aca="false">IF(G92=P92, 1, 0)</f>
        <v>1</v>
      </c>
      <c r="I92" s="34" t="n">
        <f aca="false">I91-$K$4*T91</f>
        <v>0.21182733501439</v>
      </c>
      <c r="J92" s="34" t="n">
        <f aca="false">J91-$K$4*U91</f>
        <v>-0.460363506190891</v>
      </c>
      <c r="K92" s="34" t="n">
        <f aca="false">K91-$K$4*V91</f>
        <v>-0.557002004476482</v>
      </c>
      <c r="L92" s="34" t="n">
        <f aca="false">L91-$K$4*W91</f>
        <v>1.05808576289384</v>
      </c>
      <c r="M92" s="34" t="n">
        <f aca="false">M91-$K$4*X91</f>
        <v>0.808522300677822</v>
      </c>
      <c r="N92" s="31" t="n">
        <f aca="false">I92+J92*C92+K92*D92+L92*E92+F92*M92</f>
        <v>-1.94504674987661</v>
      </c>
      <c r="O92" s="31" t="n">
        <f aca="false">1/(1+EXP(-N92))</f>
        <v>0.125094464864634</v>
      </c>
      <c r="P92" s="32" t="n">
        <f aca="false">IF(O92&gt;0.5,1,0)</f>
        <v>0</v>
      </c>
      <c r="Q92" s="32" t="n">
        <f aca="false">O92-G92</f>
        <v>0.125094464864634</v>
      </c>
      <c r="R92" s="33" t="n">
        <f aca="false">Q92^2</f>
        <v>0.0156486251397693</v>
      </c>
      <c r="T92" s="33" t="n">
        <f aca="false">2*(O92-G92)*(1-O92)*O92</f>
        <v>0.0273821375040851</v>
      </c>
      <c r="U92" s="33" t="n">
        <f aca="false">2*(O92-G92)*(1-O92)*O92*C92</f>
        <v>0.131434260019609</v>
      </c>
      <c r="V92" s="33" t="n">
        <f aca="false">2*(O92-G92)*(1-O92)*O92*D92</f>
        <v>0.0821464125122554</v>
      </c>
      <c r="W92" s="33" t="n">
        <f aca="false">2*(O92-G92)*(1-O92)*O92*E92</f>
        <v>0.0383349925057192</v>
      </c>
      <c r="X92" s="33" t="n">
        <f aca="false">2*(O92-G92)*(1-O92)*O92*F92</f>
        <v>0.00821464125122554</v>
      </c>
    </row>
    <row r="93" customFormat="false" ht="14.25" hidden="false" customHeight="true" outlineLevel="0" collapsed="false">
      <c r="A93" s="67"/>
      <c r="B93" s="34" t="n">
        <v>7</v>
      </c>
      <c r="C93" s="2" t="n">
        <f aca="false">IF($B93&lt;=10, INDEX(Data!$A:$A,40+$B93), INDEX(Data!$A:$A,80+$B93))</f>
        <v>5.1</v>
      </c>
      <c r="D93" s="54" t="n">
        <f aca="false">IF($B93&lt;=10, INDEX(Data!$B:$B,40+$B93), INDEX(Data!$B:$B,80+$B93))</f>
        <v>3.8</v>
      </c>
      <c r="E93" s="54" t="n">
        <f aca="false">IF($B93&lt;=10, INDEX(Data!$C:$C,40+$B93), INDEX(Data!$C:$C,80+$B93))</f>
        <v>1.6</v>
      </c>
      <c r="F93" s="54" t="n">
        <f aca="false">IF($B93&lt;=10, INDEX(Data!$D:$D,40+$B93), INDEX(Data!$D:$D,80+$B93))</f>
        <v>0.2</v>
      </c>
      <c r="G93" s="54" t="n">
        <f aca="false">IF(INDEX(Data!$E:$E,IF($B93&lt;=10,40+$B93,80+$B93))="Iris-setosa",0,1)</f>
        <v>0</v>
      </c>
      <c r="H93" s="1" t="n">
        <f aca="false">IF(G93=P93, 1, 0)</f>
        <v>1</v>
      </c>
      <c r="I93" s="34" t="n">
        <f aca="false">I92-$K$4*T92</f>
        <v>0.209089121263981</v>
      </c>
      <c r="J93" s="34" t="n">
        <f aca="false">J92-$K$4*U92</f>
        <v>-0.473506932192851</v>
      </c>
      <c r="K93" s="34" t="n">
        <f aca="false">K92-$K$4*V92</f>
        <v>-0.565216645727707</v>
      </c>
      <c r="L93" s="34" t="n">
        <f aca="false">L92-$K$4*W92</f>
        <v>1.05425226364326</v>
      </c>
      <c r="M93" s="34" t="n">
        <f aca="false">M92-$K$4*X92</f>
        <v>0.8077008365527</v>
      </c>
      <c r="N93" s="31" t="n">
        <f aca="false">I93+J93*C93+K93*D93+L93*E93+F93*M93</f>
        <v>-2.50527569754509</v>
      </c>
      <c r="O93" s="31" t="n">
        <f aca="false">1/(1+EXP(-N93))</f>
        <v>0.0754891606059393</v>
      </c>
      <c r="P93" s="32" t="n">
        <f aca="false">IF(O93&gt;0.5,1,0)</f>
        <v>0</v>
      </c>
      <c r="Q93" s="32" t="n">
        <f aca="false">O93-G93</f>
        <v>0.0754891606059393</v>
      </c>
      <c r="R93" s="33" t="n">
        <f aca="false">Q93^2</f>
        <v>0.0056986133689893</v>
      </c>
      <c r="T93" s="33" t="n">
        <f aca="false">2*(O93-G93)*(1-O93)*O93</f>
        <v>0.010536859658293</v>
      </c>
      <c r="U93" s="33" t="n">
        <f aca="false">2*(O93-G93)*(1-O93)*O93*C93</f>
        <v>0.0537379842572944</v>
      </c>
      <c r="V93" s="33" t="n">
        <f aca="false">2*(O93-G93)*(1-O93)*O93*D93</f>
        <v>0.0400400667015135</v>
      </c>
      <c r="W93" s="33" t="n">
        <f aca="false">2*(O93-G93)*(1-O93)*O93*E93</f>
        <v>0.0168589754532688</v>
      </c>
      <c r="X93" s="33" t="n">
        <f aca="false">2*(O93-G93)*(1-O93)*O93*F93</f>
        <v>0.00210737193165861</v>
      </c>
    </row>
    <row r="94" customFormat="false" ht="14.25" hidden="false" customHeight="true" outlineLevel="0" collapsed="false">
      <c r="A94" s="67"/>
      <c r="B94" s="34" t="n">
        <v>8</v>
      </c>
      <c r="C94" s="2" t="n">
        <f aca="false">IF($B94&lt;=10, INDEX(Data!$A:$A,40+$B94), INDEX(Data!$A:$A,80+$B94))</f>
        <v>4.6</v>
      </c>
      <c r="D94" s="54" t="n">
        <f aca="false">IF($B94&lt;=10, INDEX(Data!$B:$B,40+$B94), INDEX(Data!$B:$B,80+$B94))</f>
        <v>3.2</v>
      </c>
      <c r="E94" s="54" t="n">
        <f aca="false">IF($B94&lt;=10, INDEX(Data!$C:$C,40+$B94), INDEX(Data!$C:$C,80+$B94))</f>
        <v>1.4</v>
      </c>
      <c r="F94" s="54" t="n">
        <f aca="false">IF($B94&lt;=10, INDEX(Data!$D:$D,40+$B94), INDEX(Data!$D:$D,80+$B94))</f>
        <v>0.2</v>
      </c>
      <c r="G94" s="54" t="n">
        <f aca="false">IF(INDEX(Data!$E:$E,IF($B94&lt;=10,40+$B94,80+$B94))="Iris-setosa",0,1)</f>
        <v>0</v>
      </c>
      <c r="H94" s="1" t="n">
        <f aca="false">IF(G94=P94, 1, 0)</f>
        <v>1</v>
      </c>
      <c r="I94" s="34" t="n">
        <f aca="false">I93-$K$4*T93</f>
        <v>0.208035435298152</v>
      </c>
      <c r="J94" s="34" t="n">
        <f aca="false">J93-$K$4*U93</f>
        <v>-0.478880730618581</v>
      </c>
      <c r="K94" s="34" t="n">
        <f aca="false">K93-$K$4*V93</f>
        <v>-0.569220652397859</v>
      </c>
      <c r="L94" s="34" t="n">
        <f aca="false">L93-$K$4*W93</f>
        <v>1.05256636609794</v>
      </c>
      <c r="M94" s="34" t="n">
        <f aca="false">M93-$K$4*X93</f>
        <v>0.807490099359534</v>
      </c>
      <c r="N94" s="31" t="n">
        <f aca="false">I94+J94*C94+K94*D94+L94*E94+F94*M94</f>
        <v>-2.18123108081145</v>
      </c>
      <c r="O94" s="31" t="n">
        <f aca="false">1/(1+EXP(-N94))</f>
        <v>0.101448651408422</v>
      </c>
      <c r="P94" s="32" t="n">
        <f aca="false">IF(O94&gt;0.5,1,0)</f>
        <v>0</v>
      </c>
      <c r="Q94" s="32" t="n">
        <f aca="false">O94-G94</f>
        <v>0.101448651408422</v>
      </c>
      <c r="R94" s="33" t="n">
        <f aca="false">Q94^2</f>
        <v>0.0102918288725876</v>
      </c>
      <c r="T94" s="33" t="n">
        <f aca="false">2*(O94-G94)*(1-O94)*O94</f>
        <v>0.0184954734258747</v>
      </c>
      <c r="U94" s="33" t="n">
        <f aca="false">2*(O94-G94)*(1-O94)*O94*C94</f>
        <v>0.0850791777590234</v>
      </c>
      <c r="V94" s="33" t="n">
        <f aca="false">2*(O94-G94)*(1-O94)*O94*D94</f>
        <v>0.0591855149627989</v>
      </c>
      <c r="W94" s="33" t="n">
        <f aca="false">2*(O94-G94)*(1-O94)*O94*E94</f>
        <v>0.0258936627962245</v>
      </c>
      <c r="X94" s="33" t="n">
        <f aca="false">2*(O94-G94)*(1-O94)*O94*F94</f>
        <v>0.00369909468517493</v>
      </c>
    </row>
    <row r="95" customFormat="false" ht="14.25" hidden="false" customHeight="true" outlineLevel="0" collapsed="false">
      <c r="A95" s="67"/>
      <c r="B95" s="34" t="n">
        <v>9</v>
      </c>
      <c r="C95" s="2" t="n">
        <f aca="false">IF($B95&lt;=10, INDEX(Data!$A:$A,40+$B95), INDEX(Data!$A:$A,80+$B95))</f>
        <v>5.3</v>
      </c>
      <c r="D95" s="54" t="n">
        <f aca="false">IF($B95&lt;=10, INDEX(Data!$B:$B,40+$B95), INDEX(Data!$B:$B,80+$B95))</f>
        <v>3.7</v>
      </c>
      <c r="E95" s="54" t="n">
        <f aca="false">IF($B95&lt;=10, INDEX(Data!$C:$C,40+$B95), INDEX(Data!$C:$C,80+$B95))</f>
        <v>1.5</v>
      </c>
      <c r="F95" s="54" t="n">
        <f aca="false">IF($B95&lt;=10, INDEX(Data!$D:$D,40+$B95), INDEX(Data!$D:$D,80+$B95))</f>
        <v>0.2</v>
      </c>
      <c r="G95" s="54" t="n">
        <f aca="false">IF(INDEX(Data!$E:$E,IF($B95&lt;=10,40+$B95,80+$B95))="Iris-setosa",0,1)</f>
        <v>0</v>
      </c>
      <c r="H95" s="1" t="n">
        <f aca="false">IF(G95=P95, 1, 0)</f>
        <v>1</v>
      </c>
      <c r="I95" s="34" t="n">
        <f aca="false">I94-$K$4*T94</f>
        <v>0.206185887955564</v>
      </c>
      <c r="J95" s="34" t="n">
        <f aca="false">J94-$K$4*U94</f>
        <v>-0.487388648394483</v>
      </c>
      <c r="K95" s="34" t="n">
        <f aca="false">K94-$K$4*V94</f>
        <v>-0.575139203894138</v>
      </c>
      <c r="L95" s="34" t="n">
        <f aca="false">L94-$K$4*W94</f>
        <v>1.04997699981832</v>
      </c>
      <c r="M95" s="34" t="n">
        <f aca="false">M94-$K$4*X94</f>
        <v>0.807120189891016</v>
      </c>
      <c r="N95" s="31" t="n">
        <f aca="false">I95+J95*C95+K95*D95+L95*E95+F95*M95</f>
        <v>-2.76859946523783</v>
      </c>
      <c r="O95" s="31" t="n">
        <f aca="false">1/(1+EXP(-N95))</f>
        <v>0.0590447770258395</v>
      </c>
      <c r="P95" s="32" t="n">
        <f aca="false">IF(O95&gt;0.5,1,0)</f>
        <v>0</v>
      </c>
      <c r="Q95" s="32" t="n">
        <f aca="false">O95-G95</f>
        <v>0.0590447770258395</v>
      </c>
      <c r="R95" s="33" t="n">
        <f aca="false">Q95^2</f>
        <v>0.00348628569403111</v>
      </c>
      <c r="T95" s="33" t="n">
        <f aca="false">2*(O95-G95)*(1-O95)*O95</f>
        <v>0.00656087746515733</v>
      </c>
      <c r="U95" s="33" t="n">
        <f aca="false">2*(O95-G95)*(1-O95)*O95*C95</f>
        <v>0.0347726505653339</v>
      </c>
      <c r="V95" s="33" t="n">
        <f aca="false">2*(O95-G95)*(1-O95)*O95*D95</f>
        <v>0.0242752466210821</v>
      </c>
      <c r="W95" s="33" t="n">
        <f aca="false">2*(O95-G95)*(1-O95)*O95*E95</f>
        <v>0.009841316197736</v>
      </c>
      <c r="X95" s="33" t="n">
        <f aca="false">2*(O95-G95)*(1-O95)*O95*F95</f>
        <v>0.00131217549303147</v>
      </c>
    </row>
    <row r="96" customFormat="false" ht="14.25" hidden="false" customHeight="true" outlineLevel="0" collapsed="false">
      <c r="A96" s="67"/>
      <c r="B96" s="34" t="n">
        <v>10</v>
      </c>
      <c r="C96" s="2" t="n">
        <f aca="false">IF($B96&lt;=10, INDEX(Data!$A:$A,40+$B96), INDEX(Data!$A:$A,80+$B96))</f>
        <v>5</v>
      </c>
      <c r="D96" s="54" t="n">
        <f aca="false">IF($B96&lt;=10, INDEX(Data!$B:$B,40+$B96), INDEX(Data!$B:$B,80+$B96))</f>
        <v>3.3</v>
      </c>
      <c r="E96" s="54" t="n">
        <f aca="false">IF($B96&lt;=10, INDEX(Data!$C:$C,40+$B96), INDEX(Data!$C:$C,80+$B96))</f>
        <v>1.4</v>
      </c>
      <c r="F96" s="54" t="n">
        <f aca="false">IF($B96&lt;=10, INDEX(Data!$D:$D,40+$B96), INDEX(Data!$D:$D,80+$B96))</f>
        <v>0.2</v>
      </c>
      <c r="G96" s="54" t="n">
        <f aca="false">IF(INDEX(Data!$E:$E,IF($B96&lt;=10,40+$B96,80+$B96))="Iris-setosa",0,1)</f>
        <v>0</v>
      </c>
      <c r="H96" s="1" t="n">
        <f aca="false">IF(G96=P96, 1, 0)</f>
        <v>1</v>
      </c>
      <c r="I96" s="34" t="n">
        <f aca="false">I95-$K$4*T95</f>
        <v>0.205529800209049</v>
      </c>
      <c r="J96" s="34" t="n">
        <f aca="false">J95-$K$4*U95</f>
        <v>-0.490865913451017</v>
      </c>
      <c r="K96" s="34" t="n">
        <f aca="false">K95-$K$4*V95</f>
        <v>-0.577566728556247</v>
      </c>
      <c r="L96" s="34" t="n">
        <f aca="false">L95-$K$4*W95</f>
        <v>1.04899286819854</v>
      </c>
      <c r="M96" s="34" t="n">
        <f aca="false">M95-$K$4*X95</f>
        <v>0.806988972341713</v>
      </c>
      <c r="N96" s="31" t="n">
        <f aca="false">I96+J96*C96+K96*D96+L96*E96+F96*M96</f>
        <v>-2.52478216133535</v>
      </c>
      <c r="O96" s="31" t="n">
        <f aca="false">1/(1+EXP(-N96))</f>
        <v>0.0741390167773185</v>
      </c>
      <c r="P96" s="32" t="n">
        <f aca="false">IF(O96&gt;0.5,1,0)</f>
        <v>0</v>
      </c>
      <c r="Q96" s="32" t="n">
        <f aca="false">O96-G96</f>
        <v>0.0741390167773185</v>
      </c>
      <c r="R96" s="33" t="n">
        <f aca="false">Q96^2</f>
        <v>0.00549659380870751</v>
      </c>
      <c r="T96" s="33" t="n">
        <f aca="false">2*(O96-G96)*(1-O96)*O96</f>
        <v>0.0101781634962113</v>
      </c>
      <c r="U96" s="33" t="n">
        <f aca="false">2*(O96-G96)*(1-O96)*O96*C96</f>
        <v>0.0508908174810564</v>
      </c>
      <c r="V96" s="33" t="n">
        <f aca="false">2*(O96-G96)*(1-O96)*O96*D96</f>
        <v>0.0335879395374972</v>
      </c>
      <c r="W96" s="33" t="n">
        <f aca="false">2*(O96-G96)*(1-O96)*O96*E96</f>
        <v>0.0142494288946958</v>
      </c>
      <c r="X96" s="33" t="n">
        <f aca="false">2*(O96-G96)*(1-O96)*O96*F96</f>
        <v>0.00203563269924226</v>
      </c>
    </row>
    <row r="97" customFormat="false" ht="14.25" hidden="false" customHeight="true" outlineLevel="0" collapsed="false">
      <c r="A97" s="67"/>
      <c r="B97" s="34" t="n">
        <v>11</v>
      </c>
      <c r="C97" s="2" t="n">
        <f aca="false">IF($B97&lt;=10, INDEX(Data!$A:$A,40+$B97), INDEX(Data!$A:$A,80+$B97))</f>
        <v>5.5</v>
      </c>
      <c r="D97" s="54" t="n">
        <f aca="false">IF($B97&lt;=10, INDEX(Data!$B:$B,40+$B97), INDEX(Data!$B:$B,80+$B97))</f>
        <v>2.6</v>
      </c>
      <c r="E97" s="54" t="n">
        <f aca="false">IF($B97&lt;=10, INDEX(Data!$C:$C,40+$B97), INDEX(Data!$C:$C,80+$B97))</f>
        <v>4.4</v>
      </c>
      <c r="F97" s="54" t="n">
        <f aca="false">IF($B97&lt;=10, INDEX(Data!$D:$D,40+$B97), INDEX(Data!$D:$D,80+$B97))</f>
        <v>1.2</v>
      </c>
      <c r="G97" s="54" t="n">
        <f aca="false">IF(INDEX(Data!$E:$E,IF($B97&lt;=10,40+$B97,80+$B97))="Iris-setosa",0,1)</f>
        <v>1</v>
      </c>
      <c r="H97" s="1" t="n">
        <f aca="false">IF(G97=P97, 1, 0)</f>
        <v>1</v>
      </c>
      <c r="I97" s="34" t="n">
        <f aca="false">I96-$K$4*T96</f>
        <v>0.204511983859427</v>
      </c>
      <c r="J97" s="34" t="n">
        <f aca="false">J96-$K$4*U96</f>
        <v>-0.495954995199122</v>
      </c>
      <c r="K97" s="34" t="n">
        <f aca="false">K96-$K$4*V96</f>
        <v>-0.580925522509996</v>
      </c>
      <c r="L97" s="34" t="n">
        <f aca="false">L96-$K$4*W96</f>
        <v>1.04756792530907</v>
      </c>
      <c r="M97" s="34" t="n">
        <f aca="false">M96-$K$4*X96</f>
        <v>0.806785409071789</v>
      </c>
      <c r="N97" s="31" t="n">
        <f aca="false">I97+J97*C97+K97*D97+L97*E97+F97*M97</f>
        <v>1.54379451398433</v>
      </c>
      <c r="O97" s="31" t="n">
        <f aca="false">1/(1+EXP(-N97))</f>
        <v>0.824015659015035</v>
      </c>
      <c r="P97" s="32" t="n">
        <f aca="false">IF(O97&gt;0.5,1,0)</f>
        <v>1</v>
      </c>
      <c r="Q97" s="32" t="n">
        <f aca="false">O97-G97</f>
        <v>-0.175984340984965</v>
      </c>
      <c r="R97" s="33" t="n">
        <f aca="false">Q97^2</f>
        <v>0.0309704882719123</v>
      </c>
      <c r="T97" s="33" t="n">
        <f aca="false">2*(O97-G97)*(1-O97)*O97</f>
        <v>-0.0510403346067945</v>
      </c>
      <c r="U97" s="33" t="n">
        <f aca="false">2*(O97-G97)*(1-O97)*O97*C97</f>
        <v>-0.28072184033737</v>
      </c>
      <c r="V97" s="33" t="n">
        <f aca="false">2*(O97-G97)*(1-O97)*O97*D97</f>
        <v>-0.132704869977666</v>
      </c>
      <c r="W97" s="33" t="n">
        <f aca="false">2*(O97-G97)*(1-O97)*O97*E97</f>
        <v>-0.224577472269896</v>
      </c>
      <c r="X97" s="33" t="n">
        <f aca="false">2*(O97-G97)*(1-O97)*O97*F97</f>
        <v>-0.0612484015281534</v>
      </c>
    </row>
    <row r="98" customFormat="false" ht="14.25" hidden="false" customHeight="true" outlineLevel="0" collapsed="false">
      <c r="A98" s="67"/>
      <c r="B98" s="34" t="n">
        <v>12</v>
      </c>
      <c r="C98" s="2" t="n">
        <f aca="false">IF($B98&lt;=10, INDEX(Data!$A:$A,40+$B98), INDEX(Data!$A:$A,80+$B98))</f>
        <v>6.1</v>
      </c>
      <c r="D98" s="54" t="n">
        <f aca="false">IF($B98&lt;=10, INDEX(Data!$B:$B,40+$B98), INDEX(Data!$B:$B,80+$B98))</f>
        <v>3</v>
      </c>
      <c r="E98" s="54" t="n">
        <f aca="false">IF($B98&lt;=10, INDEX(Data!$C:$C,40+$B98), INDEX(Data!$C:$C,80+$B98))</f>
        <v>4.6</v>
      </c>
      <c r="F98" s="54" t="n">
        <f aca="false">IF($B98&lt;=10, INDEX(Data!$D:$D,40+$B98), INDEX(Data!$D:$D,80+$B98))</f>
        <v>1.4</v>
      </c>
      <c r="G98" s="54" t="n">
        <f aca="false">IF(INDEX(Data!$E:$E,IF($B98&lt;=10,40+$B98,80+$B98))="Iris-setosa",0,1)</f>
        <v>1</v>
      </c>
      <c r="H98" s="1" t="n">
        <f aca="false">IF(G98=P98, 1, 0)</f>
        <v>1</v>
      </c>
      <c r="I98" s="34" t="n">
        <f aca="false">I97-$K$4*T97</f>
        <v>0.209616017320107</v>
      </c>
      <c r="J98" s="34" t="n">
        <f aca="false">J97-$K$4*U97</f>
        <v>-0.467882811165385</v>
      </c>
      <c r="K98" s="34" t="n">
        <f aca="false">K97-$K$4*V97</f>
        <v>-0.56765503551223</v>
      </c>
      <c r="L98" s="34" t="n">
        <f aca="false">L97-$K$4*W97</f>
        <v>1.07002567253606</v>
      </c>
      <c r="M98" s="34" t="n">
        <f aca="false">M97-$K$4*X97</f>
        <v>0.812910249224604</v>
      </c>
      <c r="N98" s="31" t="n">
        <f aca="false">I98+J98*C98+K98*D98+L98*E98+F98*M98</f>
        <v>1.7127582052549</v>
      </c>
      <c r="O98" s="31" t="n">
        <f aca="false">1/(1+EXP(-N98))</f>
        <v>0.84719369398091</v>
      </c>
      <c r="P98" s="32" t="n">
        <f aca="false">IF(O98&gt;0.5,1,0)</f>
        <v>1</v>
      </c>
      <c r="Q98" s="32" t="n">
        <f aca="false">O98-G98</f>
        <v>-0.15280630601909</v>
      </c>
      <c r="R98" s="33" t="n">
        <f aca="false">Q98^2</f>
        <v>0.0233497671591998</v>
      </c>
      <c r="T98" s="33" t="n">
        <f aca="false">2*(O98-G98)*(1-O98)*O98</f>
        <v>-0.0395635509863932</v>
      </c>
      <c r="U98" s="33" t="n">
        <f aca="false">2*(O98-G98)*(1-O98)*O98*C98</f>
        <v>-0.241337661016998</v>
      </c>
      <c r="V98" s="33" t="n">
        <f aca="false">2*(O98-G98)*(1-O98)*O98*D98</f>
        <v>-0.11869065295918</v>
      </c>
      <c r="W98" s="33" t="n">
        <f aca="false">2*(O98-G98)*(1-O98)*O98*E98</f>
        <v>-0.181992334537409</v>
      </c>
      <c r="X98" s="33" t="n">
        <f aca="false">2*(O98-G98)*(1-O98)*O98*F98</f>
        <v>-0.0553889713809505</v>
      </c>
    </row>
    <row r="99" customFormat="false" ht="14.25" hidden="false" customHeight="true" outlineLevel="0" collapsed="false">
      <c r="A99" s="67"/>
      <c r="B99" s="34" t="n">
        <v>13</v>
      </c>
      <c r="C99" s="2" t="n">
        <f aca="false">IF($B99&lt;=10, INDEX(Data!$A:$A,40+$B99), INDEX(Data!$A:$A,80+$B99))</f>
        <v>5.8</v>
      </c>
      <c r="D99" s="54" t="n">
        <f aca="false">IF($B99&lt;=10, INDEX(Data!$B:$B,40+$B99), INDEX(Data!$B:$B,80+$B99))</f>
        <v>2.6</v>
      </c>
      <c r="E99" s="54" t="n">
        <f aca="false">IF($B99&lt;=10, INDEX(Data!$C:$C,40+$B99), INDEX(Data!$C:$C,80+$B99))</f>
        <v>4</v>
      </c>
      <c r="F99" s="54" t="n">
        <f aca="false">IF($B99&lt;=10, INDEX(Data!$D:$D,40+$B99), INDEX(Data!$D:$D,80+$B99))</f>
        <v>1.2</v>
      </c>
      <c r="G99" s="54" t="n">
        <f aca="false">IF(INDEX(Data!$E:$E,IF($B99&lt;=10,40+$B99,80+$B99))="Iris-setosa",0,1)</f>
        <v>1</v>
      </c>
      <c r="H99" s="1" t="n">
        <f aca="false">IF(G99=P99, 1, 0)</f>
        <v>1</v>
      </c>
      <c r="I99" s="34" t="n">
        <f aca="false">I98-$K$4*T98</f>
        <v>0.213572372418746</v>
      </c>
      <c r="J99" s="34" t="n">
        <f aca="false">J98-$K$4*U98</f>
        <v>-0.443749045063685</v>
      </c>
      <c r="K99" s="34" t="n">
        <f aca="false">K98-$K$4*V98</f>
        <v>-0.555785970216312</v>
      </c>
      <c r="L99" s="34" t="n">
        <f aca="false">L98-$K$4*W98</f>
        <v>1.0882249059898</v>
      </c>
      <c r="M99" s="34" t="n">
        <f aca="false">M98-$K$4*X98</f>
        <v>0.818449146362699</v>
      </c>
      <c r="N99" s="31" t="n">
        <f aca="false">I99+J99*C99+K99*D99+L99*E99+F99*M99</f>
        <v>1.52982298808141</v>
      </c>
      <c r="O99" s="31" t="n">
        <f aca="false">1/(1+EXP(-N99))</f>
        <v>0.821980413781443</v>
      </c>
      <c r="P99" s="32" t="n">
        <f aca="false">IF(O99&gt;0.5,1,0)</f>
        <v>1</v>
      </c>
      <c r="Q99" s="32" t="n">
        <f aca="false">O99-G99</f>
        <v>-0.178019586218557</v>
      </c>
      <c r="R99" s="33" t="n">
        <f aca="false">Q99^2</f>
        <v>0.0316909730774262</v>
      </c>
      <c r="T99" s="33" t="n">
        <f aca="false">2*(O99-G99)*(1-O99)*O99</f>
        <v>-0.0520987183266388</v>
      </c>
      <c r="U99" s="33" t="n">
        <f aca="false">2*(O99-G99)*(1-O99)*O99*C99</f>
        <v>-0.302172566294505</v>
      </c>
      <c r="V99" s="33" t="n">
        <f aca="false">2*(O99-G99)*(1-O99)*O99*D99</f>
        <v>-0.135456667649261</v>
      </c>
      <c r="W99" s="33" t="n">
        <f aca="false">2*(O99-G99)*(1-O99)*O99*E99</f>
        <v>-0.208394873306555</v>
      </c>
      <c r="X99" s="33" t="n">
        <f aca="false">2*(O99-G99)*(1-O99)*O99*F99</f>
        <v>-0.0625184619919665</v>
      </c>
    </row>
    <row r="100" customFormat="false" ht="14.25" hidden="false" customHeight="true" outlineLevel="0" collapsed="false">
      <c r="A100" s="67"/>
      <c r="B100" s="34" t="n">
        <v>14</v>
      </c>
      <c r="C100" s="2" t="n">
        <f aca="false">IF($B100&lt;=10, INDEX(Data!$A:$A,40+$B100), INDEX(Data!$A:$A,80+$B100))</f>
        <v>5</v>
      </c>
      <c r="D100" s="54" t="n">
        <f aca="false">IF($B100&lt;=10, INDEX(Data!$B:$B,40+$B100), INDEX(Data!$B:$B,80+$B100))</f>
        <v>2.3</v>
      </c>
      <c r="E100" s="54" t="n">
        <f aca="false">IF($B100&lt;=10, INDEX(Data!$C:$C,40+$B100), INDEX(Data!$C:$C,80+$B100))</f>
        <v>3.3</v>
      </c>
      <c r="F100" s="54" t="n">
        <f aca="false">IF($B100&lt;=10, INDEX(Data!$D:$D,40+$B100), INDEX(Data!$D:$D,80+$B100))</f>
        <v>1</v>
      </c>
      <c r="G100" s="54" t="n">
        <f aca="false">IF(INDEX(Data!$E:$E,IF($B100&lt;=10,40+$B100,80+$B100))="Iris-setosa",0,1)</f>
        <v>1</v>
      </c>
      <c r="H100" s="1" t="n">
        <f aca="false">IF(G100=P100, 1, 0)</f>
        <v>1</v>
      </c>
      <c r="I100" s="34" t="n">
        <f aca="false">I99-$K$4*T99</f>
        <v>0.21878224425141</v>
      </c>
      <c r="J100" s="34" t="n">
        <f aca="false">J99-$K$4*U99</f>
        <v>-0.413531788434235</v>
      </c>
      <c r="K100" s="34" t="n">
        <f aca="false">K99-$K$4*V99</f>
        <v>-0.542240303451386</v>
      </c>
      <c r="L100" s="34" t="n">
        <f aca="false">L99-$K$4*W99</f>
        <v>1.10906439332046</v>
      </c>
      <c r="M100" s="34" t="n">
        <f aca="false">M99-$K$4*X99</f>
        <v>0.824700992561896</v>
      </c>
      <c r="N100" s="31" t="n">
        <f aca="false">I100+J100*C100+K100*D100+L100*E100+F100*M100</f>
        <v>1.38858409466146</v>
      </c>
      <c r="O100" s="31" t="n">
        <f aca="false">1/(1+EXP(-N100))</f>
        <v>0.800366105721331</v>
      </c>
      <c r="P100" s="32" t="n">
        <f aca="false">IF(O100&gt;0.5,1,0)</f>
        <v>1</v>
      </c>
      <c r="Q100" s="32" t="n">
        <f aca="false">O100-G100</f>
        <v>-0.199633894278669</v>
      </c>
      <c r="R100" s="33" t="n">
        <f aca="false">Q100^2</f>
        <v>0.0398536917448666</v>
      </c>
      <c r="T100" s="33" t="n">
        <f aca="false">2*(O100-G100)*(1-O100)*O100</f>
        <v>-0.0637950881209146</v>
      </c>
      <c r="U100" s="33" t="n">
        <f aca="false">2*(O100-G100)*(1-O100)*O100*C100</f>
        <v>-0.318975440604573</v>
      </c>
      <c r="V100" s="33" t="n">
        <f aca="false">2*(O100-G100)*(1-O100)*O100*D100</f>
        <v>-0.146728702678104</v>
      </c>
      <c r="W100" s="33" t="n">
        <f aca="false">2*(O100-G100)*(1-O100)*O100*E100</f>
        <v>-0.210523790799018</v>
      </c>
      <c r="X100" s="33" t="n">
        <f aca="false">2*(O100-G100)*(1-O100)*O100*F100</f>
        <v>-0.0637950881209146</v>
      </c>
    </row>
    <row r="101" customFormat="false" ht="14.25" hidden="false" customHeight="true" outlineLevel="0" collapsed="false">
      <c r="A101" s="67"/>
      <c r="B101" s="34" t="n">
        <v>15</v>
      </c>
      <c r="C101" s="2" t="n">
        <f aca="false">IF($B101&lt;=10, INDEX(Data!$A:$A,40+$B101), INDEX(Data!$A:$A,80+$B101))</f>
        <v>5.6</v>
      </c>
      <c r="D101" s="54" t="n">
        <f aca="false">IF($B101&lt;=10, INDEX(Data!$B:$B,40+$B101), INDEX(Data!$B:$B,80+$B101))</f>
        <v>2.7</v>
      </c>
      <c r="E101" s="54" t="n">
        <f aca="false">IF($B101&lt;=10, INDEX(Data!$C:$C,40+$B101), INDEX(Data!$C:$C,80+$B101))</f>
        <v>4.2</v>
      </c>
      <c r="F101" s="54" t="n">
        <f aca="false">IF($B101&lt;=10, INDEX(Data!$D:$D,40+$B101), INDEX(Data!$D:$D,80+$B101))</f>
        <v>1.3</v>
      </c>
      <c r="G101" s="54" t="n">
        <f aca="false">IF(INDEX(Data!$E:$E,IF($B101&lt;=10,40+$B101,80+$B101))="Iris-setosa",0,1)</f>
        <v>1</v>
      </c>
      <c r="H101" s="1" t="n">
        <f aca="false">IF(G101=P101, 1, 0)</f>
        <v>1</v>
      </c>
      <c r="I101" s="34" t="n">
        <f aca="false">I100-$K$4*T100</f>
        <v>0.225161753063502</v>
      </c>
      <c r="J101" s="34" t="n">
        <f aca="false">J100-$K$4*U100</f>
        <v>-0.381634244373778</v>
      </c>
      <c r="K101" s="34" t="n">
        <f aca="false">K100-$K$4*V100</f>
        <v>-0.527567433183575</v>
      </c>
      <c r="L101" s="34" t="n">
        <f aca="false">L100-$K$4*W100</f>
        <v>1.13011677240036</v>
      </c>
      <c r="M101" s="34" t="n">
        <f aca="false">M100-$K$4*X100</f>
        <v>0.831080501373988</v>
      </c>
      <c r="N101" s="31" t="n">
        <f aca="false">I101+J101*C101+K101*D101+L101*E101+F101*M101</f>
        <v>2.49047301084239</v>
      </c>
      <c r="O101" s="31" t="n">
        <f aca="false">1/(1+EXP(-N101))</f>
        <v>0.92347123801944</v>
      </c>
      <c r="P101" s="32" t="n">
        <f aca="false">IF(O101&gt;0.5,1,0)</f>
        <v>1</v>
      </c>
      <c r="Q101" s="32" t="n">
        <f aca="false">O101-G101</f>
        <v>-0.0765287619805597</v>
      </c>
      <c r="R101" s="33" t="n">
        <f aca="false">Q101^2</f>
        <v>0.00585665141027716</v>
      </c>
      <c r="T101" s="33" t="n">
        <f aca="false">2*(O101-G101)*(1-O101)*O101</f>
        <v>-0.0108168982569939</v>
      </c>
      <c r="U101" s="33" t="n">
        <f aca="false">2*(O101-G101)*(1-O101)*O101*C101</f>
        <v>-0.0605746302391658</v>
      </c>
      <c r="V101" s="33" t="n">
        <f aca="false">2*(O101-G101)*(1-O101)*O101*D101</f>
        <v>-0.0292056252938835</v>
      </c>
      <c r="W101" s="33" t="n">
        <f aca="false">2*(O101-G101)*(1-O101)*O101*E101</f>
        <v>-0.0454309726793744</v>
      </c>
      <c r="X101" s="33" t="n">
        <f aca="false">2*(O101-G101)*(1-O101)*O101*F101</f>
        <v>-0.0140619677340921</v>
      </c>
    </row>
    <row r="102" customFormat="false" ht="14.25" hidden="false" customHeight="true" outlineLevel="0" collapsed="false">
      <c r="A102" s="67"/>
      <c r="B102" s="34" t="n">
        <v>16</v>
      </c>
      <c r="C102" s="2" t="n">
        <f aca="false">IF($B102&lt;=10, INDEX(Data!$A:$A,40+$B102), INDEX(Data!$A:$A,80+$B102))</f>
        <v>5.7</v>
      </c>
      <c r="D102" s="54" t="n">
        <f aca="false">IF($B102&lt;=10, INDEX(Data!$B:$B,40+$B102), INDEX(Data!$B:$B,80+$B102))</f>
        <v>3</v>
      </c>
      <c r="E102" s="54" t="n">
        <f aca="false">IF($B102&lt;=10, INDEX(Data!$C:$C,40+$B102), INDEX(Data!$C:$C,80+$B102))</f>
        <v>4.2</v>
      </c>
      <c r="F102" s="54" t="n">
        <f aca="false">IF($B102&lt;=10, INDEX(Data!$D:$D,40+$B102), INDEX(Data!$D:$D,80+$B102))</f>
        <v>1.2</v>
      </c>
      <c r="G102" s="54" t="n">
        <f aca="false">IF(INDEX(Data!$E:$E,IF($B102&lt;=10,40+$B102,80+$B102))="Iris-setosa",0,1)</f>
        <v>1</v>
      </c>
      <c r="H102" s="1" t="n">
        <f aca="false">IF(G102=P102, 1, 0)</f>
        <v>1</v>
      </c>
      <c r="I102" s="34" t="n">
        <f aca="false">I101-$K$4*T101</f>
        <v>0.226243442889201</v>
      </c>
      <c r="J102" s="34" t="n">
        <f aca="false">J101-$K$4*U101</f>
        <v>-0.375576781349861</v>
      </c>
      <c r="K102" s="34" t="n">
        <f aca="false">K101-$K$4*V101</f>
        <v>-0.524646870654187</v>
      </c>
      <c r="L102" s="34" t="n">
        <f aca="false">L101-$K$4*W101</f>
        <v>1.1346598696683</v>
      </c>
      <c r="M102" s="34" t="n">
        <f aca="false">M101-$K$4*X101</f>
        <v>0.832486698147397</v>
      </c>
      <c r="N102" s="31" t="n">
        <f aca="false">I102+J102*C102+K102*D102+L102*E102+F102*M102</f>
        <v>2.27607066761616</v>
      </c>
      <c r="O102" s="31" t="n">
        <f aca="false">1/(1+EXP(-N102))</f>
        <v>0.906875736482441</v>
      </c>
      <c r="P102" s="32" t="n">
        <f aca="false">IF(O102&gt;0.5,1,0)</f>
        <v>1</v>
      </c>
      <c r="Q102" s="32" t="n">
        <f aca="false">O102-G102</f>
        <v>-0.0931242635175589</v>
      </c>
      <c r="R102" s="33" t="n">
        <f aca="false">Q102^2</f>
        <v>0.00867212845568775</v>
      </c>
      <c r="T102" s="33" t="n">
        <f aca="false">2*(O102-G102)*(1-O102)*O102</f>
        <v>-0.0157290857602443</v>
      </c>
      <c r="U102" s="33" t="n">
        <f aca="false">2*(O102-G102)*(1-O102)*O102*C102</f>
        <v>-0.0896557888333926</v>
      </c>
      <c r="V102" s="33" t="n">
        <f aca="false">2*(O102-G102)*(1-O102)*O102*D102</f>
        <v>-0.047187257280733</v>
      </c>
      <c r="W102" s="33" t="n">
        <f aca="false">2*(O102-G102)*(1-O102)*O102*E102</f>
        <v>-0.0660621601930262</v>
      </c>
      <c r="X102" s="33" t="n">
        <f aca="false">2*(O102-G102)*(1-O102)*O102*F102</f>
        <v>-0.0188749029122932</v>
      </c>
    </row>
    <row r="103" customFormat="false" ht="14.25" hidden="false" customHeight="true" outlineLevel="0" collapsed="false">
      <c r="A103" s="67"/>
      <c r="B103" s="34" t="n">
        <v>17</v>
      </c>
      <c r="C103" s="2" t="n">
        <f aca="false">IF($B103&lt;=10, INDEX(Data!$A:$A,40+$B103), INDEX(Data!$A:$A,80+$B103))</f>
        <v>5.7</v>
      </c>
      <c r="D103" s="54" t="n">
        <f aca="false">IF($B103&lt;=10, INDEX(Data!$B:$B,40+$B103), INDEX(Data!$B:$B,80+$B103))</f>
        <v>2.9</v>
      </c>
      <c r="E103" s="54" t="n">
        <f aca="false">IF($B103&lt;=10, INDEX(Data!$C:$C,40+$B103), INDEX(Data!$C:$C,80+$B103))</f>
        <v>4.2</v>
      </c>
      <c r="F103" s="54" t="n">
        <f aca="false">IF($B103&lt;=10, INDEX(Data!$D:$D,40+$B103), INDEX(Data!$D:$D,80+$B103))</f>
        <v>1.3</v>
      </c>
      <c r="G103" s="54" t="n">
        <f aca="false">IF(INDEX(Data!$E:$E,IF($B103&lt;=10,40+$B103,80+$B103))="Iris-setosa",0,1)</f>
        <v>1</v>
      </c>
      <c r="H103" s="1" t="n">
        <f aca="false">IF(G103=P103, 1, 0)</f>
        <v>1</v>
      </c>
      <c r="I103" s="34" t="n">
        <f aca="false">I102-$K$4*T102</f>
        <v>0.227816351465225</v>
      </c>
      <c r="J103" s="34" t="n">
        <f aca="false">J102-$K$4*U102</f>
        <v>-0.366611202466522</v>
      </c>
      <c r="K103" s="34" t="n">
        <f aca="false">K102-$K$4*V102</f>
        <v>-0.519928144926114</v>
      </c>
      <c r="L103" s="34" t="n">
        <f aca="false">L102-$K$4*W102</f>
        <v>1.1412660856876</v>
      </c>
      <c r="M103" s="34" t="n">
        <f aca="false">M102-$K$4*X102</f>
        <v>0.834374188438626</v>
      </c>
      <c r="N103" s="31" t="n">
        <f aca="false">I103+J103*C103+K103*D103+L103*E103+F103*M103</f>
        <v>2.50834488197845</v>
      </c>
      <c r="O103" s="31" t="n">
        <f aca="false">1/(1+EXP(-N103))</f>
        <v>0.924724760568971</v>
      </c>
      <c r="P103" s="32" t="n">
        <f aca="false">IF(O103&gt;0.5,1,0)</f>
        <v>1</v>
      </c>
      <c r="Q103" s="32" t="n">
        <f aca="false">O103-G103</f>
        <v>-0.0752752394310291</v>
      </c>
      <c r="R103" s="33" t="n">
        <f aca="false">Q103^2</f>
        <v>0.00566636167139876</v>
      </c>
      <c r="T103" s="33" t="n">
        <f aca="false">2*(O103-G103)*(1-O103)*O103</f>
        <v>-0.0104796498797628</v>
      </c>
      <c r="U103" s="33" t="n">
        <f aca="false">2*(O103-G103)*(1-O103)*O103*C103</f>
        <v>-0.0597340043146481</v>
      </c>
      <c r="V103" s="33" t="n">
        <f aca="false">2*(O103-G103)*(1-O103)*O103*D103</f>
        <v>-0.0303909846513122</v>
      </c>
      <c r="W103" s="33" t="n">
        <f aca="false">2*(O103-G103)*(1-O103)*O103*E103</f>
        <v>-0.0440145294950039</v>
      </c>
      <c r="X103" s="33" t="n">
        <f aca="false">2*(O103-G103)*(1-O103)*O103*F103</f>
        <v>-0.0136235448436917</v>
      </c>
    </row>
    <row r="104" customFormat="false" ht="14.25" hidden="false" customHeight="true" outlineLevel="0" collapsed="false">
      <c r="A104" s="67"/>
      <c r="B104" s="34" t="n">
        <v>18</v>
      </c>
      <c r="C104" s="2" t="n">
        <f aca="false">IF($B104&lt;=10, INDEX(Data!$A:$A,40+$B104), INDEX(Data!$A:$A,80+$B104))</f>
        <v>6.2</v>
      </c>
      <c r="D104" s="54" t="n">
        <f aca="false">IF($B104&lt;=10, INDEX(Data!$B:$B,40+$B104), INDEX(Data!$B:$B,80+$B104))</f>
        <v>2.9</v>
      </c>
      <c r="E104" s="54" t="n">
        <f aca="false">IF($B104&lt;=10, INDEX(Data!$C:$C,40+$B104), INDEX(Data!$C:$C,80+$B104))</f>
        <v>4.3</v>
      </c>
      <c r="F104" s="54" t="n">
        <f aca="false">IF($B104&lt;=10, INDEX(Data!$D:$D,40+$B104), INDEX(Data!$D:$D,80+$B104))</f>
        <v>1.3</v>
      </c>
      <c r="G104" s="54" t="n">
        <f aca="false">IF(INDEX(Data!$E:$E,IF($B104&lt;=10,40+$B104,80+$B104))="Iris-setosa",0,1)</f>
        <v>1</v>
      </c>
      <c r="H104" s="1" t="n">
        <f aca="false">IF(G104=P104, 1, 0)</f>
        <v>1</v>
      </c>
      <c r="I104" s="34" t="n">
        <f aca="false">I103-$K$4*T103</f>
        <v>0.228864316453202</v>
      </c>
      <c r="J104" s="34" t="n">
        <f aca="false">J103-$K$4*U103</f>
        <v>-0.360637802035057</v>
      </c>
      <c r="K104" s="34" t="n">
        <f aca="false">K103-$K$4*V103</f>
        <v>-0.516889046460983</v>
      </c>
      <c r="L104" s="34" t="n">
        <f aca="false">L103-$K$4*W103</f>
        <v>1.1456675386371</v>
      </c>
      <c r="M104" s="34" t="n">
        <f aca="false">M103-$K$4*X103</f>
        <v>0.835736542922995</v>
      </c>
      <c r="N104" s="31" t="n">
        <f aca="false">I104+J104*C104+K104*D104+L104*E104+F104*M104</f>
        <v>2.50675963103842</v>
      </c>
      <c r="O104" s="31" t="n">
        <f aca="false">1/(1+EXP(-N104))</f>
        <v>0.924614338706669</v>
      </c>
      <c r="P104" s="32" t="n">
        <f aca="false">IF(O104&gt;0.5,1,0)</f>
        <v>1</v>
      </c>
      <c r="Q104" s="32" t="n">
        <f aca="false">O104-G104</f>
        <v>-0.0753856612933314</v>
      </c>
      <c r="R104" s="33" t="n">
        <f aca="false">Q104^2</f>
        <v>0.00568299792863288</v>
      </c>
      <c r="T104" s="33" t="n">
        <f aca="false">2*(O104-G104)*(1-O104)*O104</f>
        <v>-0.0105091627433085</v>
      </c>
      <c r="U104" s="33" t="n">
        <f aca="false">2*(O104-G104)*(1-O104)*O104*C104</f>
        <v>-0.0651568090085128</v>
      </c>
      <c r="V104" s="33" t="n">
        <f aca="false">2*(O104-G104)*(1-O104)*O104*D104</f>
        <v>-0.0304765719555947</v>
      </c>
      <c r="W104" s="33" t="n">
        <f aca="false">2*(O104-G104)*(1-O104)*O104*E104</f>
        <v>-0.0451893997962266</v>
      </c>
      <c r="X104" s="33" t="n">
        <f aca="false">2*(O104-G104)*(1-O104)*O104*F104</f>
        <v>-0.0136619115663011</v>
      </c>
    </row>
    <row r="105" customFormat="false" ht="14.25" hidden="false" customHeight="true" outlineLevel="0" collapsed="false">
      <c r="A105" s="67"/>
      <c r="B105" s="34" t="n">
        <v>19</v>
      </c>
      <c r="C105" s="2" t="n">
        <f aca="false">IF($B105&lt;=10, INDEX(Data!$A:$A,40+$B105), INDEX(Data!$A:$A,80+$B105))</f>
        <v>5.1</v>
      </c>
      <c r="D105" s="54" t="n">
        <f aca="false">IF($B105&lt;=10, INDEX(Data!$B:$B,40+$B105), INDEX(Data!$B:$B,80+$B105))</f>
        <v>2.5</v>
      </c>
      <c r="E105" s="54" t="n">
        <f aca="false">IF($B105&lt;=10, INDEX(Data!$C:$C,40+$B105), INDEX(Data!$C:$C,80+$B105))</f>
        <v>3</v>
      </c>
      <c r="F105" s="54" t="n">
        <f aca="false">IF($B105&lt;=10, INDEX(Data!$D:$D,40+$B105), INDEX(Data!$D:$D,80+$B105))</f>
        <v>1.1</v>
      </c>
      <c r="G105" s="54" t="n">
        <f aca="false">IF(INDEX(Data!$E:$E,IF($B105&lt;=10,40+$B105,80+$B105))="Iris-setosa",0,1)</f>
        <v>1</v>
      </c>
      <c r="H105" s="1" t="n">
        <f aca="false">IF(G105=P105, 1, 0)</f>
        <v>1</v>
      </c>
      <c r="I105" s="34" t="n">
        <f aca="false">I104-$K$4*T104</f>
        <v>0.229915232727532</v>
      </c>
      <c r="J105" s="34" t="n">
        <f aca="false">J104-$K$4*U104</f>
        <v>-0.354122121134206</v>
      </c>
      <c r="K105" s="34" t="n">
        <f aca="false">K104-$K$4*V104</f>
        <v>-0.513841389265423</v>
      </c>
      <c r="L105" s="34" t="n">
        <f aca="false">L104-$K$4*W104</f>
        <v>1.15018647861672</v>
      </c>
      <c r="M105" s="34" t="n">
        <f aca="false">M104-$K$4*X104</f>
        <v>0.837102734079625</v>
      </c>
      <c r="N105" s="31" t="n">
        <f aca="false">I105+J105*C105+K105*D105+L105*E105+F105*M105</f>
        <v>1.51066138511728</v>
      </c>
      <c r="O105" s="31" t="n">
        <f aca="false">1/(1+EXP(-N105))</f>
        <v>0.819159203403679</v>
      </c>
      <c r="P105" s="32" t="n">
        <f aca="false">IF(O105&gt;0.5,1,0)</f>
        <v>1</v>
      </c>
      <c r="Q105" s="32" t="n">
        <f aca="false">O105-G105</f>
        <v>-0.180840796596321</v>
      </c>
      <c r="R105" s="33" t="n">
        <f aca="false">Q105^2</f>
        <v>0.0327033937135921</v>
      </c>
      <c r="T105" s="33" t="n">
        <f aca="false">2*(O105-G105)*(1-O105)*O105</f>
        <v>-0.053578571886046</v>
      </c>
      <c r="U105" s="33" t="n">
        <f aca="false">2*(O105-G105)*(1-O105)*O105*C105</f>
        <v>-0.273250716618834</v>
      </c>
      <c r="V105" s="33" t="n">
        <f aca="false">2*(O105-G105)*(1-O105)*O105*D105</f>
        <v>-0.133946429715115</v>
      </c>
      <c r="W105" s="33" t="n">
        <f aca="false">2*(O105-G105)*(1-O105)*O105*E105</f>
        <v>-0.160735715658138</v>
      </c>
      <c r="X105" s="33" t="n">
        <f aca="false">2*(O105-G105)*(1-O105)*O105*F105</f>
        <v>-0.0589364290746506</v>
      </c>
    </row>
    <row r="106" customFormat="false" ht="14.25" hidden="false" customHeight="true" outlineLevel="0" collapsed="false">
      <c r="A106" s="67"/>
      <c r="B106" s="34" t="n">
        <v>20</v>
      </c>
      <c r="C106" s="2" t="n">
        <f aca="false">IF($B106&lt;=10, INDEX(Data!$A:$A,40+$B106), INDEX(Data!$A:$A,80+$B106))</f>
        <v>5.7</v>
      </c>
      <c r="D106" s="54" t="n">
        <f aca="false">IF($B106&lt;=10, INDEX(Data!$B:$B,40+$B106), INDEX(Data!$B:$B,80+$B106))</f>
        <v>2.8</v>
      </c>
      <c r="E106" s="54" t="n">
        <f aca="false">IF($B106&lt;=10, INDEX(Data!$C:$C,40+$B106), INDEX(Data!$C:$C,80+$B106))</f>
        <v>4.1</v>
      </c>
      <c r="F106" s="54" t="n">
        <f aca="false">IF($B106&lt;=10, INDEX(Data!$D:$D,40+$B106), INDEX(Data!$D:$D,80+$B106))</f>
        <v>1.3</v>
      </c>
      <c r="G106" s="54" t="n">
        <f aca="false">IF(INDEX(Data!$E:$E,IF($B106&lt;=10,40+$B106,80+$B106))="Iris-setosa",0,1)</f>
        <v>1</v>
      </c>
      <c r="H106" s="1" t="n">
        <f aca="false">IF(G106=P106, 1, 0)</f>
        <v>1</v>
      </c>
      <c r="I106" s="34" t="n">
        <f aca="false">I105-$K$4*T105</f>
        <v>0.235273089916137</v>
      </c>
      <c r="J106" s="34" t="n">
        <f aca="false">J105-$K$4*U105</f>
        <v>-0.326797049472322</v>
      </c>
      <c r="K106" s="34" t="n">
        <f aca="false">K105-$K$4*V105</f>
        <v>-0.500446746293912</v>
      </c>
      <c r="L106" s="34" t="n">
        <f aca="false">L105-$K$4*W105</f>
        <v>1.16626005018254</v>
      </c>
      <c r="M106" s="34" t="n">
        <f aca="false">M105-$K$4*X105</f>
        <v>0.84299637698709</v>
      </c>
      <c r="N106" s="31" t="n">
        <f aca="false">I106+J106*C106+K106*D106+L106*E106+F106*M106</f>
        <v>2.84884051413256</v>
      </c>
      <c r="O106" s="31" t="n">
        <f aca="false">1/(1+EXP(-N106))</f>
        <v>0.945258716529839</v>
      </c>
      <c r="P106" s="32" t="n">
        <f aca="false">IF(O106&gt;0.5,1,0)</f>
        <v>1</v>
      </c>
      <c r="Q106" s="32" t="n">
        <f aca="false">O106-G106</f>
        <v>-0.0547412834701614</v>
      </c>
      <c r="R106" s="33" t="n">
        <f aca="false">Q106^2</f>
        <v>0.00299660811596056</v>
      </c>
      <c r="S106" s="1" t="n">
        <f aca="false">AVERAGE(R87:R106)</f>
        <v>0.0277137818811335</v>
      </c>
      <c r="T106" s="33" t="n">
        <f aca="false">2*(O106-G106)*(1-O106)*O106</f>
        <v>-0.00566513988327156</v>
      </c>
      <c r="U106" s="33" t="n">
        <f aca="false">2*(O106-G106)*(1-O106)*O106*C106</f>
        <v>-0.0322912973346479</v>
      </c>
      <c r="V106" s="33" t="n">
        <f aca="false">2*(O106-G106)*(1-O106)*O106*D106</f>
        <v>-0.0158623916731604</v>
      </c>
      <c r="W106" s="33" t="n">
        <f aca="false">2*(O106-G106)*(1-O106)*O106*E106</f>
        <v>-0.0232270735214134</v>
      </c>
      <c r="X106" s="33" t="n">
        <f aca="false">2*(O106-G106)*(1-O106)*O106*F106</f>
        <v>-0.00736468184825303</v>
      </c>
    </row>
    <row r="107" customFormat="false" ht="14.25" hidden="false" customHeight="true" outlineLevel="0" collapsed="false">
      <c r="B107" s="30"/>
      <c r="C107" s="68"/>
      <c r="D107" s="32"/>
      <c r="E107" s="32"/>
      <c r="F107" s="32"/>
      <c r="G107" s="69"/>
      <c r="H107" s="70"/>
      <c r="I107" s="71"/>
      <c r="J107" s="71"/>
      <c r="K107" s="71"/>
      <c r="L107" s="71"/>
      <c r="M107" s="71"/>
      <c r="N107" s="72"/>
      <c r="O107" s="72"/>
      <c r="P107" s="73"/>
      <c r="Q107" s="73"/>
      <c r="R107" s="74"/>
      <c r="T107" s="33"/>
      <c r="U107" s="33"/>
      <c r="V107" s="33"/>
      <c r="W107" s="33"/>
      <c r="X107" s="33"/>
    </row>
    <row r="108" customFormat="false" ht="14.25" hidden="false" customHeight="true" outlineLevel="0" collapsed="false">
      <c r="B108" s="34" t="s">
        <v>49</v>
      </c>
      <c r="C108" s="75"/>
      <c r="D108" s="76"/>
      <c r="E108" s="76" t="s">
        <v>50</v>
      </c>
      <c r="F108" s="76"/>
      <c r="G108" s="35"/>
      <c r="H108" s="70"/>
      <c r="I108" s="71"/>
      <c r="J108" s="71"/>
      <c r="K108" s="71"/>
      <c r="L108" s="71"/>
      <c r="M108" s="71"/>
      <c r="N108" s="72"/>
      <c r="O108" s="72"/>
      <c r="P108" s="73"/>
      <c r="Q108" s="73"/>
      <c r="R108" s="74"/>
      <c r="T108" s="33"/>
      <c r="U108" s="33"/>
      <c r="V108" s="33"/>
      <c r="W108" s="33"/>
      <c r="X108" s="33"/>
    </row>
    <row r="109" customFormat="false" ht="14.25" hidden="false" customHeight="true" outlineLevel="0" collapsed="false">
      <c r="B109" s="34" t="s">
        <v>39</v>
      </c>
      <c r="C109" s="68" t="s">
        <v>40</v>
      </c>
      <c r="D109" s="32"/>
      <c r="E109" s="32" t="s">
        <v>39</v>
      </c>
      <c r="F109" s="32" t="s">
        <v>41</v>
      </c>
      <c r="G109" s="69"/>
      <c r="H109" s="70"/>
      <c r="I109" s="71"/>
      <c r="J109" s="71"/>
      <c r="K109" s="71"/>
      <c r="L109" s="71"/>
      <c r="M109" s="71"/>
      <c r="N109" s="72"/>
      <c r="O109" s="72"/>
      <c r="P109" s="73"/>
      <c r="Q109" s="73"/>
      <c r="R109" s="74"/>
      <c r="T109" s="33"/>
      <c r="U109" s="33"/>
      <c r="V109" s="33"/>
      <c r="W109" s="33"/>
      <c r="X109" s="33"/>
    </row>
    <row r="110" customFormat="false" ht="14.25" hidden="false" customHeight="true" outlineLevel="0" collapsed="false">
      <c r="B110" s="34" t="s">
        <v>42</v>
      </c>
      <c r="C110" s="75" t="n">
        <f aca="false">S26</f>
        <v>0.0996779577085089</v>
      </c>
      <c r="D110" s="76"/>
      <c r="E110" s="76" t="s">
        <v>42</v>
      </c>
      <c r="F110" s="76" t="n">
        <f aca="false">SUM(H7:H26)/20</f>
        <v>0.85</v>
      </c>
      <c r="G110" s="35"/>
      <c r="H110" s="70"/>
      <c r="I110" s="71"/>
      <c r="J110" s="71"/>
      <c r="K110" s="71"/>
      <c r="L110" s="71"/>
      <c r="M110" s="71"/>
      <c r="N110" s="72"/>
      <c r="O110" s="72"/>
      <c r="P110" s="73"/>
      <c r="Q110" s="73"/>
      <c r="R110" s="74"/>
      <c r="T110" s="33"/>
      <c r="U110" s="33"/>
      <c r="V110" s="33"/>
      <c r="W110" s="33"/>
      <c r="X110" s="33"/>
    </row>
    <row r="111" customFormat="false" ht="14.25" hidden="false" customHeight="true" outlineLevel="0" collapsed="false">
      <c r="B111" s="34" t="s">
        <v>43</v>
      </c>
      <c r="C111" s="68" t="n">
        <f aca="false">S46</f>
        <v>0.0648500822076679</v>
      </c>
      <c r="D111" s="32"/>
      <c r="E111" s="32" t="s">
        <v>43</v>
      </c>
      <c r="F111" s="32" t="n">
        <f aca="false">SUM(H27:H46)/20</f>
        <v>0.9</v>
      </c>
      <c r="G111" s="69"/>
      <c r="H111" s="70"/>
      <c r="I111" s="71"/>
      <c r="J111" s="71"/>
      <c r="K111" s="71"/>
      <c r="L111" s="71"/>
      <c r="M111" s="71"/>
      <c r="N111" s="72"/>
      <c r="O111" s="72"/>
      <c r="P111" s="73"/>
      <c r="Q111" s="73"/>
      <c r="R111" s="74"/>
      <c r="T111" s="33"/>
      <c r="U111" s="33"/>
      <c r="V111" s="33"/>
      <c r="W111" s="33"/>
      <c r="X111" s="33"/>
    </row>
    <row r="112" customFormat="false" ht="14.25" hidden="false" customHeight="true" outlineLevel="0" collapsed="false">
      <c r="B112" s="30" t="s">
        <v>44</v>
      </c>
      <c r="C112" s="75" t="n">
        <f aca="false">S66</f>
        <v>0.04564735393401</v>
      </c>
      <c r="D112" s="76"/>
      <c r="E112" s="76" t="s">
        <v>44</v>
      </c>
      <c r="F112" s="76" t="n">
        <f aca="false">SUM(H47:H66)/20</f>
        <v>0.95</v>
      </c>
      <c r="G112" s="35"/>
      <c r="H112" s="70"/>
      <c r="I112" s="71"/>
      <c r="J112" s="71"/>
      <c r="K112" s="71"/>
      <c r="L112" s="71"/>
      <c r="M112" s="71"/>
      <c r="N112" s="72"/>
      <c r="O112" s="72"/>
      <c r="P112" s="73"/>
      <c r="Q112" s="73"/>
      <c r="R112" s="74"/>
      <c r="T112" s="33"/>
      <c r="U112" s="33"/>
      <c r="V112" s="33"/>
      <c r="W112" s="33"/>
      <c r="X112" s="33"/>
    </row>
    <row r="113" customFormat="false" ht="14.25" hidden="false" customHeight="true" outlineLevel="0" collapsed="false">
      <c r="B113" s="34" t="s">
        <v>45</v>
      </c>
      <c r="C113" s="68" t="n">
        <f aca="false">S86</f>
        <v>0.0345154827283475</v>
      </c>
      <c r="D113" s="32"/>
      <c r="E113" s="32" t="s">
        <v>45</v>
      </c>
      <c r="F113" s="32" t="n">
        <f aca="false">SUM(H67:H86)/20</f>
        <v>1</v>
      </c>
      <c r="G113" s="69"/>
      <c r="H113" s="70"/>
      <c r="I113" s="71"/>
      <c r="J113" s="71"/>
      <c r="K113" s="71"/>
      <c r="L113" s="71"/>
      <c r="M113" s="71"/>
      <c r="N113" s="72"/>
      <c r="O113" s="72"/>
      <c r="P113" s="73"/>
      <c r="Q113" s="73"/>
      <c r="R113" s="74"/>
      <c r="T113" s="33"/>
      <c r="U113" s="33"/>
      <c r="V113" s="33"/>
      <c r="W113" s="33"/>
      <c r="X113" s="33"/>
    </row>
    <row r="114" customFormat="false" ht="14.25" hidden="false" customHeight="true" outlineLevel="0" collapsed="false">
      <c r="B114" s="34" t="s">
        <v>46</v>
      </c>
      <c r="C114" s="75" t="n">
        <f aca="false">S106</f>
        <v>0.0277137818811335</v>
      </c>
      <c r="D114" s="76"/>
      <c r="E114" s="76" t="s">
        <v>46</v>
      </c>
      <c r="F114" s="76" t="n">
        <f aca="false">SUM(H87:H106)/20</f>
        <v>1</v>
      </c>
      <c r="G114" s="35"/>
      <c r="H114" s="70"/>
      <c r="I114" s="71"/>
      <c r="J114" s="71"/>
      <c r="K114" s="71"/>
      <c r="L114" s="71"/>
      <c r="M114" s="71"/>
      <c r="N114" s="72"/>
      <c r="O114" s="72"/>
      <c r="P114" s="73"/>
      <c r="Q114" s="73"/>
      <c r="R114" s="74"/>
      <c r="T114" s="33"/>
      <c r="U114" s="33"/>
      <c r="V114" s="33"/>
      <c r="W114" s="33"/>
      <c r="X114" s="33"/>
    </row>
    <row r="115" customFormat="false" ht="14.25" hidden="false" customHeight="true" outlineLevel="0" collapsed="false">
      <c r="B115" s="34"/>
      <c r="C115" s="68"/>
      <c r="D115" s="32"/>
      <c r="E115" s="32"/>
      <c r="F115" s="32"/>
      <c r="G115" s="69"/>
      <c r="H115" s="70"/>
      <c r="I115" s="71"/>
      <c r="J115" s="71"/>
      <c r="K115" s="71"/>
      <c r="L115" s="71"/>
      <c r="M115" s="71"/>
      <c r="N115" s="72"/>
      <c r="O115" s="72"/>
      <c r="P115" s="73"/>
      <c r="Q115" s="73"/>
      <c r="R115" s="74"/>
      <c r="T115" s="33"/>
      <c r="U115" s="33"/>
      <c r="V115" s="33"/>
      <c r="W115" s="33"/>
      <c r="X115" s="33"/>
    </row>
    <row r="116" customFormat="false" ht="14.25" hidden="false" customHeight="true" outlineLevel="0" collapsed="false">
      <c r="B116" s="34"/>
      <c r="C116" s="75"/>
      <c r="D116" s="76"/>
      <c r="E116" s="76"/>
      <c r="F116" s="76"/>
      <c r="G116" s="35"/>
      <c r="H116" s="70"/>
      <c r="I116" s="71"/>
      <c r="J116" s="71"/>
      <c r="K116" s="71"/>
      <c r="L116" s="71"/>
      <c r="M116" s="71"/>
      <c r="N116" s="72"/>
      <c r="O116" s="72"/>
      <c r="P116" s="73"/>
      <c r="Q116" s="73"/>
      <c r="R116" s="74"/>
      <c r="T116" s="33"/>
      <c r="U116" s="33"/>
      <c r="V116" s="33"/>
      <c r="W116" s="33"/>
      <c r="X116" s="33"/>
    </row>
    <row r="117" customFormat="false" ht="14.25" hidden="false" customHeight="true" outlineLevel="0" collapsed="false">
      <c r="B117" s="30"/>
      <c r="C117" s="68"/>
      <c r="D117" s="32"/>
      <c r="E117" s="32"/>
      <c r="F117" s="32"/>
      <c r="G117" s="69"/>
      <c r="H117" s="70"/>
      <c r="I117" s="71"/>
      <c r="J117" s="71"/>
      <c r="K117" s="71"/>
      <c r="L117" s="71"/>
      <c r="M117" s="71"/>
      <c r="N117" s="72"/>
      <c r="O117" s="72"/>
      <c r="P117" s="73"/>
      <c r="Q117" s="73"/>
      <c r="R117" s="74"/>
      <c r="T117" s="33"/>
      <c r="U117" s="33"/>
      <c r="V117" s="33"/>
      <c r="W117" s="33"/>
      <c r="X117" s="33"/>
    </row>
    <row r="118" customFormat="false" ht="14.25" hidden="false" customHeight="true" outlineLevel="0" collapsed="false">
      <c r="B118" s="34"/>
      <c r="C118" s="75"/>
      <c r="D118" s="76"/>
      <c r="E118" s="76"/>
      <c r="F118" s="76"/>
      <c r="G118" s="35"/>
      <c r="H118" s="70"/>
      <c r="I118" s="71"/>
      <c r="J118" s="71"/>
      <c r="K118" s="71"/>
      <c r="L118" s="71"/>
      <c r="M118" s="71"/>
      <c r="N118" s="72"/>
      <c r="O118" s="72"/>
      <c r="P118" s="73"/>
      <c r="Q118" s="73"/>
      <c r="R118" s="74"/>
      <c r="T118" s="33"/>
      <c r="U118" s="33"/>
      <c r="V118" s="33"/>
      <c r="W118" s="33"/>
      <c r="X118" s="33"/>
    </row>
    <row r="119" customFormat="false" ht="14.25" hidden="false" customHeight="true" outlineLevel="0" collapsed="false">
      <c r="B119" s="34"/>
      <c r="C119" s="68"/>
      <c r="D119" s="32"/>
      <c r="E119" s="32"/>
      <c r="F119" s="32"/>
      <c r="G119" s="69"/>
      <c r="H119" s="70"/>
      <c r="I119" s="71"/>
      <c r="J119" s="71"/>
      <c r="K119" s="71"/>
      <c r="L119" s="71"/>
      <c r="M119" s="71"/>
      <c r="N119" s="72"/>
      <c r="O119" s="72"/>
      <c r="P119" s="73"/>
      <c r="Q119" s="73"/>
      <c r="R119" s="74"/>
      <c r="T119" s="33"/>
      <c r="U119" s="33"/>
      <c r="V119" s="33"/>
      <c r="W119" s="33"/>
      <c r="X119" s="33"/>
    </row>
    <row r="120" customFormat="false" ht="14.25" hidden="false" customHeight="true" outlineLevel="0" collapsed="false">
      <c r="B120" s="34"/>
      <c r="C120" s="75"/>
      <c r="D120" s="76"/>
      <c r="E120" s="76"/>
      <c r="F120" s="76"/>
      <c r="G120" s="35"/>
      <c r="H120" s="70"/>
      <c r="I120" s="71"/>
      <c r="J120" s="71"/>
      <c r="K120" s="71"/>
      <c r="L120" s="71"/>
      <c r="M120" s="71"/>
      <c r="N120" s="72"/>
      <c r="O120" s="72"/>
      <c r="P120" s="73"/>
      <c r="Q120" s="73"/>
      <c r="R120" s="74"/>
      <c r="T120" s="33"/>
      <c r="U120" s="33"/>
      <c r="V120" s="33"/>
      <c r="W120" s="33"/>
      <c r="X120" s="33"/>
    </row>
    <row r="121" customFormat="false" ht="14.25" hidden="false" customHeight="true" outlineLevel="0" collapsed="false">
      <c r="B121" s="34"/>
      <c r="C121" s="68"/>
      <c r="D121" s="32"/>
      <c r="E121" s="32"/>
      <c r="F121" s="32"/>
      <c r="G121" s="69"/>
      <c r="H121" s="70"/>
      <c r="I121" s="71"/>
      <c r="J121" s="71"/>
      <c r="K121" s="71"/>
      <c r="L121" s="71"/>
      <c r="M121" s="71"/>
      <c r="N121" s="72"/>
      <c r="O121" s="72"/>
      <c r="P121" s="73"/>
      <c r="Q121" s="73"/>
      <c r="R121" s="74"/>
      <c r="T121" s="33"/>
      <c r="U121" s="33"/>
      <c r="V121" s="33"/>
      <c r="W121" s="33"/>
      <c r="X121" s="33"/>
    </row>
    <row r="122" customFormat="false" ht="14.25" hidden="false" customHeight="true" outlineLevel="0" collapsed="false">
      <c r="B122" s="30"/>
      <c r="C122" s="75"/>
      <c r="D122" s="76"/>
      <c r="E122" s="76"/>
      <c r="F122" s="76"/>
      <c r="G122" s="35"/>
      <c r="H122" s="70"/>
      <c r="I122" s="71"/>
      <c r="J122" s="71"/>
      <c r="K122" s="71"/>
      <c r="L122" s="71"/>
      <c r="M122" s="71"/>
      <c r="N122" s="72"/>
      <c r="O122" s="72"/>
      <c r="P122" s="73"/>
      <c r="Q122" s="73"/>
      <c r="R122" s="74"/>
      <c r="T122" s="33"/>
      <c r="U122" s="33"/>
      <c r="V122" s="33"/>
      <c r="W122" s="33"/>
      <c r="X122" s="33"/>
    </row>
    <row r="123" customFormat="false" ht="14.25" hidden="false" customHeight="true" outlineLevel="0" collapsed="false">
      <c r="B123" s="34"/>
      <c r="C123" s="68"/>
      <c r="D123" s="32"/>
      <c r="E123" s="32"/>
      <c r="F123" s="32"/>
      <c r="G123" s="69"/>
      <c r="H123" s="70"/>
      <c r="I123" s="71"/>
      <c r="J123" s="71"/>
      <c r="K123" s="71"/>
      <c r="L123" s="71"/>
      <c r="M123" s="71"/>
      <c r="N123" s="72"/>
      <c r="O123" s="72"/>
      <c r="P123" s="73"/>
      <c r="Q123" s="73"/>
      <c r="R123" s="74"/>
      <c r="T123" s="33"/>
      <c r="U123" s="33"/>
      <c r="V123" s="33"/>
      <c r="W123" s="33"/>
      <c r="X123" s="33"/>
    </row>
    <row r="124" customFormat="false" ht="14.25" hidden="false" customHeight="true" outlineLevel="0" collapsed="false">
      <c r="B124" s="34"/>
      <c r="C124" s="75"/>
      <c r="D124" s="76"/>
      <c r="E124" s="76"/>
      <c r="F124" s="76"/>
      <c r="G124" s="35"/>
      <c r="H124" s="70"/>
      <c r="I124" s="71"/>
      <c r="J124" s="71"/>
      <c r="K124" s="71"/>
      <c r="L124" s="71"/>
      <c r="M124" s="71"/>
      <c r="N124" s="72"/>
      <c r="O124" s="72"/>
      <c r="P124" s="73"/>
      <c r="Q124" s="73"/>
      <c r="R124" s="74"/>
      <c r="T124" s="33"/>
      <c r="U124" s="33"/>
      <c r="V124" s="33"/>
      <c r="W124" s="33"/>
      <c r="X124" s="33"/>
    </row>
    <row r="125" customFormat="false" ht="14.25" hidden="false" customHeight="true" outlineLevel="0" collapsed="false">
      <c r="B125" s="34"/>
      <c r="C125" s="68"/>
      <c r="D125" s="32"/>
      <c r="E125" s="32"/>
      <c r="F125" s="32"/>
      <c r="G125" s="69"/>
      <c r="H125" s="70"/>
      <c r="I125" s="71"/>
      <c r="J125" s="71"/>
      <c r="K125" s="71"/>
      <c r="L125" s="71"/>
      <c r="M125" s="71"/>
      <c r="N125" s="72"/>
      <c r="O125" s="72"/>
      <c r="P125" s="73"/>
      <c r="Q125" s="73"/>
      <c r="R125" s="74"/>
      <c r="T125" s="33"/>
      <c r="U125" s="33"/>
      <c r="V125" s="33"/>
      <c r="W125" s="33"/>
      <c r="X125" s="33"/>
    </row>
    <row r="126" customFormat="false" ht="14.25" hidden="false" customHeight="true" outlineLevel="0" collapsed="false">
      <c r="B126" s="34"/>
      <c r="C126" s="75"/>
      <c r="D126" s="76"/>
      <c r="E126" s="76"/>
      <c r="F126" s="76"/>
      <c r="G126" s="35"/>
      <c r="H126" s="70"/>
      <c r="I126" s="71"/>
      <c r="J126" s="71"/>
      <c r="K126" s="71"/>
      <c r="L126" s="71"/>
      <c r="M126" s="71"/>
      <c r="N126" s="72"/>
      <c r="O126" s="72"/>
      <c r="P126" s="73"/>
      <c r="Q126" s="73"/>
      <c r="R126" s="74"/>
      <c r="T126" s="33"/>
      <c r="U126" s="33"/>
      <c r="V126" s="33"/>
      <c r="W126" s="33"/>
      <c r="X126" s="33"/>
    </row>
    <row r="127" customFormat="false" ht="14.25" hidden="false" customHeight="true" outlineLevel="0" collapsed="false">
      <c r="B127" s="30"/>
      <c r="C127" s="68"/>
      <c r="D127" s="32"/>
      <c r="E127" s="32"/>
      <c r="F127" s="32"/>
      <c r="G127" s="69"/>
      <c r="H127" s="70"/>
      <c r="I127" s="71"/>
      <c r="J127" s="71"/>
      <c r="K127" s="71"/>
      <c r="L127" s="71"/>
      <c r="M127" s="71"/>
      <c r="N127" s="72"/>
      <c r="O127" s="72"/>
      <c r="P127" s="73"/>
      <c r="Q127" s="73"/>
      <c r="R127" s="74"/>
      <c r="T127" s="33"/>
      <c r="U127" s="33"/>
      <c r="V127" s="33"/>
      <c r="W127" s="33"/>
      <c r="X127" s="33"/>
    </row>
    <row r="128" customFormat="false" ht="14.25" hidden="false" customHeight="true" outlineLevel="0" collapsed="false">
      <c r="B128" s="34"/>
      <c r="C128" s="75"/>
      <c r="D128" s="76"/>
      <c r="E128" s="76"/>
      <c r="F128" s="76"/>
      <c r="G128" s="35"/>
      <c r="H128" s="70"/>
      <c r="I128" s="71"/>
      <c r="J128" s="71"/>
      <c r="K128" s="71"/>
      <c r="L128" s="71"/>
      <c r="M128" s="71"/>
      <c r="N128" s="72"/>
      <c r="O128" s="72"/>
      <c r="P128" s="73"/>
      <c r="Q128" s="73"/>
      <c r="R128" s="74"/>
      <c r="T128" s="33"/>
      <c r="U128" s="33"/>
      <c r="V128" s="33"/>
      <c r="W128" s="33"/>
      <c r="X128" s="33"/>
    </row>
    <row r="129" customFormat="false" ht="14.25" hidden="false" customHeight="true" outlineLevel="0" collapsed="false">
      <c r="B129" s="34"/>
      <c r="C129" s="68"/>
      <c r="D129" s="32"/>
      <c r="E129" s="32"/>
      <c r="F129" s="32"/>
      <c r="G129" s="69"/>
      <c r="H129" s="70"/>
      <c r="I129" s="71"/>
      <c r="J129" s="71"/>
      <c r="K129" s="71"/>
      <c r="L129" s="71"/>
      <c r="M129" s="71"/>
      <c r="N129" s="72"/>
      <c r="O129" s="72"/>
      <c r="P129" s="73"/>
      <c r="Q129" s="73"/>
      <c r="R129" s="74"/>
      <c r="T129" s="33"/>
      <c r="U129" s="33"/>
      <c r="V129" s="33"/>
      <c r="W129" s="33"/>
      <c r="X129" s="33"/>
    </row>
    <row r="130" customFormat="false" ht="14.25" hidden="false" customHeight="true" outlineLevel="0" collapsed="false">
      <c r="B130" s="34"/>
      <c r="C130" s="75"/>
      <c r="D130" s="76"/>
      <c r="E130" s="76"/>
      <c r="F130" s="76"/>
      <c r="G130" s="35"/>
      <c r="H130" s="70"/>
      <c r="I130" s="71"/>
      <c r="J130" s="71"/>
      <c r="K130" s="71"/>
      <c r="L130" s="71"/>
      <c r="M130" s="71"/>
      <c r="N130" s="72"/>
      <c r="O130" s="72"/>
      <c r="P130" s="73"/>
      <c r="Q130" s="73"/>
      <c r="R130" s="74"/>
      <c r="T130" s="33"/>
      <c r="U130" s="33"/>
      <c r="V130" s="33"/>
      <c r="W130" s="33"/>
      <c r="X130" s="33"/>
    </row>
    <row r="131" customFormat="false" ht="14.25" hidden="false" customHeight="true" outlineLevel="0" collapsed="false">
      <c r="B131" s="34"/>
      <c r="C131" s="68"/>
      <c r="D131" s="32"/>
      <c r="E131" s="32"/>
      <c r="F131" s="32"/>
      <c r="G131" s="69"/>
      <c r="H131" s="70"/>
      <c r="I131" s="71"/>
      <c r="J131" s="71"/>
      <c r="K131" s="71"/>
      <c r="L131" s="71"/>
      <c r="M131" s="71"/>
      <c r="N131" s="72"/>
      <c r="O131" s="72"/>
      <c r="P131" s="73"/>
      <c r="Q131" s="73"/>
      <c r="R131" s="74"/>
      <c r="T131" s="33"/>
      <c r="U131" s="33"/>
      <c r="V131" s="33"/>
      <c r="W131" s="33"/>
      <c r="X131" s="33"/>
    </row>
    <row r="132" customFormat="false" ht="14.25" hidden="false" customHeight="true" outlineLevel="0" collapsed="false">
      <c r="B132" s="30"/>
      <c r="C132" s="75"/>
      <c r="D132" s="76"/>
      <c r="E132" s="76"/>
      <c r="F132" s="76"/>
      <c r="G132" s="35"/>
      <c r="H132" s="70"/>
      <c r="I132" s="71"/>
      <c r="J132" s="71"/>
      <c r="K132" s="71"/>
      <c r="L132" s="71"/>
      <c r="M132" s="71"/>
      <c r="N132" s="72"/>
      <c r="O132" s="72"/>
      <c r="P132" s="73"/>
      <c r="Q132" s="73"/>
      <c r="R132" s="74"/>
      <c r="T132" s="33"/>
      <c r="U132" s="33"/>
      <c r="V132" s="33"/>
      <c r="W132" s="33"/>
      <c r="X132" s="33"/>
    </row>
    <row r="133" customFormat="false" ht="14.25" hidden="false" customHeight="true" outlineLevel="0" collapsed="false">
      <c r="B133" s="34"/>
      <c r="C133" s="68"/>
      <c r="D133" s="32"/>
      <c r="E133" s="32"/>
      <c r="F133" s="32"/>
      <c r="G133" s="69"/>
      <c r="H133" s="70"/>
      <c r="I133" s="71"/>
      <c r="J133" s="71"/>
      <c r="K133" s="71"/>
      <c r="L133" s="71"/>
      <c r="M133" s="71"/>
      <c r="N133" s="72"/>
      <c r="O133" s="72"/>
      <c r="P133" s="73"/>
      <c r="Q133" s="73"/>
      <c r="R133" s="74"/>
      <c r="T133" s="33"/>
      <c r="U133" s="33"/>
      <c r="V133" s="33"/>
      <c r="W133" s="33"/>
      <c r="X133" s="33"/>
    </row>
    <row r="134" customFormat="false" ht="14.25" hidden="false" customHeight="true" outlineLevel="0" collapsed="false">
      <c r="B134" s="34"/>
      <c r="C134" s="75"/>
      <c r="D134" s="76"/>
      <c r="E134" s="76"/>
      <c r="F134" s="76"/>
      <c r="G134" s="35"/>
      <c r="H134" s="70"/>
      <c r="I134" s="71"/>
      <c r="J134" s="71"/>
      <c r="K134" s="71"/>
      <c r="L134" s="71"/>
      <c r="M134" s="71"/>
      <c r="N134" s="72"/>
      <c r="O134" s="72"/>
      <c r="P134" s="73"/>
      <c r="Q134" s="73"/>
      <c r="R134" s="74"/>
      <c r="T134" s="33"/>
      <c r="U134" s="33"/>
      <c r="V134" s="33"/>
      <c r="W134" s="33"/>
      <c r="X134" s="33"/>
    </row>
    <row r="135" customFormat="false" ht="14.25" hidden="false" customHeight="true" outlineLevel="0" collapsed="false">
      <c r="B135" s="34"/>
      <c r="C135" s="68"/>
      <c r="D135" s="32"/>
      <c r="E135" s="32"/>
      <c r="F135" s="32"/>
      <c r="G135" s="69"/>
      <c r="H135" s="70"/>
      <c r="I135" s="71"/>
      <c r="J135" s="71"/>
      <c r="K135" s="71"/>
      <c r="L135" s="71"/>
      <c r="M135" s="71"/>
      <c r="N135" s="72"/>
      <c r="O135" s="72"/>
      <c r="P135" s="73"/>
      <c r="Q135" s="73"/>
      <c r="R135" s="74"/>
      <c r="T135" s="33"/>
      <c r="U135" s="33"/>
      <c r="V135" s="33"/>
      <c r="W135" s="33"/>
      <c r="X135" s="33"/>
    </row>
    <row r="136" customFormat="false" ht="14.25" hidden="false" customHeight="true" outlineLevel="0" collapsed="false">
      <c r="B136" s="34"/>
      <c r="C136" s="75"/>
      <c r="D136" s="76"/>
      <c r="E136" s="76"/>
      <c r="F136" s="76"/>
      <c r="G136" s="35"/>
      <c r="H136" s="70"/>
      <c r="I136" s="71"/>
      <c r="J136" s="71"/>
      <c r="K136" s="71"/>
      <c r="L136" s="71"/>
      <c r="M136" s="71"/>
      <c r="N136" s="72"/>
      <c r="O136" s="72"/>
      <c r="P136" s="73"/>
      <c r="Q136" s="73"/>
      <c r="R136" s="74"/>
      <c r="T136" s="33"/>
      <c r="U136" s="33"/>
      <c r="V136" s="33"/>
      <c r="W136" s="33"/>
      <c r="X136" s="33"/>
    </row>
    <row r="137" customFormat="false" ht="14.25" hidden="false" customHeight="true" outlineLevel="0" collapsed="false">
      <c r="B137" s="30"/>
      <c r="C137" s="68"/>
      <c r="D137" s="32"/>
      <c r="E137" s="32"/>
      <c r="F137" s="32"/>
      <c r="G137" s="69"/>
      <c r="H137" s="70"/>
      <c r="I137" s="71"/>
      <c r="J137" s="71"/>
      <c r="K137" s="71"/>
      <c r="L137" s="71"/>
      <c r="M137" s="71"/>
      <c r="N137" s="72"/>
      <c r="O137" s="72"/>
      <c r="P137" s="73"/>
      <c r="Q137" s="73"/>
      <c r="R137" s="74"/>
      <c r="T137" s="33"/>
      <c r="U137" s="33"/>
      <c r="V137" s="33"/>
      <c r="W137" s="33"/>
      <c r="X137" s="33"/>
    </row>
    <row r="138" customFormat="false" ht="14.25" hidden="false" customHeight="true" outlineLevel="0" collapsed="false">
      <c r="B138" s="34"/>
      <c r="C138" s="75"/>
      <c r="D138" s="76"/>
      <c r="E138" s="76"/>
      <c r="F138" s="76"/>
      <c r="G138" s="35"/>
      <c r="H138" s="70"/>
      <c r="I138" s="71"/>
      <c r="J138" s="71"/>
      <c r="K138" s="71"/>
      <c r="L138" s="71"/>
      <c r="M138" s="71"/>
      <c r="N138" s="72"/>
      <c r="O138" s="72"/>
      <c r="P138" s="73"/>
      <c r="Q138" s="73"/>
      <c r="R138" s="74"/>
      <c r="T138" s="33"/>
      <c r="U138" s="33"/>
      <c r="V138" s="33"/>
      <c r="W138" s="33"/>
      <c r="X138" s="33"/>
    </row>
    <row r="139" customFormat="false" ht="14.25" hidden="false" customHeight="true" outlineLevel="0" collapsed="false">
      <c r="B139" s="34"/>
      <c r="C139" s="68"/>
      <c r="D139" s="32"/>
      <c r="E139" s="32"/>
      <c r="F139" s="32"/>
      <c r="G139" s="69"/>
      <c r="H139" s="70"/>
      <c r="I139" s="71"/>
      <c r="J139" s="71"/>
      <c r="K139" s="71"/>
      <c r="L139" s="71"/>
      <c r="M139" s="71"/>
      <c r="N139" s="72"/>
      <c r="O139" s="72"/>
      <c r="P139" s="73"/>
      <c r="Q139" s="73"/>
      <c r="R139" s="74"/>
      <c r="T139" s="33"/>
      <c r="U139" s="33"/>
      <c r="V139" s="33"/>
      <c r="W139" s="33"/>
      <c r="X139" s="33"/>
    </row>
    <row r="140" customFormat="false" ht="14.25" hidden="false" customHeight="true" outlineLevel="0" collapsed="false">
      <c r="B140" s="34"/>
      <c r="C140" s="75"/>
      <c r="D140" s="76"/>
      <c r="E140" s="76"/>
      <c r="F140" s="76"/>
      <c r="G140" s="35"/>
      <c r="H140" s="70"/>
      <c r="I140" s="71"/>
      <c r="J140" s="71"/>
      <c r="K140" s="71"/>
      <c r="L140" s="71"/>
      <c r="M140" s="71"/>
      <c r="N140" s="72"/>
      <c r="O140" s="72"/>
      <c r="P140" s="73"/>
      <c r="Q140" s="73"/>
      <c r="R140" s="74"/>
      <c r="T140" s="33"/>
      <c r="U140" s="33"/>
      <c r="V140" s="33"/>
      <c r="W140" s="33"/>
      <c r="X140" s="33"/>
    </row>
    <row r="141" customFormat="false" ht="14.25" hidden="false" customHeight="true" outlineLevel="0" collapsed="false">
      <c r="B141" s="34"/>
      <c r="C141" s="68"/>
      <c r="D141" s="32"/>
      <c r="E141" s="32"/>
      <c r="F141" s="32"/>
      <c r="G141" s="69"/>
      <c r="H141" s="70"/>
      <c r="I141" s="71"/>
      <c r="J141" s="71"/>
      <c r="K141" s="71"/>
      <c r="L141" s="71"/>
      <c r="M141" s="71"/>
      <c r="N141" s="72"/>
      <c r="O141" s="72"/>
      <c r="P141" s="73"/>
      <c r="Q141" s="73"/>
      <c r="R141" s="74"/>
      <c r="T141" s="33"/>
      <c r="U141" s="33"/>
      <c r="V141" s="33"/>
      <c r="W141" s="33"/>
      <c r="X141" s="33"/>
    </row>
    <row r="142" customFormat="false" ht="14.25" hidden="false" customHeight="true" outlineLevel="0" collapsed="false">
      <c r="B142" s="30"/>
      <c r="C142" s="75"/>
      <c r="D142" s="76"/>
      <c r="E142" s="76"/>
      <c r="F142" s="76"/>
      <c r="G142" s="35"/>
      <c r="H142" s="70"/>
      <c r="I142" s="71"/>
      <c r="J142" s="71"/>
      <c r="K142" s="71"/>
      <c r="L142" s="71"/>
      <c r="M142" s="71"/>
      <c r="N142" s="72"/>
      <c r="O142" s="72"/>
      <c r="P142" s="73"/>
      <c r="Q142" s="73"/>
      <c r="R142" s="74"/>
      <c r="T142" s="33"/>
      <c r="U142" s="33"/>
      <c r="V142" s="33"/>
      <c r="W142" s="33"/>
      <c r="X142" s="33"/>
    </row>
    <row r="143" customFormat="false" ht="14.25" hidden="false" customHeight="true" outlineLevel="0" collapsed="false">
      <c r="B143" s="34"/>
      <c r="C143" s="68"/>
      <c r="D143" s="32"/>
      <c r="E143" s="32"/>
      <c r="F143" s="32"/>
      <c r="G143" s="69"/>
      <c r="H143" s="70"/>
      <c r="I143" s="71"/>
      <c r="J143" s="71"/>
      <c r="K143" s="71"/>
      <c r="L143" s="71"/>
      <c r="M143" s="71"/>
      <c r="N143" s="72"/>
      <c r="O143" s="72"/>
      <c r="P143" s="73"/>
      <c r="Q143" s="73"/>
      <c r="R143" s="74"/>
      <c r="T143" s="33"/>
      <c r="U143" s="33"/>
      <c r="V143" s="33"/>
      <c r="W143" s="33"/>
      <c r="X143" s="33"/>
    </row>
    <row r="144" customFormat="false" ht="14.25" hidden="false" customHeight="true" outlineLevel="0" collapsed="false">
      <c r="B144" s="34"/>
      <c r="C144" s="75"/>
      <c r="D144" s="76"/>
      <c r="E144" s="76"/>
      <c r="F144" s="76"/>
      <c r="G144" s="35"/>
      <c r="H144" s="70"/>
      <c r="I144" s="71"/>
      <c r="J144" s="71"/>
      <c r="K144" s="71"/>
      <c r="L144" s="71"/>
      <c r="M144" s="71"/>
      <c r="N144" s="72"/>
      <c r="O144" s="72"/>
      <c r="P144" s="73"/>
      <c r="Q144" s="73"/>
      <c r="R144" s="74"/>
      <c r="T144" s="33"/>
      <c r="U144" s="33"/>
      <c r="V144" s="33"/>
      <c r="W144" s="33"/>
      <c r="X144" s="33"/>
    </row>
    <row r="145" customFormat="false" ht="14.25" hidden="false" customHeight="true" outlineLevel="0" collapsed="false">
      <c r="B145" s="34"/>
      <c r="C145" s="68"/>
      <c r="D145" s="32"/>
      <c r="E145" s="32"/>
      <c r="F145" s="32"/>
      <c r="G145" s="69"/>
      <c r="H145" s="70"/>
      <c r="I145" s="71"/>
      <c r="J145" s="71"/>
      <c r="K145" s="71"/>
      <c r="L145" s="71"/>
      <c r="M145" s="71"/>
      <c r="N145" s="72"/>
      <c r="O145" s="72"/>
      <c r="P145" s="73"/>
      <c r="Q145" s="73"/>
      <c r="R145" s="74"/>
      <c r="T145" s="33"/>
      <c r="U145" s="33"/>
      <c r="V145" s="33"/>
      <c r="W145" s="33"/>
      <c r="X145" s="33"/>
    </row>
    <row r="146" customFormat="false" ht="14.25" hidden="false" customHeight="true" outlineLevel="0" collapsed="false">
      <c r="B146" s="34"/>
      <c r="C146" s="75"/>
      <c r="D146" s="76"/>
      <c r="E146" s="76"/>
      <c r="F146" s="76"/>
      <c r="G146" s="35"/>
      <c r="H146" s="70"/>
      <c r="I146" s="71"/>
      <c r="J146" s="71"/>
      <c r="K146" s="71"/>
      <c r="L146" s="71"/>
      <c r="M146" s="71"/>
      <c r="N146" s="72"/>
      <c r="O146" s="72"/>
      <c r="P146" s="73"/>
      <c r="Q146" s="73"/>
      <c r="R146" s="74"/>
      <c r="T146" s="33"/>
      <c r="U146" s="33"/>
      <c r="V146" s="33"/>
      <c r="W146" s="33"/>
      <c r="X146" s="33"/>
    </row>
    <row r="147" customFormat="false" ht="14.25" hidden="false" customHeight="true" outlineLevel="0" collapsed="false">
      <c r="A147" s="56"/>
      <c r="B147" s="61"/>
      <c r="C147" s="68"/>
      <c r="D147" s="32"/>
      <c r="E147" s="32"/>
      <c r="F147" s="32"/>
      <c r="G147" s="69"/>
      <c r="H147" s="70"/>
      <c r="I147" s="61"/>
      <c r="J147" s="61"/>
      <c r="K147" s="61"/>
      <c r="L147" s="61"/>
      <c r="M147" s="61"/>
      <c r="N147" s="62"/>
      <c r="O147" s="62"/>
      <c r="P147" s="63"/>
      <c r="Q147" s="63"/>
      <c r="R147" s="64"/>
      <c r="T147" s="33"/>
      <c r="U147" s="33"/>
      <c r="V147" s="33"/>
      <c r="W147" s="33"/>
      <c r="X147" s="33"/>
    </row>
    <row r="148" customFormat="false" ht="14.25" hidden="false" customHeight="true" outlineLevel="0" collapsed="false">
      <c r="B148" s="66"/>
      <c r="C148" s="75"/>
      <c r="D148" s="76"/>
      <c r="E148" s="76"/>
      <c r="F148" s="76"/>
      <c r="G148" s="35"/>
      <c r="H148" s="70"/>
      <c r="I148" s="77"/>
      <c r="J148" s="77"/>
      <c r="K148" s="77"/>
      <c r="L148" s="77"/>
      <c r="M148" s="77"/>
      <c r="N148" s="62"/>
      <c r="O148" s="62"/>
      <c r="P148" s="63"/>
      <c r="Q148" s="63"/>
      <c r="R148" s="64"/>
      <c r="T148" s="33"/>
      <c r="U148" s="33"/>
      <c r="V148" s="33"/>
      <c r="W148" s="33"/>
      <c r="X148" s="33"/>
    </row>
    <row r="149" customFormat="false" ht="14.25" hidden="false" customHeight="true" outlineLevel="0" collapsed="false">
      <c r="B149" s="61"/>
      <c r="C149" s="68"/>
      <c r="D149" s="32"/>
      <c r="E149" s="32"/>
      <c r="F149" s="32"/>
      <c r="G149" s="69"/>
      <c r="H149" s="70"/>
      <c r="I149" s="77"/>
      <c r="J149" s="77"/>
      <c r="K149" s="77"/>
      <c r="L149" s="77"/>
      <c r="M149" s="77"/>
      <c r="N149" s="62"/>
      <c r="O149" s="62"/>
      <c r="P149" s="63"/>
      <c r="Q149" s="63"/>
      <c r="R149" s="64"/>
      <c r="T149" s="33"/>
      <c r="U149" s="33"/>
      <c r="V149" s="33"/>
      <c r="W149" s="33"/>
      <c r="X149" s="33"/>
    </row>
    <row r="150" customFormat="false" ht="14.25" hidden="false" customHeight="true" outlineLevel="0" collapsed="false">
      <c r="B150" s="66"/>
      <c r="C150" s="75"/>
      <c r="D150" s="76"/>
      <c r="E150" s="76"/>
      <c r="F150" s="76"/>
      <c r="G150" s="35"/>
      <c r="H150" s="70"/>
      <c r="I150" s="77"/>
      <c r="J150" s="77"/>
      <c r="K150" s="77"/>
      <c r="L150" s="77"/>
      <c r="M150" s="77"/>
      <c r="N150" s="62"/>
      <c r="O150" s="62"/>
      <c r="P150" s="63"/>
      <c r="Q150" s="63"/>
      <c r="R150" s="64"/>
      <c r="T150" s="33"/>
      <c r="U150" s="33"/>
      <c r="V150" s="33"/>
      <c r="W150" s="33"/>
      <c r="X150" s="33"/>
    </row>
    <row r="151" customFormat="false" ht="14.25" hidden="false" customHeight="true" outlineLevel="0" collapsed="false">
      <c r="B151" s="61"/>
      <c r="C151" s="68"/>
      <c r="D151" s="32"/>
      <c r="E151" s="32"/>
      <c r="F151" s="32"/>
      <c r="G151" s="69"/>
      <c r="H151" s="70"/>
      <c r="I151" s="77"/>
      <c r="J151" s="77"/>
      <c r="K151" s="77"/>
      <c r="L151" s="77"/>
      <c r="M151" s="77"/>
      <c r="N151" s="62"/>
      <c r="O151" s="62"/>
      <c r="P151" s="63"/>
      <c r="Q151" s="63"/>
      <c r="R151" s="64"/>
      <c r="T151" s="33"/>
      <c r="U151" s="33"/>
      <c r="V151" s="33"/>
      <c r="W151" s="33"/>
      <c r="X151" s="33"/>
    </row>
    <row r="152" customFormat="false" ht="14.25" hidden="false" customHeight="true" outlineLevel="0" collapsed="false">
      <c r="B152" s="66"/>
      <c r="C152" s="75"/>
      <c r="D152" s="76"/>
      <c r="E152" s="76"/>
      <c r="F152" s="76"/>
      <c r="G152" s="35"/>
      <c r="H152" s="70"/>
      <c r="I152" s="77"/>
      <c r="J152" s="77"/>
      <c r="K152" s="77"/>
      <c r="L152" s="77"/>
      <c r="M152" s="77"/>
      <c r="N152" s="62"/>
      <c r="O152" s="62"/>
      <c r="P152" s="63"/>
      <c r="Q152" s="63"/>
      <c r="R152" s="64"/>
      <c r="T152" s="33"/>
      <c r="U152" s="33"/>
      <c r="V152" s="33"/>
      <c r="W152" s="33"/>
      <c r="X152" s="33"/>
    </row>
    <row r="153" customFormat="false" ht="14.25" hidden="false" customHeight="true" outlineLevel="0" collapsed="false">
      <c r="B153" s="61"/>
      <c r="C153" s="68"/>
      <c r="D153" s="32"/>
      <c r="E153" s="32"/>
      <c r="F153" s="32"/>
      <c r="G153" s="69"/>
      <c r="H153" s="70"/>
      <c r="I153" s="77"/>
      <c r="J153" s="77"/>
      <c r="K153" s="77"/>
      <c r="L153" s="77"/>
      <c r="M153" s="77"/>
      <c r="N153" s="62"/>
      <c r="O153" s="62"/>
      <c r="P153" s="63"/>
      <c r="Q153" s="63"/>
      <c r="R153" s="64"/>
      <c r="T153" s="33"/>
      <c r="U153" s="33"/>
      <c r="V153" s="33"/>
      <c r="W153" s="33"/>
      <c r="X153" s="33"/>
    </row>
    <row r="154" customFormat="false" ht="14.25" hidden="false" customHeight="true" outlineLevel="0" collapsed="false">
      <c r="B154" s="66"/>
      <c r="C154" s="75"/>
      <c r="D154" s="76"/>
      <c r="E154" s="76"/>
      <c r="F154" s="76"/>
      <c r="G154" s="35"/>
      <c r="H154" s="70"/>
      <c r="I154" s="77"/>
      <c r="J154" s="77"/>
      <c r="K154" s="77"/>
      <c r="L154" s="77"/>
      <c r="M154" s="77"/>
      <c r="N154" s="62"/>
      <c r="O154" s="62"/>
      <c r="P154" s="63"/>
      <c r="Q154" s="63"/>
      <c r="R154" s="64"/>
      <c r="T154" s="33"/>
      <c r="U154" s="33"/>
      <c r="V154" s="33"/>
      <c r="W154" s="33"/>
      <c r="X154" s="33"/>
    </row>
    <row r="155" customFormat="false" ht="14.25" hidden="false" customHeight="true" outlineLevel="0" collapsed="false">
      <c r="B155" s="61"/>
      <c r="C155" s="68"/>
      <c r="D155" s="32"/>
      <c r="E155" s="32"/>
      <c r="F155" s="32"/>
      <c r="G155" s="69"/>
      <c r="H155" s="70"/>
      <c r="I155" s="77"/>
      <c r="J155" s="77"/>
      <c r="K155" s="77"/>
      <c r="L155" s="77"/>
      <c r="M155" s="77"/>
      <c r="N155" s="62"/>
      <c r="O155" s="62"/>
      <c r="P155" s="63"/>
      <c r="Q155" s="63"/>
      <c r="R155" s="64"/>
      <c r="T155" s="33"/>
      <c r="U155" s="33"/>
      <c r="V155" s="33"/>
      <c r="W155" s="33"/>
      <c r="X155" s="33"/>
    </row>
    <row r="156" customFormat="false" ht="14.25" hidden="false" customHeight="true" outlineLevel="0" collapsed="false">
      <c r="B156" s="66"/>
      <c r="C156" s="75"/>
      <c r="D156" s="76"/>
      <c r="E156" s="76"/>
      <c r="F156" s="76"/>
      <c r="G156" s="35"/>
      <c r="H156" s="70"/>
      <c r="I156" s="77"/>
      <c r="J156" s="77"/>
      <c r="K156" s="77"/>
      <c r="L156" s="77"/>
      <c r="M156" s="77"/>
      <c r="N156" s="62"/>
      <c r="O156" s="62"/>
      <c r="P156" s="63"/>
      <c r="Q156" s="63"/>
      <c r="R156" s="64"/>
      <c r="T156" s="33"/>
      <c r="U156" s="33"/>
      <c r="V156" s="33"/>
      <c r="W156" s="33"/>
      <c r="X156" s="33"/>
    </row>
    <row r="157" customFormat="false" ht="14.25" hidden="false" customHeight="true" outlineLevel="0" collapsed="false">
      <c r="B157" s="61"/>
      <c r="C157" s="68"/>
      <c r="D157" s="32"/>
      <c r="E157" s="32"/>
      <c r="F157" s="32"/>
      <c r="G157" s="69"/>
      <c r="H157" s="70"/>
      <c r="I157" s="77"/>
      <c r="J157" s="77"/>
      <c r="K157" s="77"/>
      <c r="L157" s="77"/>
      <c r="M157" s="77"/>
      <c r="N157" s="62"/>
      <c r="O157" s="62"/>
      <c r="P157" s="63"/>
      <c r="Q157" s="63"/>
      <c r="R157" s="64"/>
      <c r="T157" s="33"/>
      <c r="U157" s="33"/>
      <c r="V157" s="33"/>
      <c r="W157" s="33"/>
      <c r="X157" s="33"/>
    </row>
    <row r="158" customFormat="false" ht="14.25" hidden="false" customHeight="true" outlineLevel="0" collapsed="false">
      <c r="B158" s="66"/>
      <c r="C158" s="75"/>
      <c r="D158" s="76"/>
      <c r="E158" s="76"/>
      <c r="F158" s="76"/>
      <c r="G158" s="35"/>
      <c r="H158" s="70"/>
      <c r="I158" s="77"/>
      <c r="J158" s="77"/>
      <c r="K158" s="77"/>
      <c r="L158" s="77"/>
      <c r="M158" s="77"/>
      <c r="N158" s="62"/>
      <c r="O158" s="62"/>
      <c r="P158" s="63"/>
      <c r="Q158" s="63"/>
      <c r="R158" s="64"/>
      <c r="T158" s="33"/>
      <c r="U158" s="33"/>
      <c r="V158" s="33"/>
      <c r="W158" s="33"/>
      <c r="X158" s="33"/>
    </row>
    <row r="159" customFormat="false" ht="14.25" hidden="false" customHeight="true" outlineLevel="0" collapsed="false">
      <c r="B159" s="61"/>
      <c r="C159" s="68"/>
      <c r="D159" s="32"/>
      <c r="E159" s="32"/>
      <c r="F159" s="32"/>
      <c r="G159" s="69"/>
      <c r="H159" s="70"/>
      <c r="I159" s="77"/>
      <c r="J159" s="77"/>
      <c r="K159" s="77"/>
      <c r="L159" s="77"/>
      <c r="M159" s="77"/>
      <c r="N159" s="62"/>
      <c r="O159" s="62"/>
      <c r="P159" s="63"/>
      <c r="Q159" s="63"/>
      <c r="R159" s="64"/>
      <c r="T159" s="33"/>
      <c r="U159" s="33"/>
      <c r="V159" s="33"/>
      <c r="W159" s="33"/>
      <c r="X159" s="33"/>
    </row>
    <row r="160" customFormat="false" ht="14.25" hidden="false" customHeight="true" outlineLevel="0" collapsed="false">
      <c r="B160" s="66"/>
      <c r="C160" s="75"/>
      <c r="D160" s="76"/>
      <c r="E160" s="76"/>
      <c r="F160" s="76"/>
      <c r="G160" s="35"/>
      <c r="H160" s="70"/>
      <c r="I160" s="77"/>
      <c r="J160" s="77"/>
      <c r="K160" s="77"/>
      <c r="L160" s="77"/>
      <c r="M160" s="77"/>
      <c r="N160" s="62"/>
      <c r="O160" s="62"/>
      <c r="P160" s="63"/>
      <c r="Q160" s="63"/>
      <c r="R160" s="64"/>
      <c r="T160" s="33"/>
      <c r="U160" s="33"/>
      <c r="V160" s="33"/>
      <c r="W160" s="33"/>
      <c r="X160" s="33"/>
    </row>
    <row r="161" customFormat="false" ht="14.25" hidden="false" customHeight="true" outlineLevel="0" collapsed="false">
      <c r="B161" s="61"/>
      <c r="C161" s="68"/>
      <c r="D161" s="32"/>
      <c r="E161" s="32"/>
      <c r="F161" s="32"/>
      <c r="G161" s="69"/>
      <c r="H161" s="70"/>
      <c r="I161" s="77"/>
      <c r="J161" s="77"/>
      <c r="K161" s="77"/>
      <c r="L161" s="77"/>
      <c r="M161" s="77"/>
      <c r="N161" s="62"/>
      <c r="O161" s="62"/>
      <c r="P161" s="63"/>
      <c r="Q161" s="63"/>
      <c r="R161" s="64"/>
      <c r="T161" s="33"/>
      <c r="U161" s="33"/>
      <c r="V161" s="33"/>
      <c r="W161" s="33"/>
      <c r="X161" s="33"/>
    </row>
    <row r="162" customFormat="false" ht="14.25" hidden="false" customHeight="true" outlineLevel="0" collapsed="false">
      <c r="B162" s="66"/>
      <c r="C162" s="75"/>
      <c r="D162" s="76"/>
      <c r="E162" s="76"/>
      <c r="F162" s="76"/>
      <c r="G162" s="35"/>
      <c r="H162" s="70"/>
      <c r="I162" s="77"/>
      <c r="J162" s="77"/>
      <c r="K162" s="77"/>
      <c r="L162" s="77"/>
      <c r="M162" s="77"/>
      <c r="N162" s="62"/>
      <c r="O162" s="62"/>
      <c r="P162" s="63"/>
      <c r="Q162" s="63"/>
      <c r="R162" s="64"/>
      <c r="T162" s="33"/>
      <c r="U162" s="33"/>
      <c r="V162" s="33"/>
      <c r="W162" s="33"/>
      <c r="X162" s="33"/>
    </row>
    <row r="163" customFormat="false" ht="14.25" hidden="false" customHeight="true" outlineLevel="0" collapsed="false">
      <c r="B163" s="61"/>
      <c r="C163" s="68"/>
      <c r="D163" s="32"/>
      <c r="E163" s="32"/>
      <c r="F163" s="32"/>
      <c r="G163" s="69"/>
      <c r="H163" s="70"/>
      <c r="I163" s="77"/>
      <c r="J163" s="77"/>
      <c r="K163" s="77"/>
      <c r="L163" s="77"/>
      <c r="M163" s="77"/>
      <c r="N163" s="62"/>
      <c r="O163" s="62"/>
      <c r="P163" s="63"/>
      <c r="Q163" s="63"/>
      <c r="R163" s="64"/>
      <c r="T163" s="33"/>
      <c r="U163" s="33"/>
      <c r="V163" s="33"/>
      <c r="W163" s="33"/>
      <c r="X163" s="33"/>
    </row>
    <row r="164" customFormat="false" ht="14.25" hidden="false" customHeight="true" outlineLevel="0" collapsed="false">
      <c r="B164" s="66"/>
      <c r="C164" s="75"/>
      <c r="D164" s="76"/>
      <c r="E164" s="76"/>
      <c r="F164" s="76"/>
      <c r="G164" s="35"/>
      <c r="H164" s="70"/>
      <c r="I164" s="77"/>
      <c r="J164" s="77"/>
      <c r="K164" s="77"/>
      <c r="L164" s="77"/>
      <c r="M164" s="77"/>
      <c r="N164" s="62"/>
      <c r="O164" s="62"/>
      <c r="P164" s="63"/>
      <c r="Q164" s="63"/>
      <c r="R164" s="64"/>
      <c r="T164" s="33"/>
      <c r="U164" s="33"/>
      <c r="V164" s="33"/>
      <c r="W164" s="33"/>
      <c r="X164" s="33"/>
    </row>
    <row r="165" customFormat="false" ht="14.25" hidden="false" customHeight="true" outlineLevel="0" collapsed="false">
      <c r="B165" s="61"/>
      <c r="C165" s="68"/>
      <c r="D165" s="32"/>
      <c r="E165" s="32"/>
      <c r="F165" s="32"/>
      <c r="G165" s="69"/>
      <c r="H165" s="70"/>
      <c r="I165" s="77"/>
      <c r="J165" s="77"/>
      <c r="K165" s="77"/>
      <c r="L165" s="77"/>
      <c r="M165" s="77"/>
      <c r="N165" s="62"/>
      <c r="O165" s="62"/>
      <c r="P165" s="63"/>
      <c r="Q165" s="63"/>
      <c r="R165" s="64"/>
      <c r="T165" s="33"/>
      <c r="U165" s="33"/>
      <c r="V165" s="33"/>
      <c r="W165" s="33"/>
      <c r="X165" s="33"/>
    </row>
    <row r="166" customFormat="false" ht="14.25" hidden="false" customHeight="true" outlineLevel="0" collapsed="false">
      <c r="B166" s="66"/>
      <c r="C166" s="75"/>
      <c r="D166" s="76"/>
      <c r="E166" s="76"/>
      <c r="F166" s="76"/>
      <c r="G166" s="35"/>
      <c r="H166" s="70"/>
      <c r="I166" s="77"/>
      <c r="J166" s="77"/>
      <c r="K166" s="77"/>
      <c r="L166" s="77"/>
      <c r="M166" s="77"/>
      <c r="N166" s="62"/>
      <c r="O166" s="62"/>
      <c r="P166" s="63"/>
      <c r="Q166" s="63"/>
      <c r="R166" s="64"/>
      <c r="T166" s="33"/>
      <c r="U166" s="33"/>
      <c r="V166" s="33"/>
      <c r="W166" s="33"/>
      <c r="X166" s="33"/>
    </row>
    <row r="167" customFormat="false" ht="14.25" hidden="false" customHeight="true" outlineLevel="0" collapsed="false">
      <c r="B167" s="61"/>
      <c r="C167" s="68"/>
      <c r="D167" s="32"/>
      <c r="E167" s="32"/>
      <c r="F167" s="32"/>
      <c r="G167" s="69"/>
      <c r="H167" s="70"/>
      <c r="I167" s="77"/>
      <c r="J167" s="77"/>
      <c r="K167" s="77"/>
      <c r="L167" s="77"/>
      <c r="M167" s="77"/>
      <c r="N167" s="62"/>
      <c r="O167" s="62"/>
      <c r="P167" s="63"/>
      <c r="Q167" s="63"/>
      <c r="R167" s="64"/>
      <c r="T167" s="33"/>
      <c r="U167" s="33"/>
      <c r="V167" s="33"/>
      <c r="W167" s="33"/>
      <c r="X167" s="33"/>
    </row>
    <row r="168" customFormat="false" ht="14.25" hidden="false" customHeight="true" outlineLevel="0" collapsed="false">
      <c r="B168" s="66"/>
      <c r="C168" s="75"/>
      <c r="D168" s="76"/>
      <c r="E168" s="76"/>
      <c r="F168" s="76"/>
      <c r="G168" s="35"/>
      <c r="H168" s="70"/>
      <c r="I168" s="77"/>
      <c r="J168" s="77"/>
      <c r="K168" s="77"/>
      <c r="L168" s="77"/>
      <c r="M168" s="77"/>
      <c r="N168" s="62"/>
      <c r="O168" s="62"/>
      <c r="P168" s="63"/>
      <c r="Q168" s="63"/>
      <c r="R168" s="64"/>
      <c r="T168" s="33"/>
      <c r="U168" s="33"/>
      <c r="V168" s="33"/>
      <c r="W168" s="33"/>
      <c r="X168" s="33"/>
    </row>
    <row r="169" customFormat="false" ht="14.25" hidden="false" customHeight="true" outlineLevel="0" collapsed="false">
      <c r="B169" s="61"/>
      <c r="C169" s="68"/>
      <c r="D169" s="32"/>
      <c r="E169" s="32"/>
      <c r="F169" s="32"/>
      <c r="G169" s="69"/>
      <c r="H169" s="70"/>
      <c r="I169" s="77"/>
      <c r="J169" s="77"/>
      <c r="K169" s="77"/>
      <c r="L169" s="77"/>
      <c r="M169" s="77"/>
      <c r="N169" s="62"/>
      <c r="O169" s="62"/>
      <c r="P169" s="63"/>
      <c r="Q169" s="63"/>
      <c r="R169" s="64"/>
      <c r="T169" s="33"/>
      <c r="U169" s="33"/>
      <c r="V169" s="33"/>
      <c r="W169" s="33"/>
      <c r="X169" s="33"/>
    </row>
    <row r="170" customFormat="false" ht="14.25" hidden="false" customHeight="true" outlineLevel="0" collapsed="false">
      <c r="B170" s="66"/>
      <c r="C170" s="75"/>
      <c r="D170" s="76"/>
      <c r="E170" s="76"/>
      <c r="F170" s="76"/>
      <c r="G170" s="35"/>
      <c r="H170" s="70"/>
      <c r="I170" s="77"/>
      <c r="J170" s="77"/>
      <c r="K170" s="77"/>
      <c r="L170" s="77"/>
      <c r="M170" s="77"/>
      <c r="N170" s="62"/>
      <c r="O170" s="62"/>
      <c r="P170" s="63"/>
      <c r="Q170" s="63"/>
      <c r="R170" s="64"/>
      <c r="T170" s="33"/>
      <c r="U170" s="33"/>
      <c r="V170" s="33"/>
      <c r="W170" s="33"/>
      <c r="X170" s="33"/>
    </row>
    <row r="171" customFormat="false" ht="14.25" hidden="false" customHeight="true" outlineLevel="0" collapsed="false">
      <c r="B171" s="61"/>
      <c r="C171" s="68"/>
      <c r="D171" s="32"/>
      <c r="E171" s="32"/>
      <c r="F171" s="32"/>
      <c r="G171" s="69"/>
      <c r="H171" s="70"/>
      <c r="I171" s="77"/>
      <c r="J171" s="77"/>
      <c r="K171" s="77"/>
      <c r="L171" s="77"/>
      <c r="M171" s="77"/>
      <c r="N171" s="62"/>
      <c r="O171" s="62"/>
      <c r="P171" s="63"/>
      <c r="Q171" s="63"/>
      <c r="R171" s="64"/>
      <c r="T171" s="33"/>
      <c r="U171" s="33"/>
      <c r="V171" s="33"/>
      <c r="W171" s="33"/>
      <c r="X171" s="33"/>
    </row>
    <row r="172" customFormat="false" ht="14.25" hidden="false" customHeight="true" outlineLevel="0" collapsed="false">
      <c r="B172" s="66"/>
      <c r="C172" s="75"/>
      <c r="D172" s="76"/>
      <c r="E172" s="76"/>
      <c r="F172" s="76"/>
      <c r="G172" s="35"/>
      <c r="H172" s="70"/>
      <c r="I172" s="77"/>
      <c r="J172" s="77"/>
      <c r="K172" s="77"/>
      <c r="L172" s="77"/>
      <c r="M172" s="77"/>
      <c r="N172" s="62"/>
      <c r="O172" s="62"/>
      <c r="P172" s="63"/>
      <c r="Q172" s="63"/>
      <c r="R172" s="64"/>
      <c r="T172" s="33"/>
      <c r="U172" s="33"/>
      <c r="V172" s="33"/>
      <c r="W172" s="33"/>
      <c r="X172" s="33"/>
    </row>
    <row r="173" customFormat="false" ht="14.25" hidden="false" customHeight="true" outlineLevel="0" collapsed="false">
      <c r="B173" s="61"/>
      <c r="C173" s="68"/>
      <c r="D173" s="32"/>
      <c r="E173" s="32"/>
      <c r="F173" s="32"/>
      <c r="G173" s="69"/>
      <c r="H173" s="70"/>
      <c r="I173" s="77"/>
      <c r="J173" s="77"/>
      <c r="K173" s="77"/>
      <c r="L173" s="77"/>
      <c r="M173" s="77"/>
      <c r="N173" s="62"/>
      <c r="O173" s="62"/>
      <c r="P173" s="63"/>
      <c r="Q173" s="63"/>
      <c r="R173" s="64"/>
      <c r="T173" s="33"/>
      <c r="U173" s="33"/>
      <c r="V173" s="33"/>
      <c r="W173" s="33"/>
      <c r="X173" s="33"/>
    </row>
    <row r="174" customFormat="false" ht="14.25" hidden="false" customHeight="true" outlineLevel="0" collapsed="false">
      <c r="B174" s="66"/>
      <c r="C174" s="75"/>
      <c r="D174" s="76"/>
      <c r="E174" s="76"/>
      <c r="F174" s="76"/>
      <c r="G174" s="35"/>
      <c r="H174" s="70"/>
      <c r="I174" s="77"/>
      <c r="J174" s="77"/>
      <c r="K174" s="77"/>
      <c r="L174" s="77"/>
      <c r="M174" s="77"/>
      <c r="N174" s="62"/>
      <c r="O174" s="62"/>
      <c r="P174" s="63"/>
      <c r="Q174" s="63"/>
      <c r="R174" s="64"/>
      <c r="T174" s="33"/>
      <c r="U174" s="33"/>
      <c r="V174" s="33"/>
      <c r="W174" s="33"/>
      <c r="X174" s="33"/>
    </row>
    <row r="175" customFormat="false" ht="14.25" hidden="false" customHeight="true" outlineLevel="0" collapsed="false">
      <c r="B175" s="61"/>
      <c r="C175" s="68"/>
      <c r="D175" s="32"/>
      <c r="E175" s="32"/>
      <c r="F175" s="32"/>
      <c r="G175" s="69"/>
      <c r="H175" s="70"/>
      <c r="I175" s="77"/>
      <c r="J175" s="77"/>
      <c r="K175" s="77"/>
      <c r="L175" s="77"/>
      <c r="M175" s="77"/>
      <c r="N175" s="62"/>
      <c r="O175" s="62"/>
      <c r="P175" s="63"/>
      <c r="Q175" s="63"/>
      <c r="R175" s="64"/>
      <c r="T175" s="33"/>
      <c r="U175" s="33"/>
      <c r="V175" s="33"/>
      <c r="W175" s="33"/>
      <c r="X175" s="33"/>
    </row>
    <row r="176" customFormat="false" ht="14.25" hidden="false" customHeight="true" outlineLevel="0" collapsed="false">
      <c r="B176" s="66"/>
      <c r="C176" s="75"/>
      <c r="D176" s="76"/>
      <c r="E176" s="76"/>
      <c r="F176" s="76"/>
      <c r="G176" s="35"/>
      <c r="H176" s="70"/>
      <c r="I176" s="77"/>
      <c r="J176" s="77"/>
      <c r="K176" s="77"/>
      <c r="L176" s="77"/>
      <c r="M176" s="77"/>
      <c r="N176" s="62"/>
      <c r="O176" s="62"/>
      <c r="P176" s="63"/>
      <c r="Q176" s="63"/>
      <c r="R176" s="64"/>
      <c r="T176" s="33"/>
      <c r="U176" s="33"/>
      <c r="V176" s="33"/>
      <c r="W176" s="33"/>
      <c r="X176" s="33"/>
    </row>
    <row r="177" customFormat="false" ht="14.25" hidden="false" customHeight="true" outlineLevel="0" collapsed="false">
      <c r="B177" s="61"/>
      <c r="C177" s="68"/>
      <c r="D177" s="32"/>
      <c r="E177" s="32"/>
      <c r="F177" s="32"/>
      <c r="G177" s="69"/>
      <c r="H177" s="70"/>
      <c r="I177" s="77"/>
      <c r="J177" s="77"/>
      <c r="K177" s="77"/>
      <c r="L177" s="77"/>
      <c r="M177" s="77"/>
      <c r="N177" s="62"/>
      <c r="O177" s="62"/>
      <c r="P177" s="63"/>
      <c r="Q177" s="63"/>
      <c r="R177" s="64"/>
      <c r="T177" s="33"/>
      <c r="U177" s="33"/>
      <c r="V177" s="33"/>
      <c r="W177" s="33"/>
      <c r="X177" s="33"/>
    </row>
    <row r="178" customFormat="false" ht="14.25" hidden="false" customHeight="true" outlineLevel="0" collapsed="false">
      <c r="B178" s="66"/>
      <c r="C178" s="75"/>
      <c r="D178" s="76"/>
      <c r="E178" s="76"/>
      <c r="F178" s="76"/>
      <c r="G178" s="35"/>
      <c r="H178" s="70"/>
      <c r="I178" s="77"/>
      <c r="J178" s="77"/>
      <c r="K178" s="77"/>
      <c r="L178" s="77"/>
      <c r="M178" s="77"/>
      <c r="N178" s="62"/>
      <c r="O178" s="62"/>
      <c r="P178" s="63"/>
      <c r="Q178" s="63"/>
      <c r="R178" s="64"/>
      <c r="T178" s="33"/>
      <c r="U178" s="33"/>
      <c r="V178" s="33"/>
      <c r="W178" s="33"/>
      <c r="X178" s="33"/>
    </row>
    <row r="179" customFormat="false" ht="14.25" hidden="false" customHeight="true" outlineLevel="0" collapsed="false">
      <c r="B179" s="61"/>
      <c r="C179" s="68"/>
      <c r="D179" s="32"/>
      <c r="E179" s="32"/>
      <c r="F179" s="32"/>
      <c r="G179" s="69"/>
      <c r="H179" s="70"/>
      <c r="I179" s="77"/>
      <c r="J179" s="77"/>
      <c r="K179" s="77"/>
      <c r="L179" s="77"/>
      <c r="M179" s="77"/>
      <c r="N179" s="62"/>
      <c r="O179" s="62"/>
      <c r="P179" s="63"/>
      <c r="Q179" s="63"/>
      <c r="R179" s="64"/>
      <c r="T179" s="33"/>
      <c r="U179" s="33"/>
      <c r="V179" s="33"/>
      <c r="W179" s="33"/>
      <c r="X179" s="33"/>
    </row>
    <row r="180" customFormat="false" ht="14.25" hidden="false" customHeight="true" outlineLevel="0" collapsed="false">
      <c r="B180" s="66"/>
      <c r="C180" s="75"/>
      <c r="D180" s="76"/>
      <c r="E180" s="76"/>
      <c r="F180" s="76"/>
      <c r="G180" s="35"/>
      <c r="H180" s="70"/>
      <c r="I180" s="77"/>
      <c r="J180" s="77"/>
      <c r="K180" s="77"/>
      <c r="L180" s="77"/>
      <c r="M180" s="77"/>
      <c r="N180" s="62"/>
      <c r="O180" s="62"/>
      <c r="P180" s="63"/>
      <c r="Q180" s="63"/>
      <c r="R180" s="64"/>
      <c r="T180" s="33"/>
      <c r="U180" s="33"/>
      <c r="V180" s="33"/>
      <c r="W180" s="33"/>
      <c r="X180" s="33"/>
    </row>
    <row r="181" customFormat="false" ht="14.25" hidden="false" customHeight="true" outlineLevel="0" collapsed="false">
      <c r="B181" s="61"/>
      <c r="C181" s="68"/>
      <c r="D181" s="32"/>
      <c r="E181" s="32"/>
      <c r="F181" s="32"/>
      <c r="G181" s="69"/>
      <c r="H181" s="70"/>
      <c r="I181" s="77"/>
      <c r="J181" s="77"/>
      <c r="K181" s="77"/>
      <c r="L181" s="77"/>
      <c r="M181" s="77"/>
      <c r="N181" s="62"/>
      <c r="O181" s="62"/>
      <c r="P181" s="63"/>
      <c r="Q181" s="63"/>
      <c r="R181" s="64"/>
      <c r="T181" s="33"/>
      <c r="U181" s="33"/>
      <c r="V181" s="33"/>
      <c r="W181" s="33"/>
      <c r="X181" s="33"/>
    </row>
    <row r="182" customFormat="false" ht="14.25" hidden="false" customHeight="true" outlineLevel="0" collapsed="false">
      <c r="B182" s="66"/>
      <c r="C182" s="75"/>
      <c r="D182" s="76"/>
      <c r="E182" s="76"/>
      <c r="F182" s="76"/>
      <c r="G182" s="35"/>
      <c r="H182" s="70"/>
      <c r="I182" s="77"/>
      <c r="J182" s="77"/>
      <c r="K182" s="77"/>
      <c r="L182" s="77"/>
      <c r="M182" s="77"/>
      <c r="N182" s="62"/>
      <c r="O182" s="62"/>
      <c r="P182" s="63"/>
      <c r="Q182" s="63"/>
      <c r="R182" s="64"/>
      <c r="T182" s="33"/>
      <c r="U182" s="33"/>
      <c r="V182" s="33"/>
      <c r="W182" s="33"/>
      <c r="X182" s="33"/>
    </row>
    <row r="183" customFormat="false" ht="14.25" hidden="false" customHeight="true" outlineLevel="0" collapsed="false">
      <c r="B183" s="61"/>
      <c r="C183" s="68"/>
      <c r="D183" s="32"/>
      <c r="E183" s="32"/>
      <c r="F183" s="32"/>
      <c r="G183" s="69"/>
      <c r="H183" s="70"/>
      <c r="I183" s="77"/>
      <c r="J183" s="77"/>
      <c r="K183" s="77"/>
      <c r="L183" s="77"/>
      <c r="M183" s="77"/>
      <c r="N183" s="62"/>
      <c r="O183" s="62"/>
      <c r="P183" s="63"/>
      <c r="Q183" s="63"/>
      <c r="R183" s="64"/>
      <c r="T183" s="33"/>
      <c r="U183" s="33"/>
      <c r="V183" s="33"/>
      <c r="W183" s="33"/>
      <c r="X183" s="33"/>
    </row>
    <row r="184" customFormat="false" ht="14.25" hidden="false" customHeight="true" outlineLevel="0" collapsed="false">
      <c r="B184" s="66"/>
      <c r="C184" s="75"/>
      <c r="D184" s="76"/>
      <c r="E184" s="76"/>
      <c r="F184" s="76"/>
      <c r="G184" s="35"/>
      <c r="H184" s="70"/>
      <c r="I184" s="77"/>
      <c r="J184" s="77"/>
      <c r="K184" s="77"/>
      <c r="L184" s="77"/>
      <c r="M184" s="77"/>
      <c r="N184" s="62"/>
      <c r="O184" s="62"/>
      <c r="P184" s="63"/>
      <c r="Q184" s="63"/>
      <c r="R184" s="64"/>
      <c r="T184" s="33"/>
      <c r="U184" s="33"/>
      <c r="V184" s="33"/>
      <c r="W184" s="33"/>
      <c r="X184" s="33"/>
    </row>
    <row r="185" customFormat="false" ht="14.25" hidden="false" customHeight="true" outlineLevel="0" collapsed="false">
      <c r="B185" s="61"/>
      <c r="C185" s="68"/>
      <c r="D185" s="32"/>
      <c r="E185" s="32"/>
      <c r="F185" s="32"/>
      <c r="G185" s="69"/>
      <c r="H185" s="70"/>
      <c r="I185" s="77"/>
      <c r="J185" s="77"/>
      <c r="K185" s="77"/>
      <c r="L185" s="77"/>
      <c r="M185" s="77"/>
      <c r="N185" s="62"/>
      <c r="O185" s="62"/>
      <c r="P185" s="63"/>
      <c r="Q185" s="63"/>
      <c r="R185" s="64"/>
      <c r="T185" s="33"/>
      <c r="U185" s="33"/>
      <c r="V185" s="33"/>
      <c r="W185" s="33"/>
      <c r="X185" s="33"/>
    </row>
    <row r="186" customFormat="false" ht="14.25" hidden="false" customHeight="true" outlineLevel="0" collapsed="false">
      <c r="B186" s="66"/>
      <c r="C186" s="75"/>
      <c r="D186" s="76"/>
      <c r="E186" s="76"/>
      <c r="F186" s="76"/>
      <c r="G186" s="35"/>
      <c r="H186" s="70"/>
      <c r="I186" s="77"/>
      <c r="J186" s="77"/>
      <c r="K186" s="77"/>
      <c r="L186" s="77"/>
      <c r="M186" s="77"/>
      <c r="N186" s="62"/>
      <c r="O186" s="62"/>
      <c r="P186" s="63"/>
      <c r="Q186" s="63"/>
      <c r="R186" s="64"/>
      <c r="T186" s="33"/>
      <c r="U186" s="33"/>
      <c r="V186" s="33"/>
      <c r="W186" s="33"/>
      <c r="X186" s="33"/>
    </row>
    <row r="187" customFormat="false" ht="14.25" hidden="false" customHeight="true" outlineLevel="0" collapsed="false">
      <c r="B187" s="61"/>
      <c r="C187" s="68"/>
      <c r="D187" s="32"/>
      <c r="E187" s="32"/>
      <c r="F187" s="32"/>
      <c r="G187" s="69"/>
      <c r="H187" s="70"/>
      <c r="I187" s="77"/>
      <c r="J187" s="77"/>
      <c r="K187" s="77"/>
      <c r="L187" s="77"/>
      <c r="M187" s="77"/>
      <c r="N187" s="62"/>
      <c r="O187" s="62"/>
      <c r="P187" s="63"/>
      <c r="Q187" s="63"/>
      <c r="R187" s="64"/>
      <c r="T187" s="33"/>
      <c r="U187" s="33"/>
      <c r="V187" s="33"/>
      <c r="W187" s="33"/>
      <c r="X187" s="33"/>
    </row>
    <row r="188" customFormat="false" ht="14.25" hidden="false" customHeight="true" outlineLevel="0" collapsed="false">
      <c r="B188" s="66"/>
      <c r="C188" s="75"/>
      <c r="D188" s="76"/>
      <c r="E188" s="76"/>
      <c r="F188" s="76"/>
      <c r="G188" s="35"/>
      <c r="H188" s="70"/>
      <c r="I188" s="77"/>
      <c r="J188" s="77"/>
      <c r="K188" s="77"/>
      <c r="L188" s="77"/>
      <c r="M188" s="77"/>
      <c r="N188" s="62"/>
      <c r="O188" s="62"/>
      <c r="P188" s="63"/>
      <c r="Q188" s="63"/>
      <c r="R188" s="64"/>
      <c r="T188" s="33"/>
      <c r="U188" s="33"/>
      <c r="V188" s="33"/>
      <c r="W188" s="33"/>
      <c r="X188" s="33"/>
    </row>
    <row r="189" customFormat="false" ht="14.25" hidden="false" customHeight="true" outlineLevel="0" collapsed="false">
      <c r="B189" s="61"/>
      <c r="C189" s="68"/>
      <c r="D189" s="32"/>
      <c r="E189" s="32"/>
      <c r="F189" s="32"/>
      <c r="G189" s="69"/>
      <c r="H189" s="70"/>
      <c r="I189" s="77"/>
      <c r="J189" s="77"/>
      <c r="K189" s="77"/>
      <c r="L189" s="77"/>
      <c r="M189" s="77"/>
      <c r="N189" s="62"/>
      <c r="O189" s="62"/>
      <c r="P189" s="63"/>
      <c r="Q189" s="63"/>
      <c r="R189" s="64"/>
      <c r="T189" s="33"/>
      <c r="U189" s="33"/>
      <c r="V189" s="33"/>
      <c r="W189" s="33"/>
      <c r="X189" s="33"/>
    </row>
    <row r="190" customFormat="false" ht="14.25" hidden="false" customHeight="true" outlineLevel="0" collapsed="false">
      <c r="B190" s="66"/>
      <c r="C190" s="75"/>
      <c r="D190" s="76"/>
      <c r="E190" s="76"/>
      <c r="F190" s="76"/>
      <c r="G190" s="35"/>
      <c r="H190" s="70"/>
      <c r="I190" s="77"/>
      <c r="J190" s="77"/>
      <c r="K190" s="77"/>
      <c r="L190" s="77"/>
      <c r="M190" s="77"/>
      <c r="N190" s="62"/>
      <c r="O190" s="62"/>
      <c r="P190" s="63"/>
      <c r="Q190" s="63"/>
      <c r="R190" s="64"/>
      <c r="T190" s="33"/>
      <c r="U190" s="33"/>
      <c r="V190" s="33"/>
      <c r="W190" s="33"/>
      <c r="X190" s="33"/>
    </row>
    <row r="191" customFormat="false" ht="14.25" hidden="false" customHeight="true" outlineLevel="0" collapsed="false">
      <c r="B191" s="61"/>
      <c r="C191" s="68"/>
      <c r="D191" s="32"/>
      <c r="E191" s="32"/>
      <c r="F191" s="32"/>
      <c r="G191" s="69"/>
      <c r="H191" s="70"/>
      <c r="I191" s="77"/>
      <c r="J191" s="77"/>
      <c r="K191" s="77"/>
      <c r="L191" s="77"/>
      <c r="M191" s="77"/>
      <c r="N191" s="62"/>
      <c r="O191" s="62"/>
      <c r="P191" s="63"/>
      <c r="Q191" s="63"/>
      <c r="R191" s="64"/>
      <c r="T191" s="33"/>
      <c r="U191" s="33"/>
      <c r="V191" s="33"/>
      <c r="W191" s="33"/>
      <c r="X191" s="33"/>
    </row>
    <row r="192" customFormat="false" ht="14.25" hidden="false" customHeight="true" outlineLevel="0" collapsed="false">
      <c r="B192" s="66"/>
      <c r="C192" s="75"/>
      <c r="D192" s="76"/>
      <c r="E192" s="76"/>
      <c r="F192" s="76"/>
      <c r="G192" s="35"/>
      <c r="H192" s="70"/>
      <c r="I192" s="77"/>
      <c r="J192" s="77"/>
      <c r="K192" s="77"/>
      <c r="L192" s="77"/>
      <c r="M192" s="77"/>
      <c r="N192" s="62"/>
      <c r="O192" s="62"/>
      <c r="P192" s="63"/>
      <c r="Q192" s="63"/>
      <c r="R192" s="64"/>
      <c r="T192" s="33"/>
      <c r="U192" s="33"/>
      <c r="V192" s="33"/>
      <c r="W192" s="33"/>
      <c r="X192" s="33"/>
    </row>
    <row r="193" customFormat="false" ht="14.25" hidden="false" customHeight="true" outlineLevel="0" collapsed="false">
      <c r="B193" s="61"/>
      <c r="C193" s="68"/>
      <c r="D193" s="32"/>
      <c r="E193" s="32"/>
      <c r="F193" s="32"/>
      <c r="G193" s="69"/>
      <c r="H193" s="70"/>
      <c r="I193" s="77"/>
      <c r="J193" s="77"/>
      <c r="K193" s="77"/>
      <c r="L193" s="77"/>
      <c r="M193" s="77"/>
      <c r="N193" s="62"/>
      <c r="O193" s="62"/>
      <c r="P193" s="63"/>
      <c r="Q193" s="63"/>
      <c r="R193" s="64"/>
      <c r="T193" s="33"/>
      <c r="U193" s="33"/>
      <c r="V193" s="33"/>
      <c r="W193" s="33"/>
      <c r="X193" s="33"/>
    </row>
    <row r="194" customFormat="false" ht="14.25" hidden="false" customHeight="true" outlineLevel="0" collapsed="false">
      <c r="B194" s="66"/>
      <c r="C194" s="75"/>
      <c r="D194" s="76"/>
      <c r="E194" s="76"/>
      <c r="F194" s="76"/>
      <c r="G194" s="35"/>
      <c r="H194" s="70"/>
      <c r="I194" s="77"/>
      <c r="J194" s="77"/>
      <c r="K194" s="77"/>
      <c r="L194" s="77"/>
      <c r="M194" s="77"/>
      <c r="N194" s="62"/>
      <c r="O194" s="62"/>
      <c r="P194" s="63"/>
      <c r="Q194" s="63"/>
      <c r="R194" s="64"/>
      <c r="T194" s="33"/>
      <c r="U194" s="33"/>
      <c r="V194" s="33"/>
      <c r="W194" s="33"/>
      <c r="X194" s="33"/>
    </row>
    <row r="195" customFormat="false" ht="14.25" hidden="false" customHeight="true" outlineLevel="0" collapsed="false">
      <c r="B195" s="61"/>
      <c r="C195" s="68"/>
      <c r="D195" s="32"/>
      <c r="E195" s="32"/>
      <c r="F195" s="32"/>
      <c r="G195" s="69"/>
      <c r="H195" s="70"/>
      <c r="I195" s="77"/>
      <c r="J195" s="77"/>
      <c r="K195" s="77"/>
      <c r="L195" s="77"/>
      <c r="M195" s="77"/>
      <c r="N195" s="62"/>
      <c r="O195" s="62"/>
      <c r="P195" s="63"/>
      <c r="Q195" s="63"/>
      <c r="R195" s="64"/>
      <c r="T195" s="33"/>
      <c r="U195" s="33"/>
      <c r="V195" s="33"/>
      <c r="W195" s="33"/>
      <c r="X195" s="33"/>
    </row>
    <row r="196" customFormat="false" ht="14.25" hidden="false" customHeight="true" outlineLevel="0" collapsed="false">
      <c r="B196" s="66"/>
      <c r="C196" s="75"/>
      <c r="D196" s="76"/>
      <c r="E196" s="76"/>
      <c r="F196" s="76"/>
      <c r="G196" s="35"/>
      <c r="H196" s="70"/>
      <c r="I196" s="77"/>
      <c r="J196" s="77"/>
      <c r="K196" s="77"/>
      <c r="L196" s="77"/>
      <c r="M196" s="77"/>
      <c r="N196" s="62"/>
      <c r="O196" s="62"/>
      <c r="P196" s="63"/>
      <c r="Q196" s="63"/>
      <c r="R196" s="64"/>
      <c r="T196" s="33"/>
      <c r="U196" s="33"/>
      <c r="V196" s="33"/>
      <c r="W196" s="33"/>
      <c r="X196" s="33"/>
    </row>
    <row r="197" customFormat="false" ht="14.25" hidden="false" customHeight="true" outlineLevel="0" collapsed="false">
      <c r="B197" s="61"/>
      <c r="C197" s="68"/>
      <c r="D197" s="32"/>
      <c r="E197" s="32"/>
      <c r="F197" s="32"/>
      <c r="G197" s="69"/>
      <c r="H197" s="70"/>
      <c r="I197" s="77"/>
      <c r="J197" s="77"/>
      <c r="K197" s="77"/>
      <c r="L197" s="77"/>
      <c r="M197" s="77"/>
      <c r="N197" s="62"/>
      <c r="O197" s="62"/>
      <c r="P197" s="63"/>
      <c r="Q197" s="63"/>
      <c r="R197" s="64"/>
      <c r="T197" s="33"/>
      <c r="U197" s="33"/>
      <c r="V197" s="33"/>
      <c r="W197" s="33"/>
      <c r="X197" s="33"/>
    </row>
    <row r="198" customFormat="false" ht="14.25" hidden="false" customHeight="true" outlineLevel="0" collapsed="false">
      <c r="B198" s="66"/>
      <c r="C198" s="75"/>
      <c r="D198" s="76"/>
      <c r="E198" s="76"/>
      <c r="F198" s="76"/>
      <c r="G198" s="35"/>
      <c r="H198" s="70"/>
      <c r="I198" s="77"/>
      <c r="J198" s="77"/>
      <c r="K198" s="77"/>
      <c r="L198" s="77"/>
      <c r="M198" s="77"/>
      <c r="N198" s="62"/>
      <c r="O198" s="62"/>
      <c r="P198" s="63"/>
      <c r="Q198" s="63"/>
      <c r="R198" s="64"/>
      <c r="T198" s="33"/>
      <c r="U198" s="33"/>
      <c r="V198" s="33"/>
      <c r="W198" s="33"/>
      <c r="X198" s="33"/>
    </row>
    <row r="199" customFormat="false" ht="14.25" hidden="false" customHeight="true" outlineLevel="0" collapsed="false">
      <c r="B199" s="61"/>
      <c r="C199" s="68"/>
      <c r="D199" s="32"/>
      <c r="E199" s="32"/>
      <c r="F199" s="32"/>
      <c r="G199" s="69"/>
      <c r="H199" s="70"/>
      <c r="I199" s="77"/>
      <c r="J199" s="77"/>
      <c r="K199" s="77"/>
      <c r="L199" s="77"/>
      <c r="M199" s="77"/>
      <c r="N199" s="62"/>
      <c r="O199" s="62"/>
      <c r="P199" s="63"/>
      <c r="Q199" s="63"/>
      <c r="R199" s="64"/>
      <c r="T199" s="33"/>
      <c r="U199" s="33"/>
      <c r="V199" s="33"/>
      <c r="W199" s="33"/>
      <c r="X199" s="33"/>
    </row>
    <row r="200" customFormat="false" ht="14.25" hidden="false" customHeight="true" outlineLevel="0" collapsed="false">
      <c r="B200" s="66"/>
      <c r="C200" s="75"/>
      <c r="D200" s="76"/>
      <c r="E200" s="76"/>
      <c r="F200" s="76"/>
      <c r="G200" s="35"/>
      <c r="H200" s="70"/>
      <c r="I200" s="77"/>
      <c r="J200" s="77"/>
      <c r="K200" s="77"/>
      <c r="L200" s="77"/>
      <c r="M200" s="77"/>
      <c r="N200" s="62"/>
      <c r="O200" s="62"/>
      <c r="P200" s="63"/>
      <c r="Q200" s="63"/>
      <c r="R200" s="64"/>
      <c r="T200" s="33"/>
      <c r="U200" s="33"/>
      <c r="V200" s="33"/>
      <c r="W200" s="33"/>
      <c r="X200" s="33"/>
    </row>
    <row r="201" customFormat="false" ht="14.25" hidden="false" customHeight="true" outlineLevel="0" collapsed="false">
      <c r="B201" s="61"/>
      <c r="C201" s="68"/>
      <c r="D201" s="32"/>
      <c r="E201" s="32"/>
      <c r="F201" s="32"/>
      <c r="G201" s="69"/>
      <c r="H201" s="70"/>
      <c r="I201" s="77"/>
      <c r="J201" s="77"/>
      <c r="K201" s="77"/>
      <c r="L201" s="77"/>
      <c r="M201" s="77"/>
      <c r="N201" s="62"/>
      <c r="O201" s="62"/>
      <c r="P201" s="63"/>
      <c r="Q201" s="63"/>
      <c r="R201" s="64"/>
      <c r="T201" s="33"/>
      <c r="U201" s="33"/>
      <c r="V201" s="33"/>
      <c r="W201" s="33"/>
      <c r="X201" s="33"/>
    </row>
    <row r="202" customFormat="false" ht="14.25" hidden="false" customHeight="true" outlineLevel="0" collapsed="false">
      <c r="B202" s="66"/>
      <c r="C202" s="75"/>
      <c r="D202" s="76"/>
      <c r="E202" s="76"/>
      <c r="F202" s="76"/>
      <c r="G202" s="35"/>
      <c r="H202" s="70"/>
      <c r="I202" s="77"/>
      <c r="J202" s="77"/>
      <c r="K202" s="77"/>
      <c r="L202" s="77"/>
      <c r="M202" s="77"/>
      <c r="N202" s="62"/>
      <c r="O202" s="62"/>
      <c r="P202" s="63"/>
      <c r="Q202" s="63"/>
      <c r="R202" s="64"/>
      <c r="T202" s="33"/>
      <c r="U202" s="33"/>
      <c r="V202" s="33"/>
      <c r="W202" s="33"/>
      <c r="X202" s="33"/>
    </row>
    <row r="203" customFormat="false" ht="14.25" hidden="false" customHeight="true" outlineLevel="0" collapsed="false">
      <c r="B203" s="61"/>
      <c r="C203" s="68"/>
      <c r="D203" s="32"/>
      <c r="E203" s="32"/>
      <c r="F203" s="32"/>
      <c r="G203" s="69"/>
      <c r="H203" s="70"/>
      <c r="I203" s="77"/>
      <c r="J203" s="77"/>
      <c r="K203" s="77"/>
      <c r="L203" s="77"/>
      <c r="M203" s="77"/>
      <c r="N203" s="62"/>
      <c r="O203" s="62"/>
      <c r="P203" s="63"/>
      <c r="Q203" s="63"/>
      <c r="R203" s="64"/>
      <c r="T203" s="33"/>
      <c r="U203" s="33"/>
      <c r="V203" s="33"/>
      <c r="W203" s="33"/>
      <c r="X203" s="33"/>
    </row>
    <row r="204" customFormat="false" ht="14.25" hidden="false" customHeight="true" outlineLevel="0" collapsed="false">
      <c r="B204" s="66"/>
      <c r="C204" s="75"/>
      <c r="D204" s="76"/>
      <c r="E204" s="76"/>
      <c r="F204" s="76"/>
      <c r="G204" s="35"/>
      <c r="H204" s="70"/>
      <c r="I204" s="77"/>
      <c r="J204" s="77"/>
      <c r="K204" s="77"/>
      <c r="L204" s="77"/>
      <c r="M204" s="77"/>
      <c r="N204" s="62"/>
      <c r="O204" s="62"/>
      <c r="P204" s="63"/>
      <c r="Q204" s="63"/>
      <c r="R204" s="64"/>
      <c r="T204" s="33"/>
      <c r="U204" s="33"/>
      <c r="V204" s="33"/>
      <c r="W204" s="33"/>
      <c r="X204" s="33"/>
    </row>
    <row r="205" customFormat="false" ht="14.25" hidden="false" customHeight="true" outlineLevel="0" collapsed="false">
      <c r="B205" s="61"/>
      <c r="C205" s="68"/>
      <c r="D205" s="32"/>
      <c r="E205" s="32"/>
      <c r="F205" s="32"/>
      <c r="G205" s="69"/>
      <c r="H205" s="70"/>
      <c r="I205" s="77"/>
      <c r="J205" s="77"/>
      <c r="K205" s="77"/>
      <c r="L205" s="77"/>
      <c r="M205" s="77"/>
      <c r="N205" s="62"/>
      <c r="O205" s="62"/>
      <c r="P205" s="63"/>
      <c r="Q205" s="63"/>
      <c r="R205" s="64"/>
      <c r="T205" s="33"/>
      <c r="U205" s="33"/>
      <c r="V205" s="33"/>
      <c r="W205" s="33"/>
      <c r="X205" s="33"/>
    </row>
    <row r="206" customFormat="false" ht="14.25" hidden="false" customHeight="true" outlineLevel="0" collapsed="false">
      <c r="B206" s="66"/>
      <c r="C206" s="75"/>
      <c r="D206" s="76"/>
      <c r="E206" s="76"/>
      <c r="F206" s="76"/>
      <c r="G206" s="35"/>
      <c r="H206" s="70"/>
      <c r="I206" s="77"/>
      <c r="J206" s="77"/>
      <c r="K206" s="77"/>
      <c r="L206" s="77"/>
      <c r="M206" s="77"/>
      <c r="N206" s="62"/>
      <c r="O206" s="62"/>
      <c r="P206" s="63"/>
      <c r="Q206" s="63"/>
      <c r="R206" s="64"/>
      <c r="T206" s="33"/>
      <c r="U206" s="33"/>
      <c r="V206" s="33"/>
      <c r="W206" s="33"/>
      <c r="X206" s="33"/>
    </row>
    <row r="207" customFormat="false" ht="14.25" hidden="false" customHeight="true" outlineLevel="0" collapsed="false">
      <c r="B207" s="61"/>
      <c r="C207" s="68"/>
      <c r="D207" s="32"/>
      <c r="E207" s="32"/>
      <c r="F207" s="32"/>
      <c r="G207" s="69"/>
      <c r="H207" s="70"/>
      <c r="I207" s="77"/>
      <c r="J207" s="77"/>
      <c r="K207" s="77"/>
      <c r="L207" s="77"/>
      <c r="M207" s="77"/>
      <c r="N207" s="62"/>
      <c r="O207" s="62"/>
      <c r="P207" s="63"/>
      <c r="Q207" s="63"/>
      <c r="R207" s="64"/>
      <c r="T207" s="33"/>
      <c r="U207" s="33"/>
      <c r="V207" s="33"/>
      <c r="W207" s="33"/>
      <c r="X207" s="33"/>
    </row>
    <row r="208" customFormat="false" ht="14.25" hidden="false" customHeight="true" outlineLevel="0" collapsed="false">
      <c r="B208" s="66"/>
      <c r="C208" s="75"/>
      <c r="D208" s="76"/>
      <c r="E208" s="76"/>
      <c r="F208" s="76"/>
      <c r="G208" s="35"/>
      <c r="H208" s="70"/>
      <c r="I208" s="77"/>
      <c r="J208" s="77"/>
      <c r="K208" s="77"/>
      <c r="L208" s="77"/>
      <c r="M208" s="77"/>
      <c r="N208" s="62"/>
      <c r="O208" s="62"/>
      <c r="P208" s="63"/>
      <c r="Q208" s="63"/>
      <c r="R208" s="64"/>
      <c r="T208" s="33"/>
      <c r="U208" s="33"/>
      <c r="V208" s="33"/>
      <c r="W208" s="33"/>
      <c r="X208" s="33"/>
    </row>
    <row r="209" customFormat="false" ht="14.25" hidden="false" customHeight="true" outlineLevel="0" collapsed="false">
      <c r="B209" s="61"/>
      <c r="C209" s="68"/>
      <c r="D209" s="32"/>
      <c r="E209" s="32"/>
      <c r="F209" s="32"/>
      <c r="G209" s="69"/>
      <c r="H209" s="70"/>
      <c r="I209" s="77"/>
      <c r="J209" s="77"/>
      <c r="K209" s="77"/>
      <c r="L209" s="77"/>
      <c r="M209" s="77"/>
      <c r="N209" s="62"/>
      <c r="O209" s="62"/>
      <c r="P209" s="63"/>
      <c r="Q209" s="63"/>
      <c r="R209" s="64"/>
      <c r="T209" s="33"/>
      <c r="U209" s="33"/>
      <c r="V209" s="33"/>
      <c r="W209" s="33"/>
      <c r="X209" s="33"/>
    </row>
    <row r="210" customFormat="false" ht="14.25" hidden="false" customHeight="true" outlineLevel="0" collapsed="false">
      <c r="B210" s="66"/>
      <c r="C210" s="75"/>
      <c r="D210" s="76"/>
      <c r="E210" s="76"/>
      <c r="F210" s="76"/>
      <c r="G210" s="35"/>
      <c r="H210" s="70"/>
      <c r="I210" s="77"/>
      <c r="J210" s="77"/>
      <c r="K210" s="77"/>
      <c r="L210" s="77"/>
      <c r="M210" s="77"/>
      <c r="N210" s="62"/>
      <c r="O210" s="62"/>
      <c r="P210" s="63"/>
      <c r="Q210" s="63"/>
      <c r="R210" s="64"/>
      <c r="T210" s="33"/>
      <c r="U210" s="33"/>
      <c r="V210" s="33"/>
      <c r="W210" s="33"/>
      <c r="X210" s="33"/>
    </row>
    <row r="211" customFormat="false" ht="14.25" hidden="false" customHeight="true" outlineLevel="0" collapsed="false">
      <c r="B211" s="61"/>
      <c r="C211" s="68"/>
      <c r="D211" s="32"/>
      <c r="E211" s="32"/>
      <c r="F211" s="32"/>
      <c r="G211" s="69"/>
      <c r="H211" s="70"/>
      <c r="I211" s="77"/>
      <c r="J211" s="77"/>
      <c r="K211" s="77"/>
      <c r="L211" s="77"/>
      <c r="M211" s="77"/>
      <c r="N211" s="62"/>
      <c r="O211" s="62"/>
      <c r="P211" s="63"/>
      <c r="Q211" s="63"/>
      <c r="R211" s="64"/>
      <c r="T211" s="33"/>
      <c r="U211" s="33"/>
      <c r="V211" s="33"/>
      <c r="W211" s="33"/>
      <c r="X211" s="33"/>
    </row>
    <row r="212" customFormat="false" ht="14.25" hidden="false" customHeight="true" outlineLevel="0" collapsed="false">
      <c r="B212" s="66"/>
      <c r="C212" s="75"/>
      <c r="D212" s="76"/>
      <c r="E212" s="76"/>
      <c r="F212" s="76"/>
      <c r="G212" s="35"/>
      <c r="H212" s="70"/>
      <c r="I212" s="77"/>
      <c r="J212" s="77"/>
      <c r="K212" s="77"/>
      <c r="L212" s="77"/>
      <c r="M212" s="77"/>
      <c r="N212" s="62"/>
      <c r="O212" s="62"/>
      <c r="P212" s="63"/>
      <c r="Q212" s="63"/>
      <c r="R212" s="64"/>
      <c r="T212" s="33"/>
      <c r="U212" s="33"/>
      <c r="V212" s="33"/>
      <c r="W212" s="33"/>
      <c r="X212" s="33"/>
    </row>
    <row r="213" customFormat="false" ht="14.25" hidden="false" customHeight="true" outlineLevel="0" collapsed="false">
      <c r="B213" s="61"/>
      <c r="C213" s="68"/>
      <c r="D213" s="32"/>
      <c r="E213" s="32"/>
      <c r="F213" s="32"/>
      <c r="G213" s="69"/>
      <c r="H213" s="70"/>
      <c r="I213" s="77"/>
      <c r="J213" s="77"/>
      <c r="K213" s="77"/>
      <c r="L213" s="77"/>
      <c r="M213" s="77"/>
      <c r="N213" s="62"/>
      <c r="O213" s="62"/>
      <c r="P213" s="63"/>
      <c r="Q213" s="63"/>
      <c r="R213" s="64"/>
      <c r="T213" s="33"/>
      <c r="U213" s="33"/>
      <c r="V213" s="33"/>
      <c r="W213" s="33"/>
      <c r="X213" s="33"/>
    </row>
    <row r="214" customFormat="false" ht="14.25" hidden="false" customHeight="true" outlineLevel="0" collapsed="false">
      <c r="B214" s="66"/>
      <c r="C214" s="75"/>
      <c r="D214" s="76"/>
      <c r="E214" s="76"/>
      <c r="F214" s="76"/>
      <c r="G214" s="35"/>
      <c r="H214" s="70"/>
      <c r="I214" s="77"/>
      <c r="J214" s="77"/>
      <c r="K214" s="77"/>
      <c r="L214" s="77"/>
      <c r="M214" s="77"/>
      <c r="N214" s="62"/>
      <c r="O214" s="62"/>
      <c r="P214" s="63"/>
      <c r="Q214" s="63"/>
      <c r="R214" s="64"/>
      <c r="T214" s="33"/>
      <c r="U214" s="33"/>
      <c r="V214" s="33"/>
      <c r="W214" s="33"/>
      <c r="X214" s="33"/>
    </row>
    <row r="215" customFormat="false" ht="14.25" hidden="false" customHeight="true" outlineLevel="0" collapsed="false">
      <c r="B215" s="61"/>
      <c r="C215" s="68"/>
      <c r="D215" s="32"/>
      <c r="E215" s="32"/>
      <c r="F215" s="32"/>
      <c r="G215" s="69"/>
      <c r="H215" s="70"/>
      <c r="I215" s="77"/>
      <c r="J215" s="77"/>
      <c r="K215" s="77"/>
      <c r="L215" s="77"/>
      <c r="M215" s="77"/>
      <c r="N215" s="62"/>
      <c r="O215" s="62"/>
      <c r="P215" s="63"/>
      <c r="Q215" s="63"/>
      <c r="R215" s="64"/>
      <c r="T215" s="33"/>
      <c r="U215" s="33"/>
      <c r="V215" s="33"/>
      <c r="W215" s="33"/>
      <c r="X215" s="33"/>
    </row>
    <row r="216" customFormat="false" ht="14.25" hidden="false" customHeight="true" outlineLevel="0" collapsed="false">
      <c r="B216" s="66"/>
      <c r="C216" s="75"/>
      <c r="D216" s="76"/>
      <c r="E216" s="76"/>
      <c r="F216" s="76"/>
      <c r="G216" s="35"/>
      <c r="H216" s="70"/>
      <c r="I216" s="77"/>
      <c r="J216" s="77"/>
      <c r="K216" s="77"/>
      <c r="L216" s="77"/>
      <c r="M216" s="77"/>
      <c r="N216" s="62"/>
      <c r="O216" s="62"/>
      <c r="P216" s="63"/>
      <c r="Q216" s="63"/>
      <c r="R216" s="64"/>
      <c r="T216" s="33"/>
      <c r="U216" s="33"/>
      <c r="V216" s="33"/>
      <c r="W216" s="33"/>
      <c r="X216" s="33"/>
    </row>
    <row r="217" customFormat="false" ht="14.25" hidden="false" customHeight="true" outlineLevel="0" collapsed="false">
      <c r="B217" s="61"/>
      <c r="C217" s="68"/>
      <c r="D217" s="32"/>
      <c r="E217" s="32"/>
      <c r="F217" s="32"/>
      <c r="G217" s="69"/>
      <c r="H217" s="70"/>
      <c r="I217" s="77"/>
      <c r="J217" s="77"/>
      <c r="K217" s="77"/>
      <c r="L217" s="77"/>
      <c r="M217" s="77"/>
      <c r="N217" s="62"/>
      <c r="O217" s="62"/>
      <c r="P217" s="63"/>
      <c r="Q217" s="63"/>
      <c r="R217" s="64"/>
      <c r="T217" s="33"/>
      <c r="U217" s="33"/>
      <c r="V217" s="33"/>
      <c r="W217" s="33"/>
      <c r="X217" s="33"/>
    </row>
    <row r="218" customFormat="false" ht="14.25" hidden="false" customHeight="true" outlineLevel="0" collapsed="false">
      <c r="B218" s="66"/>
      <c r="C218" s="75"/>
      <c r="D218" s="76"/>
      <c r="E218" s="76"/>
      <c r="F218" s="76"/>
      <c r="G218" s="35"/>
      <c r="H218" s="70"/>
      <c r="I218" s="77"/>
      <c r="J218" s="77"/>
      <c r="K218" s="77"/>
      <c r="L218" s="77"/>
      <c r="M218" s="77"/>
      <c r="N218" s="62"/>
      <c r="O218" s="62"/>
      <c r="P218" s="63"/>
      <c r="Q218" s="63"/>
      <c r="R218" s="64"/>
      <c r="T218" s="33"/>
      <c r="U218" s="33"/>
      <c r="V218" s="33"/>
      <c r="W218" s="33"/>
      <c r="X218" s="33"/>
    </row>
    <row r="219" customFormat="false" ht="14.25" hidden="false" customHeight="true" outlineLevel="0" collapsed="false">
      <c r="B219" s="61"/>
      <c r="C219" s="68"/>
      <c r="D219" s="32"/>
      <c r="E219" s="32"/>
      <c r="F219" s="32"/>
      <c r="G219" s="69"/>
      <c r="H219" s="70"/>
      <c r="I219" s="77"/>
      <c r="J219" s="77"/>
      <c r="K219" s="77"/>
      <c r="L219" s="77"/>
      <c r="M219" s="77"/>
      <c r="N219" s="62"/>
      <c r="O219" s="62"/>
      <c r="P219" s="63"/>
      <c r="Q219" s="63"/>
      <c r="R219" s="64"/>
      <c r="T219" s="33"/>
      <c r="U219" s="33"/>
      <c r="V219" s="33"/>
      <c r="W219" s="33"/>
      <c r="X219" s="33"/>
    </row>
    <row r="220" customFormat="false" ht="14.25" hidden="false" customHeight="true" outlineLevel="0" collapsed="false">
      <c r="B220" s="66"/>
      <c r="C220" s="75"/>
      <c r="D220" s="76"/>
      <c r="E220" s="76"/>
      <c r="F220" s="76"/>
      <c r="G220" s="35"/>
      <c r="H220" s="70"/>
      <c r="I220" s="77"/>
      <c r="J220" s="77"/>
      <c r="K220" s="77"/>
      <c r="L220" s="77"/>
      <c r="M220" s="77"/>
      <c r="N220" s="62"/>
      <c r="O220" s="62"/>
      <c r="P220" s="63"/>
      <c r="Q220" s="63"/>
      <c r="R220" s="64"/>
      <c r="T220" s="33"/>
      <c r="U220" s="33"/>
      <c r="V220" s="33"/>
      <c r="W220" s="33"/>
      <c r="X220" s="33"/>
    </row>
    <row r="221" customFormat="false" ht="14.25" hidden="false" customHeight="true" outlineLevel="0" collapsed="false">
      <c r="B221" s="61"/>
      <c r="C221" s="68"/>
      <c r="D221" s="32"/>
      <c r="E221" s="32"/>
      <c r="F221" s="32"/>
      <c r="G221" s="69"/>
      <c r="H221" s="70"/>
      <c r="I221" s="77"/>
      <c r="J221" s="77"/>
      <c r="K221" s="77"/>
      <c r="L221" s="77"/>
      <c r="M221" s="77"/>
      <c r="N221" s="62"/>
      <c r="O221" s="62"/>
      <c r="P221" s="63"/>
      <c r="Q221" s="63"/>
      <c r="R221" s="64"/>
      <c r="T221" s="33"/>
      <c r="U221" s="33"/>
      <c r="V221" s="33"/>
      <c r="W221" s="33"/>
      <c r="X221" s="33"/>
    </row>
    <row r="222" customFormat="false" ht="14.25" hidden="false" customHeight="true" outlineLevel="0" collapsed="false">
      <c r="B222" s="66"/>
      <c r="C222" s="75"/>
      <c r="D222" s="76"/>
      <c r="E222" s="76"/>
      <c r="F222" s="76"/>
      <c r="G222" s="35"/>
      <c r="H222" s="70"/>
      <c r="I222" s="77"/>
      <c r="J222" s="77"/>
      <c r="K222" s="77"/>
      <c r="L222" s="77"/>
      <c r="M222" s="77"/>
      <c r="N222" s="62"/>
      <c r="O222" s="62"/>
      <c r="P222" s="63"/>
      <c r="Q222" s="63"/>
      <c r="R222" s="64"/>
      <c r="T222" s="33"/>
      <c r="U222" s="33"/>
      <c r="V222" s="33"/>
      <c r="W222" s="33"/>
      <c r="X222" s="33"/>
    </row>
    <row r="223" customFormat="false" ht="14.25" hidden="false" customHeight="true" outlineLevel="0" collapsed="false">
      <c r="B223" s="61"/>
      <c r="C223" s="68"/>
      <c r="D223" s="32"/>
      <c r="E223" s="32"/>
      <c r="F223" s="32"/>
      <c r="G223" s="69"/>
      <c r="H223" s="70"/>
      <c r="I223" s="77"/>
      <c r="J223" s="77"/>
      <c r="K223" s="77"/>
      <c r="L223" s="77"/>
      <c r="M223" s="77"/>
      <c r="N223" s="62"/>
      <c r="O223" s="62"/>
      <c r="P223" s="63"/>
      <c r="Q223" s="63"/>
      <c r="R223" s="64"/>
      <c r="T223" s="33"/>
      <c r="U223" s="33"/>
      <c r="V223" s="33"/>
      <c r="W223" s="33"/>
      <c r="X223" s="33"/>
    </row>
    <row r="224" customFormat="false" ht="14.25" hidden="false" customHeight="true" outlineLevel="0" collapsed="false">
      <c r="B224" s="66"/>
      <c r="C224" s="75"/>
      <c r="D224" s="76"/>
      <c r="E224" s="76"/>
      <c r="F224" s="76"/>
      <c r="G224" s="35"/>
      <c r="H224" s="70"/>
      <c r="I224" s="77"/>
      <c r="J224" s="77"/>
      <c r="K224" s="77"/>
      <c r="L224" s="77"/>
      <c r="M224" s="77"/>
      <c r="N224" s="62"/>
      <c r="O224" s="62"/>
      <c r="P224" s="63"/>
      <c r="Q224" s="63"/>
      <c r="R224" s="64"/>
      <c r="T224" s="33"/>
      <c r="U224" s="33"/>
      <c r="V224" s="33"/>
      <c r="W224" s="33"/>
      <c r="X224" s="33"/>
    </row>
    <row r="225" customFormat="false" ht="14.25" hidden="false" customHeight="true" outlineLevel="0" collapsed="false">
      <c r="B225" s="61"/>
      <c r="C225" s="68"/>
      <c r="D225" s="32"/>
      <c r="E225" s="32"/>
      <c r="F225" s="32"/>
      <c r="G225" s="69"/>
      <c r="H225" s="70"/>
      <c r="I225" s="77"/>
      <c r="J225" s="77"/>
      <c r="K225" s="77"/>
      <c r="L225" s="77"/>
      <c r="M225" s="77"/>
      <c r="N225" s="62"/>
      <c r="O225" s="62"/>
      <c r="P225" s="63"/>
      <c r="Q225" s="63"/>
      <c r="R225" s="64"/>
      <c r="T225" s="33"/>
      <c r="U225" s="33"/>
      <c r="V225" s="33"/>
      <c r="W225" s="33"/>
      <c r="X225" s="33"/>
    </row>
    <row r="226" customFormat="false" ht="14.25" hidden="false" customHeight="true" outlineLevel="0" collapsed="false">
      <c r="B226" s="66"/>
      <c r="C226" s="75"/>
      <c r="D226" s="76"/>
      <c r="E226" s="76"/>
      <c r="F226" s="76"/>
      <c r="G226" s="35"/>
      <c r="H226" s="70"/>
      <c r="I226" s="77"/>
      <c r="J226" s="77"/>
      <c r="K226" s="77"/>
      <c r="L226" s="77"/>
      <c r="M226" s="77"/>
      <c r="N226" s="62"/>
      <c r="O226" s="62"/>
      <c r="P226" s="63"/>
      <c r="Q226" s="63"/>
      <c r="R226" s="64"/>
      <c r="T226" s="33"/>
      <c r="U226" s="33"/>
      <c r="V226" s="33"/>
      <c r="W226" s="33"/>
      <c r="X226" s="33"/>
    </row>
    <row r="227" customFormat="false" ht="14.25" hidden="false" customHeight="true" outlineLevel="0" collapsed="false">
      <c r="B227" s="61"/>
      <c r="C227" s="68"/>
      <c r="D227" s="32"/>
      <c r="E227" s="32"/>
      <c r="F227" s="32"/>
      <c r="G227" s="69"/>
      <c r="H227" s="70"/>
      <c r="I227" s="77"/>
      <c r="J227" s="77"/>
      <c r="K227" s="77"/>
      <c r="L227" s="77"/>
      <c r="M227" s="77"/>
      <c r="N227" s="62"/>
      <c r="O227" s="62"/>
      <c r="P227" s="63"/>
      <c r="Q227" s="63"/>
      <c r="R227" s="64"/>
      <c r="T227" s="33"/>
      <c r="U227" s="33"/>
      <c r="V227" s="33"/>
      <c r="W227" s="33"/>
      <c r="X227" s="33"/>
    </row>
    <row r="228" customFormat="false" ht="14.25" hidden="false" customHeight="true" outlineLevel="0" collapsed="false">
      <c r="B228" s="66"/>
      <c r="C228" s="75"/>
      <c r="D228" s="76"/>
      <c r="E228" s="76"/>
      <c r="F228" s="76"/>
      <c r="G228" s="35"/>
      <c r="H228" s="70"/>
      <c r="I228" s="77"/>
      <c r="J228" s="77"/>
      <c r="K228" s="77"/>
      <c r="L228" s="77"/>
      <c r="M228" s="77"/>
      <c r="N228" s="62"/>
      <c r="O228" s="62"/>
      <c r="P228" s="63"/>
      <c r="Q228" s="63"/>
      <c r="R228" s="64"/>
      <c r="T228" s="33"/>
      <c r="U228" s="33"/>
      <c r="V228" s="33"/>
      <c r="W228" s="33"/>
      <c r="X228" s="33"/>
    </row>
    <row r="229" customFormat="false" ht="14.25" hidden="false" customHeight="true" outlineLevel="0" collapsed="false">
      <c r="B229" s="61"/>
      <c r="C229" s="68"/>
      <c r="D229" s="32"/>
      <c r="E229" s="32"/>
      <c r="F229" s="32"/>
      <c r="G229" s="69"/>
      <c r="H229" s="70"/>
      <c r="I229" s="77"/>
      <c r="J229" s="77"/>
      <c r="K229" s="77"/>
      <c r="L229" s="77"/>
      <c r="M229" s="77"/>
      <c r="N229" s="62"/>
      <c r="O229" s="62"/>
      <c r="P229" s="63"/>
      <c r="Q229" s="63"/>
      <c r="R229" s="64"/>
      <c r="T229" s="33"/>
      <c r="U229" s="33"/>
      <c r="V229" s="33"/>
      <c r="W229" s="33"/>
      <c r="X229" s="33"/>
    </row>
    <row r="230" customFormat="false" ht="14.25" hidden="false" customHeight="true" outlineLevel="0" collapsed="false">
      <c r="B230" s="66"/>
      <c r="C230" s="75"/>
      <c r="D230" s="76"/>
      <c r="E230" s="76"/>
      <c r="F230" s="76"/>
      <c r="G230" s="35"/>
      <c r="H230" s="70"/>
      <c r="I230" s="77"/>
      <c r="J230" s="77"/>
      <c r="K230" s="77"/>
      <c r="L230" s="77"/>
      <c r="M230" s="77"/>
      <c r="N230" s="62"/>
      <c r="O230" s="62"/>
      <c r="P230" s="63"/>
      <c r="Q230" s="63"/>
      <c r="R230" s="64"/>
      <c r="T230" s="33"/>
      <c r="U230" s="33"/>
      <c r="V230" s="33"/>
      <c r="W230" s="33"/>
      <c r="X230" s="33"/>
    </row>
    <row r="231" customFormat="false" ht="14.25" hidden="false" customHeight="true" outlineLevel="0" collapsed="false">
      <c r="B231" s="61"/>
      <c r="C231" s="68"/>
      <c r="D231" s="32"/>
      <c r="E231" s="32"/>
      <c r="F231" s="32"/>
      <c r="G231" s="69"/>
      <c r="H231" s="70"/>
      <c r="I231" s="77"/>
      <c r="J231" s="77"/>
      <c r="K231" s="77"/>
      <c r="L231" s="77"/>
      <c r="M231" s="77"/>
      <c r="N231" s="62"/>
      <c r="O231" s="62"/>
      <c r="P231" s="63"/>
      <c r="Q231" s="63"/>
      <c r="R231" s="64"/>
      <c r="T231" s="33"/>
      <c r="U231" s="33"/>
      <c r="V231" s="33"/>
      <c r="W231" s="33"/>
      <c r="X231" s="33"/>
    </row>
    <row r="232" customFormat="false" ht="14.25" hidden="false" customHeight="true" outlineLevel="0" collapsed="false">
      <c r="B232" s="66"/>
      <c r="C232" s="75"/>
      <c r="D232" s="76"/>
      <c r="E232" s="76"/>
      <c r="F232" s="76"/>
      <c r="G232" s="35"/>
      <c r="H232" s="70"/>
      <c r="I232" s="77"/>
      <c r="J232" s="77"/>
      <c r="K232" s="77"/>
      <c r="L232" s="77"/>
      <c r="M232" s="77"/>
      <c r="N232" s="62"/>
      <c r="O232" s="62"/>
      <c r="P232" s="63"/>
      <c r="Q232" s="63"/>
      <c r="R232" s="64"/>
      <c r="T232" s="33"/>
      <c r="U232" s="33"/>
      <c r="V232" s="33"/>
      <c r="W232" s="33"/>
      <c r="X232" s="33"/>
    </row>
    <row r="233" customFormat="false" ht="14.25" hidden="false" customHeight="true" outlineLevel="0" collapsed="false">
      <c r="B233" s="61"/>
      <c r="C233" s="68"/>
      <c r="D233" s="32"/>
      <c r="E233" s="32"/>
      <c r="F233" s="32"/>
      <c r="G233" s="69"/>
      <c r="H233" s="70"/>
      <c r="I233" s="77"/>
      <c r="J233" s="77"/>
      <c r="K233" s="77"/>
      <c r="L233" s="77"/>
      <c r="M233" s="77"/>
      <c r="N233" s="62"/>
      <c r="O233" s="62"/>
      <c r="P233" s="63"/>
      <c r="Q233" s="63"/>
      <c r="R233" s="64"/>
      <c r="T233" s="33"/>
      <c r="U233" s="33"/>
      <c r="V233" s="33"/>
      <c r="W233" s="33"/>
      <c r="X233" s="33"/>
    </row>
    <row r="234" customFormat="false" ht="14.25" hidden="false" customHeight="true" outlineLevel="0" collapsed="false">
      <c r="B234" s="66"/>
      <c r="C234" s="75"/>
      <c r="D234" s="76"/>
      <c r="E234" s="76"/>
      <c r="F234" s="76"/>
      <c r="G234" s="35"/>
      <c r="H234" s="70"/>
      <c r="I234" s="77"/>
      <c r="J234" s="77"/>
      <c r="K234" s="77"/>
      <c r="L234" s="77"/>
      <c r="M234" s="77"/>
      <c r="N234" s="62"/>
      <c r="O234" s="62"/>
      <c r="P234" s="63"/>
      <c r="Q234" s="63"/>
      <c r="R234" s="64"/>
      <c r="T234" s="33"/>
      <c r="U234" s="33"/>
      <c r="V234" s="33"/>
      <c r="W234" s="33"/>
      <c r="X234" s="33"/>
    </row>
    <row r="235" customFormat="false" ht="14.25" hidden="false" customHeight="true" outlineLevel="0" collapsed="false">
      <c r="B235" s="61"/>
      <c r="C235" s="68"/>
      <c r="D235" s="32"/>
      <c r="E235" s="32"/>
      <c r="F235" s="32"/>
      <c r="G235" s="69"/>
      <c r="H235" s="70"/>
      <c r="I235" s="77"/>
      <c r="J235" s="77"/>
      <c r="K235" s="77"/>
      <c r="L235" s="77"/>
      <c r="M235" s="77"/>
      <c r="N235" s="62"/>
      <c r="O235" s="62"/>
      <c r="P235" s="63"/>
      <c r="Q235" s="63"/>
      <c r="R235" s="64"/>
      <c r="T235" s="33"/>
      <c r="U235" s="33"/>
      <c r="V235" s="33"/>
      <c r="W235" s="33"/>
      <c r="X235" s="33"/>
    </row>
    <row r="236" customFormat="false" ht="14.25" hidden="false" customHeight="true" outlineLevel="0" collapsed="false">
      <c r="B236" s="66"/>
      <c r="C236" s="75"/>
      <c r="D236" s="76"/>
      <c r="E236" s="76"/>
      <c r="F236" s="76"/>
      <c r="G236" s="35"/>
      <c r="H236" s="70"/>
      <c r="I236" s="77"/>
      <c r="J236" s="77"/>
      <c r="K236" s="77"/>
      <c r="L236" s="77"/>
      <c r="M236" s="77"/>
      <c r="N236" s="62"/>
      <c r="O236" s="62"/>
      <c r="P236" s="63"/>
      <c r="Q236" s="63"/>
      <c r="R236" s="64"/>
      <c r="T236" s="33"/>
      <c r="U236" s="33"/>
      <c r="V236" s="33"/>
      <c r="W236" s="33"/>
      <c r="X236" s="33"/>
    </row>
    <row r="237" customFormat="false" ht="14.25" hidden="false" customHeight="true" outlineLevel="0" collapsed="false">
      <c r="B237" s="61"/>
      <c r="C237" s="68"/>
      <c r="D237" s="32"/>
      <c r="E237" s="32"/>
      <c r="F237" s="32"/>
      <c r="G237" s="69"/>
      <c r="H237" s="70"/>
      <c r="I237" s="77"/>
      <c r="J237" s="77"/>
      <c r="K237" s="77"/>
      <c r="L237" s="77"/>
      <c r="M237" s="77"/>
      <c r="N237" s="62"/>
      <c r="O237" s="62"/>
      <c r="P237" s="63"/>
      <c r="Q237" s="63"/>
      <c r="R237" s="64"/>
      <c r="T237" s="33"/>
      <c r="U237" s="33"/>
      <c r="V237" s="33"/>
      <c r="W237" s="33"/>
      <c r="X237" s="33"/>
    </row>
    <row r="238" customFormat="false" ht="14.25" hidden="false" customHeight="true" outlineLevel="0" collapsed="false">
      <c r="B238" s="66"/>
      <c r="C238" s="75"/>
      <c r="D238" s="76"/>
      <c r="E238" s="76"/>
      <c r="F238" s="76"/>
      <c r="G238" s="35"/>
      <c r="H238" s="70"/>
      <c r="I238" s="77"/>
      <c r="J238" s="77"/>
      <c r="K238" s="77"/>
      <c r="L238" s="77"/>
      <c r="M238" s="77"/>
      <c r="N238" s="62"/>
      <c r="O238" s="62"/>
      <c r="P238" s="63"/>
      <c r="Q238" s="63"/>
      <c r="R238" s="64"/>
      <c r="T238" s="33"/>
      <c r="U238" s="33"/>
      <c r="V238" s="33"/>
      <c r="W238" s="33"/>
      <c r="X238" s="33"/>
    </row>
    <row r="239" customFormat="false" ht="14.25" hidden="false" customHeight="true" outlineLevel="0" collapsed="false">
      <c r="B239" s="61"/>
      <c r="C239" s="68"/>
      <c r="D239" s="32"/>
      <c r="E239" s="32"/>
      <c r="F239" s="32"/>
      <c r="G239" s="69"/>
      <c r="H239" s="70"/>
      <c r="I239" s="77"/>
      <c r="J239" s="77"/>
      <c r="K239" s="77"/>
      <c r="L239" s="77"/>
      <c r="M239" s="77"/>
      <c r="N239" s="62"/>
      <c r="O239" s="62"/>
      <c r="P239" s="63"/>
      <c r="Q239" s="63"/>
      <c r="R239" s="64"/>
      <c r="T239" s="33"/>
      <c r="U239" s="33"/>
      <c r="V239" s="33"/>
      <c r="W239" s="33"/>
      <c r="X239" s="33"/>
    </row>
    <row r="240" customFormat="false" ht="14.25" hidden="false" customHeight="true" outlineLevel="0" collapsed="false">
      <c r="B240" s="66"/>
      <c r="C240" s="75"/>
      <c r="D240" s="76"/>
      <c r="E240" s="76"/>
      <c r="F240" s="76"/>
      <c r="G240" s="35"/>
      <c r="H240" s="70"/>
      <c r="I240" s="77"/>
      <c r="J240" s="77"/>
      <c r="K240" s="77"/>
      <c r="L240" s="77"/>
      <c r="M240" s="77"/>
      <c r="N240" s="62"/>
      <c r="O240" s="62"/>
      <c r="P240" s="63"/>
      <c r="Q240" s="63"/>
      <c r="R240" s="64"/>
      <c r="T240" s="33"/>
      <c r="U240" s="33"/>
      <c r="V240" s="33"/>
      <c r="W240" s="33"/>
      <c r="X240" s="33"/>
    </row>
    <row r="241" customFormat="false" ht="14.25" hidden="false" customHeight="true" outlineLevel="0" collapsed="false">
      <c r="B241" s="61"/>
      <c r="C241" s="68"/>
      <c r="D241" s="32"/>
      <c r="E241" s="32"/>
      <c r="F241" s="32"/>
      <c r="G241" s="69"/>
      <c r="H241" s="70"/>
      <c r="I241" s="77"/>
      <c r="J241" s="77"/>
      <c r="K241" s="77"/>
      <c r="L241" s="77"/>
      <c r="M241" s="77"/>
      <c r="N241" s="62"/>
      <c r="O241" s="62"/>
      <c r="P241" s="63"/>
      <c r="Q241" s="63"/>
      <c r="R241" s="64"/>
      <c r="T241" s="33"/>
      <c r="U241" s="33"/>
      <c r="V241" s="33"/>
      <c r="W241" s="33"/>
      <c r="X241" s="33"/>
    </row>
    <row r="242" customFormat="false" ht="14.25" hidden="false" customHeight="true" outlineLevel="0" collapsed="false">
      <c r="B242" s="66"/>
      <c r="C242" s="75"/>
      <c r="D242" s="76"/>
      <c r="E242" s="76"/>
      <c r="F242" s="76"/>
      <c r="G242" s="35"/>
      <c r="H242" s="70"/>
      <c r="I242" s="77"/>
      <c r="J242" s="77"/>
      <c r="K242" s="77"/>
      <c r="L242" s="77"/>
      <c r="M242" s="77"/>
      <c r="N242" s="62"/>
      <c r="O242" s="62"/>
      <c r="P242" s="63"/>
      <c r="Q242" s="63"/>
      <c r="R242" s="64"/>
      <c r="T242" s="33"/>
      <c r="U242" s="33"/>
      <c r="V242" s="33"/>
      <c r="W242" s="33"/>
      <c r="X242" s="33"/>
    </row>
    <row r="243" customFormat="false" ht="14.25" hidden="false" customHeight="true" outlineLevel="0" collapsed="false">
      <c r="B243" s="61"/>
      <c r="C243" s="68"/>
      <c r="D243" s="32"/>
      <c r="E243" s="32"/>
      <c r="F243" s="32"/>
      <c r="G243" s="69"/>
      <c r="H243" s="70"/>
      <c r="I243" s="77"/>
      <c r="J243" s="77"/>
      <c r="K243" s="77"/>
      <c r="L243" s="77"/>
      <c r="M243" s="77"/>
      <c r="N243" s="62"/>
      <c r="O243" s="62"/>
      <c r="P243" s="63"/>
      <c r="Q243" s="63"/>
      <c r="R243" s="64"/>
      <c r="T243" s="33"/>
      <c r="U243" s="33"/>
      <c r="V243" s="33"/>
      <c r="W243" s="33"/>
      <c r="X243" s="33"/>
    </row>
    <row r="244" customFormat="false" ht="14.25" hidden="false" customHeight="true" outlineLevel="0" collapsed="false">
      <c r="B244" s="66"/>
      <c r="C244" s="75"/>
      <c r="D244" s="76"/>
      <c r="E244" s="76"/>
      <c r="F244" s="76"/>
      <c r="G244" s="35"/>
      <c r="H244" s="70"/>
      <c r="I244" s="77"/>
      <c r="J244" s="77"/>
      <c r="K244" s="77"/>
      <c r="L244" s="77"/>
      <c r="M244" s="77"/>
      <c r="N244" s="62"/>
      <c r="O244" s="62"/>
      <c r="P244" s="63"/>
      <c r="Q244" s="63"/>
      <c r="R244" s="64"/>
      <c r="T244" s="33"/>
      <c r="U244" s="33"/>
      <c r="V244" s="33"/>
      <c r="W244" s="33"/>
      <c r="X244" s="33"/>
    </row>
    <row r="245" customFormat="false" ht="14.25" hidden="false" customHeight="true" outlineLevel="0" collapsed="false">
      <c r="B245" s="61"/>
      <c r="C245" s="68"/>
      <c r="D245" s="32"/>
      <c r="E245" s="32"/>
      <c r="F245" s="32"/>
      <c r="G245" s="69"/>
      <c r="H245" s="70"/>
      <c r="I245" s="77"/>
      <c r="J245" s="77"/>
      <c r="K245" s="77"/>
      <c r="L245" s="77"/>
      <c r="M245" s="77"/>
      <c r="N245" s="78"/>
      <c r="O245" s="78"/>
      <c r="P245" s="79"/>
      <c r="Q245" s="79"/>
      <c r="R245" s="80"/>
      <c r="T245" s="33"/>
      <c r="U245" s="33"/>
      <c r="V245" s="33"/>
      <c r="W245" s="33"/>
      <c r="X245" s="33"/>
    </row>
    <row r="246" customFormat="false" ht="14.25" hidden="false" customHeight="true" outlineLevel="0" collapsed="false">
      <c r="B246" s="66"/>
      <c r="C246" s="75"/>
      <c r="D246" s="76"/>
      <c r="E246" s="76"/>
      <c r="F246" s="76"/>
      <c r="G246" s="35"/>
      <c r="H246" s="70"/>
      <c r="I246" s="77"/>
      <c r="J246" s="77"/>
      <c r="K246" s="77"/>
      <c r="L246" s="77"/>
      <c r="M246" s="77"/>
      <c r="N246" s="81"/>
      <c r="O246" s="81"/>
      <c r="P246" s="59"/>
      <c r="Q246" s="59"/>
      <c r="R246" s="59"/>
      <c r="T246" s="33"/>
      <c r="U246" s="33"/>
      <c r="V246" s="33"/>
      <c r="W246" s="33"/>
      <c r="X246" s="33"/>
    </row>
    <row r="247" customFormat="false" ht="14.25" hidden="false" customHeight="true" outlineLevel="0" collapsed="false">
      <c r="A247" s="82"/>
      <c r="B247" s="30"/>
      <c r="C247" s="68"/>
      <c r="D247" s="32"/>
      <c r="E247" s="32"/>
      <c r="F247" s="32"/>
      <c r="G247" s="69"/>
      <c r="H247" s="70"/>
      <c r="I247" s="28"/>
      <c r="J247" s="28"/>
      <c r="K247" s="28"/>
      <c r="L247" s="28"/>
      <c r="M247" s="28"/>
      <c r="N247" s="83"/>
      <c r="O247" s="83"/>
      <c r="P247" s="84"/>
      <c r="Q247" s="84"/>
      <c r="R247" s="84"/>
      <c r="T247" s="33"/>
      <c r="U247" s="33"/>
      <c r="V247" s="33"/>
      <c r="W247" s="33"/>
      <c r="X247" s="33"/>
    </row>
    <row r="248" customFormat="false" ht="14.25" hidden="false" customHeight="true" outlineLevel="0" collapsed="false">
      <c r="B248" s="34"/>
      <c r="C248" s="75"/>
      <c r="D248" s="76"/>
      <c r="E248" s="76"/>
      <c r="F248" s="76"/>
      <c r="G248" s="35"/>
      <c r="H248" s="70"/>
      <c r="I248" s="34"/>
      <c r="J248" s="34"/>
      <c r="K248" s="34"/>
      <c r="L248" s="34"/>
      <c r="M248" s="34"/>
      <c r="N248" s="83"/>
      <c r="O248" s="83"/>
      <c r="P248" s="84"/>
      <c r="Q248" s="84"/>
      <c r="R248" s="84"/>
      <c r="T248" s="33"/>
      <c r="U248" s="33"/>
      <c r="V248" s="33"/>
      <c r="W248" s="33"/>
      <c r="X248" s="33"/>
    </row>
    <row r="249" customFormat="false" ht="14.25" hidden="false" customHeight="true" outlineLevel="0" collapsed="false">
      <c r="B249" s="30"/>
      <c r="C249" s="68"/>
      <c r="D249" s="32"/>
      <c r="E249" s="32"/>
      <c r="F249" s="32"/>
      <c r="G249" s="69"/>
      <c r="H249" s="70"/>
      <c r="I249" s="34"/>
      <c r="J249" s="34"/>
      <c r="K249" s="34"/>
      <c r="L249" s="34"/>
      <c r="M249" s="34"/>
      <c r="N249" s="83"/>
      <c r="O249" s="83"/>
      <c r="P249" s="84"/>
      <c r="Q249" s="84"/>
      <c r="R249" s="84"/>
      <c r="T249" s="33"/>
      <c r="U249" s="33"/>
      <c r="V249" s="33"/>
      <c r="W249" s="33"/>
      <c r="X249" s="33"/>
    </row>
    <row r="250" customFormat="false" ht="14.25" hidden="false" customHeight="true" outlineLevel="0" collapsed="false">
      <c r="B250" s="34"/>
      <c r="C250" s="75"/>
      <c r="D250" s="76"/>
      <c r="E250" s="76"/>
      <c r="F250" s="76"/>
      <c r="G250" s="35"/>
      <c r="H250" s="70"/>
      <c r="I250" s="34"/>
      <c r="J250" s="34"/>
      <c r="K250" s="34"/>
      <c r="L250" s="34"/>
      <c r="M250" s="34"/>
      <c r="N250" s="83"/>
      <c r="O250" s="83"/>
      <c r="P250" s="84"/>
      <c r="Q250" s="84"/>
      <c r="R250" s="84"/>
      <c r="T250" s="33"/>
      <c r="U250" s="33"/>
      <c r="V250" s="33"/>
      <c r="W250" s="33"/>
      <c r="X250" s="33"/>
    </row>
    <row r="251" customFormat="false" ht="14.25" hidden="false" customHeight="true" outlineLevel="0" collapsed="false">
      <c r="B251" s="30"/>
      <c r="C251" s="68"/>
      <c r="D251" s="32"/>
      <c r="E251" s="32"/>
      <c r="F251" s="32"/>
      <c r="G251" s="69"/>
      <c r="H251" s="70"/>
      <c r="I251" s="34"/>
      <c r="J251" s="34"/>
      <c r="K251" s="34"/>
      <c r="L251" s="34"/>
      <c r="M251" s="34"/>
      <c r="N251" s="83"/>
      <c r="O251" s="83"/>
      <c r="P251" s="84"/>
      <c r="Q251" s="84"/>
      <c r="R251" s="84"/>
      <c r="T251" s="33"/>
      <c r="U251" s="33"/>
      <c r="V251" s="33"/>
      <c r="W251" s="33"/>
      <c r="X251" s="33"/>
    </row>
    <row r="252" customFormat="false" ht="14.25" hidden="false" customHeight="true" outlineLevel="0" collapsed="false">
      <c r="B252" s="34"/>
      <c r="C252" s="75"/>
      <c r="D252" s="76"/>
      <c r="E252" s="76"/>
      <c r="F252" s="76"/>
      <c r="G252" s="35"/>
      <c r="H252" s="70"/>
      <c r="I252" s="34"/>
      <c r="J252" s="34"/>
      <c r="K252" s="34"/>
      <c r="L252" s="34"/>
      <c r="M252" s="34"/>
      <c r="N252" s="83"/>
      <c r="O252" s="83"/>
      <c r="P252" s="84"/>
      <c r="Q252" s="84"/>
      <c r="R252" s="84"/>
      <c r="T252" s="33"/>
      <c r="U252" s="33"/>
      <c r="V252" s="33"/>
      <c r="W252" s="33"/>
      <c r="X252" s="33"/>
    </row>
    <row r="253" customFormat="false" ht="14.25" hidden="false" customHeight="true" outlineLevel="0" collapsed="false">
      <c r="B253" s="30"/>
      <c r="C253" s="68"/>
      <c r="D253" s="32"/>
      <c r="E253" s="32"/>
      <c r="F253" s="32"/>
      <c r="G253" s="69"/>
      <c r="H253" s="70"/>
      <c r="I253" s="34"/>
      <c r="J253" s="34"/>
      <c r="K253" s="34"/>
      <c r="L253" s="34"/>
      <c r="M253" s="34"/>
      <c r="N253" s="83"/>
      <c r="O253" s="83"/>
      <c r="P253" s="84"/>
      <c r="Q253" s="84"/>
      <c r="R253" s="84"/>
      <c r="T253" s="33"/>
      <c r="U253" s="33"/>
      <c r="V253" s="33"/>
      <c r="W253" s="33"/>
      <c r="X253" s="33"/>
    </row>
    <row r="254" customFormat="false" ht="14.25" hidden="false" customHeight="true" outlineLevel="0" collapsed="false">
      <c r="B254" s="34"/>
      <c r="C254" s="75"/>
      <c r="D254" s="76"/>
      <c r="E254" s="76"/>
      <c r="F254" s="76"/>
      <c r="G254" s="35"/>
      <c r="H254" s="70"/>
      <c r="I254" s="34"/>
      <c r="J254" s="34"/>
      <c r="K254" s="34"/>
      <c r="L254" s="34"/>
      <c r="M254" s="34"/>
      <c r="N254" s="83"/>
      <c r="O254" s="83"/>
      <c r="P254" s="84"/>
      <c r="Q254" s="84"/>
      <c r="R254" s="84"/>
      <c r="T254" s="33"/>
      <c r="U254" s="33"/>
      <c r="V254" s="33"/>
      <c r="W254" s="33"/>
      <c r="X254" s="33"/>
    </row>
    <row r="255" customFormat="false" ht="14.25" hidden="false" customHeight="true" outlineLevel="0" collapsed="false">
      <c r="B255" s="30"/>
      <c r="C255" s="68"/>
      <c r="D255" s="32"/>
      <c r="E255" s="32"/>
      <c r="F255" s="32"/>
      <c r="G255" s="69"/>
      <c r="H255" s="70"/>
      <c r="I255" s="34"/>
      <c r="J255" s="34"/>
      <c r="K255" s="34"/>
      <c r="L255" s="34"/>
      <c r="M255" s="34"/>
      <c r="N255" s="83"/>
      <c r="O255" s="83"/>
      <c r="P255" s="84"/>
      <c r="Q255" s="84"/>
      <c r="R255" s="84"/>
      <c r="T255" s="33"/>
      <c r="U255" s="33"/>
      <c r="V255" s="33"/>
      <c r="W255" s="33"/>
      <c r="X255" s="33"/>
    </row>
    <row r="256" customFormat="false" ht="14.25" hidden="false" customHeight="true" outlineLevel="0" collapsed="false">
      <c r="B256" s="34"/>
      <c r="C256" s="75"/>
      <c r="D256" s="76"/>
      <c r="E256" s="76"/>
      <c r="F256" s="76"/>
      <c r="G256" s="35"/>
      <c r="H256" s="70"/>
      <c r="I256" s="34"/>
      <c r="J256" s="34"/>
      <c r="K256" s="34"/>
      <c r="L256" s="34"/>
      <c r="M256" s="34"/>
      <c r="N256" s="83"/>
      <c r="O256" s="83"/>
      <c r="P256" s="84"/>
      <c r="Q256" s="84"/>
      <c r="R256" s="84"/>
      <c r="T256" s="33"/>
      <c r="U256" s="33"/>
      <c r="V256" s="33"/>
      <c r="W256" s="33"/>
      <c r="X256" s="33"/>
    </row>
    <row r="257" customFormat="false" ht="14.25" hidden="false" customHeight="true" outlineLevel="0" collapsed="false">
      <c r="B257" s="30"/>
      <c r="C257" s="68"/>
      <c r="D257" s="32"/>
      <c r="E257" s="32"/>
      <c r="F257" s="32"/>
      <c r="G257" s="69"/>
      <c r="H257" s="70"/>
      <c r="I257" s="34"/>
      <c r="J257" s="34"/>
      <c r="K257" s="34"/>
      <c r="L257" s="34"/>
      <c r="M257" s="34"/>
      <c r="N257" s="83"/>
      <c r="O257" s="83"/>
      <c r="P257" s="84"/>
      <c r="Q257" s="84"/>
      <c r="R257" s="84"/>
      <c r="T257" s="33"/>
      <c r="U257" s="33"/>
      <c r="V257" s="33"/>
      <c r="W257" s="33"/>
      <c r="X257" s="33"/>
    </row>
    <row r="258" customFormat="false" ht="14.25" hidden="false" customHeight="true" outlineLevel="0" collapsed="false">
      <c r="B258" s="34"/>
      <c r="C258" s="75"/>
      <c r="D258" s="76"/>
      <c r="E258" s="76"/>
      <c r="F258" s="76"/>
      <c r="G258" s="35"/>
      <c r="H258" s="70"/>
      <c r="I258" s="34"/>
      <c r="J258" s="34"/>
      <c r="K258" s="34"/>
      <c r="L258" s="34"/>
      <c r="M258" s="34"/>
      <c r="N258" s="83"/>
      <c r="O258" s="83"/>
      <c r="P258" s="84"/>
      <c r="Q258" s="84"/>
      <c r="R258" s="84"/>
      <c r="T258" s="33"/>
      <c r="U258" s="33"/>
      <c r="V258" s="33"/>
      <c r="W258" s="33"/>
      <c r="X258" s="33"/>
    </row>
    <row r="259" customFormat="false" ht="14.25" hidden="false" customHeight="true" outlineLevel="0" collapsed="false">
      <c r="B259" s="30"/>
      <c r="C259" s="68"/>
      <c r="D259" s="32"/>
      <c r="E259" s="32"/>
      <c r="F259" s="32"/>
      <c r="G259" s="69"/>
      <c r="H259" s="70"/>
      <c r="I259" s="34"/>
      <c r="J259" s="34"/>
      <c r="K259" s="34"/>
      <c r="L259" s="34"/>
      <c r="M259" s="34"/>
      <c r="N259" s="83"/>
      <c r="O259" s="83"/>
      <c r="P259" s="84"/>
      <c r="Q259" s="84"/>
      <c r="R259" s="84"/>
      <c r="T259" s="33"/>
      <c r="U259" s="33"/>
      <c r="V259" s="33"/>
      <c r="W259" s="33"/>
      <c r="X259" s="33"/>
    </row>
    <row r="260" customFormat="false" ht="14.25" hidden="false" customHeight="true" outlineLevel="0" collapsed="false">
      <c r="B260" s="34"/>
      <c r="C260" s="75"/>
      <c r="D260" s="76"/>
      <c r="E260" s="76"/>
      <c r="F260" s="76"/>
      <c r="G260" s="35"/>
      <c r="H260" s="70"/>
      <c r="I260" s="34"/>
      <c r="J260" s="34"/>
      <c r="K260" s="34"/>
      <c r="L260" s="34"/>
      <c r="M260" s="34"/>
      <c r="N260" s="83"/>
      <c r="O260" s="83"/>
      <c r="P260" s="84"/>
      <c r="Q260" s="84"/>
      <c r="R260" s="84"/>
      <c r="T260" s="33"/>
      <c r="U260" s="33"/>
      <c r="V260" s="33"/>
      <c r="W260" s="33"/>
      <c r="X260" s="33"/>
    </row>
    <row r="261" customFormat="false" ht="14.25" hidden="false" customHeight="true" outlineLevel="0" collapsed="false">
      <c r="B261" s="30"/>
      <c r="C261" s="68"/>
      <c r="D261" s="32"/>
      <c r="E261" s="32"/>
      <c r="F261" s="32"/>
      <c r="G261" s="69"/>
      <c r="H261" s="70"/>
      <c r="I261" s="34"/>
      <c r="J261" s="34"/>
      <c r="K261" s="34"/>
      <c r="L261" s="34"/>
      <c r="M261" s="34"/>
      <c r="N261" s="83"/>
      <c r="O261" s="83"/>
      <c r="P261" s="84"/>
      <c r="Q261" s="84"/>
      <c r="R261" s="84"/>
      <c r="T261" s="33"/>
      <c r="U261" s="33"/>
      <c r="V261" s="33"/>
      <c r="W261" s="33"/>
      <c r="X261" s="33"/>
    </row>
    <row r="262" customFormat="false" ht="14.25" hidden="false" customHeight="true" outlineLevel="0" collapsed="false">
      <c r="B262" s="34"/>
      <c r="C262" s="75"/>
      <c r="D262" s="76"/>
      <c r="E262" s="76"/>
      <c r="F262" s="76"/>
      <c r="G262" s="35"/>
      <c r="H262" s="70"/>
      <c r="I262" s="34"/>
      <c r="J262" s="34"/>
      <c r="K262" s="34"/>
      <c r="L262" s="34"/>
      <c r="M262" s="34"/>
      <c r="N262" s="83"/>
      <c r="O262" s="83"/>
      <c r="P262" s="84"/>
      <c r="Q262" s="84"/>
      <c r="R262" s="84"/>
      <c r="T262" s="33"/>
      <c r="U262" s="33"/>
      <c r="V262" s="33"/>
      <c r="W262" s="33"/>
      <c r="X262" s="33"/>
    </row>
    <row r="263" customFormat="false" ht="14.25" hidden="false" customHeight="true" outlineLevel="0" collapsed="false">
      <c r="B263" s="30"/>
      <c r="C263" s="68"/>
      <c r="D263" s="32"/>
      <c r="E263" s="32"/>
      <c r="F263" s="32"/>
      <c r="G263" s="69"/>
      <c r="H263" s="70"/>
      <c r="I263" s="34"/>
      <c r="J263" s="34"/>
      <c r="K263" s="34"/>
      <c r="L263" s="34"/>
      <c r="M263" s="34"/>
      <c r="N263" s="83"/>
      <c r="O263" s="83"/>
      <c r="P263" s="84"/>
      <c r="Q263" s="84"/>
      <c r="R263" s="84"/>
      <c r="T263" s="33"/>
      <c r="U263" s="33"/>
      <c r="V263" s="33"/>
      <c r="W263" s="33"/>
      <c r="X263" s="33"/>
    </row>
    <row r="264" customFormat="false" ht="14.25" hidden="false" customHeight="true" outlineLevel="0" collapsed="false">
      <c r="B264" s="34"/>
      <c r="C264" s="75"/>
      <c r="D264" s="76"/>
      <c r="E264" s="76"/>
      <c r="F264" s="76"/>
      <c r="G264" s="35"/>
      <c r="H264" s="70"/>
      <c r="I264" s="34"/>
      <c r="J264" s="34"/>
      <c r="K264" s="34"/>
      <c r="L264" s="34"/>
      <c r="M264" s="34"/>
      <c r="N264" s="83"/>
      <c r="O264" s="83"/>
      <c r="P264" s="84"/>
      <c r="Q264" s="84"/>
      <c r="R264" s="84"/>
      <c r="T264" s="33"/>
      <c r="U264" s="33"/>
      <c r="V264" s="33"/>
      <c r="W264" s="33"/>
      <c r="X264" s="33"/>
    </row>
    <row r="265" customFormat="false" ht="14.25" hidden="false" customHeight="true" outlineLevel="0" collapsed="false">
      <c r="B265" s="30"/>
      <c r="C265" s="68"/>
      <c r="D265" s="32"/>
      <c r="E265" s="32"/>
      <c r="F265" s="32"/>
      <c r="G265" s="69"/>
      <c r="H265" s="70"/>
      <c r="I265" s="34"/>
      <c r="J265" s="34"/>
      <c r="K265" s="34"/>
      <c r="L265" s="34"/>
      <c r="M265" s="34"/>
      <c r="N265" s="83"/>
      <c r="O265" s="83"/>
      <c r="P265" s="84"/>
      <c r="Q265" s="84"/>
      <c r="R265" s="84"/>
      <c r="T265" s="33"/>
      <c r="U265" s="33"/>
      <c r="V265" s="33"/>
      <c r="W265" s="33"/>
      <c r="X265" s="33"/>
    </row>
    <row r="266" customFormat="false" ht="14.25" hidden="false" customHeight="true" outlineLevel="0" collapsed="false">
      <c r="B266" s="34"/>
      <c r="C266" s="75"/>
      <c r="D266" s="76"/>
      <c r="E266" s="76"/>
      <c r="F266" s="76"/>
      <c r="G266" s="35"/>
      <c r="H266" s="70"/>
      <c r="I266" s="34"/>
      <c r="J266" s="34"/>
      <c r="K266" s="34"/>
      <c r="L266" s="34"/>
      <c r="M266" s="34"/>
      <c r="N266" s="83"/>
      <c r="O266" s="83"/>
      <c r="P266" s="84"/>
      <c r="Q266" s="84"/>
      <c r="R266" s="84"/>
      <c r="T266" s="33"/>
      <c r="U266" s="33"/>
      <c r="V266" s="33"/>
      <c r="W266" s="33"/>
      <c r="X266" s="33"/>
    </row>
    <row r="267" customFormat="false" ht="14.25" hidden="false" customHeight="true" outlineLevel="0" collapsed="false">
      <c r="B267" s="30"/>
      <c r="C267" s="68"/>
      <c r="D267" s="32"/>
      <c r="E267" s="32"/>
      <c r="F267" s="32"/>
      <c r="G267" s="69"/>
      <c r="H267" s="70"/>
      <c r="I267" s="34"/>
      <c r="J267" s="34"/>
      <c r="K267" s="34"/>
      <c r="L267" s="34"/>
      <c r="M267" s="34"/>
      <c r="N267" s="83"/>
      <c r="O267" s="83"/>
      <c r="P267" s="84"/>
      <c r="Q267" s="84"/>
      <c r="R267" s="84"/>
      <c r="T267" s="33"/>
      <c r="U267" s="33"/>
      <c r="V267" s="33"/>
      <c r="W267" s="33"/>
      <c r="X267" s="33"/>
    </row>
    <row r="268" customFormat="false" ht="14.25" hidden="false" customHeight="true" outlineLevel="0" collapsed="false">
      <c r="B268" s="34"/>
      <c r="C268" s="75"/>
      <c r="D268" s="76"/>
      <c r="E268" s="76"/>
      <c r="F268" s="76"/>
      <c r="G268" s="35"/>
      <c r="H268" s="70"/>
      <c r="I268" s="34"/>
      <c r="J268" s="34"/>
      <c r="K268" s="34"/>
      <c r="L268" s="34"/>
      <c r="M268" s="34"/>
      <c r="N268" s="83"/>
      <c r="O268" s="83"/>
      <c r="P268" s="84"/>
      <c r="Q268" s="84"/>
      <c r="R268" s="84"/>
      <c r="T268" s="33"/>
      <c r="U268" s="33"/>
      <c r="V268" s="33"/>
      <c r="W268" s="33"/>
      <c r="X268" s="33"/>
    </row>
    <row r="269" customFormat="false" ht="14.25" hidden="false" customHeight="true" outlineLevel="0" collapsed="false">
      <c r="B269" s="30"/>
      <c r="C269" s="68"/>
      <c r="D269" s="32"/>
      <c r="E269" s="32"/>
      <c r="F269" s="32"/>
      <c r="G269" s="69"/>
      <c r="H269" s="70"/>
      <c r="I269" s="34"/>
      <c r="J269" s="34"/>
      <c r="K269" s="34"/>
      <c r="L269" s="34"/>
      <c r="M269" s="34"/>
      <c r="N269" s="83"/>
      <c r="O269" s="83"/>
      <c r="P269" s="84"/>
      <c r="Q269" s="84"/>
      <c r="R269" s="84"/>
      <c r="T269" s="33"/>
      <c r="U269" s="33"/>
      <c r="V269" s="33"/>
      <c r="W269" s="33"/>
      <c r="X269" s="33"/>
    </row>
    <row r="270" customFormat="false" ht="14.25" hidden="false" customHeight="true" outlineLevel="0" collapsed="false">
      <c r="B270" s="34"/>
      <c r="C270" s="75"/>
      <c r="D270" s="76"/>
      <c r="E270" s="76"/>
      <c r="F270" s="76"/>
      <c r="G270" s="35"/>
      <c r="H270" s="70"/>
      <c r="I270" s="34"/>
      <c r="J270" s="34"/>
      <c r="K270" s="34"/>
      <c r="L270" s="34"/>
      <c r="M270" s="34"/>
      <c r="N270" s="83"/>
      <c r="O270" s="83"/>
      <c r="P270" s="84"/>
      <c r="Q270" s="84"/>
      <c r="R270" s="84"/>
      <c r="T270" s="33"/>
      <c r="U270" s="33"/>
      <c r="V270" s="33"/>
      <c r="W270" s="33"/>
      <c r="X270" s="33"/>
    </row>
    <row r="271" customFormat="false" ht="14.25" hidden="false" customHeight="true" outlineLevel="0" collapsed="false">
      <c r="B271" s="30"/>
      <c r="C271" s="68"/>
      <c r="D271" s="32"/>
      <c r="E271" s="32"/>
      <c r="F271" s="32"/>
      <c r="G271" s="69"/>
      <c r="H271" s="70"/>
      <c r="I271" s="34"/>
      <c r="J271" s="34"/>
      <c r="K271" s="34"/>
      <c r="L271" s="34"/>
      <c r="M271" s="34"/>
      <c r="N271" s="83"/>
      <c r="O271" s="83"/>
      <c r="P271" s="84"/>
      <c r="Q271" s="84"/>
      <c r="R271" s="84"/>
      <c r="T271" s="33"/>
      <c r="U271" s="33"/>
      <c r="V271" s="33"/>
      <c r="W271" s="33"/>
      <c r="X271" s="33"/>
    </row>
    <row r="272" customFormat="false" ht="14.25" hidden="false" customHeight="true" outlineLevel="0" collapsed="false">
      <c r="B272" s="34"/>
      <c r="C272" s="75"/>
      <c r="D272" s="76"/>
      <c r="E272" s="76"/>
      <c r="F272" s="76"/>
      <c r="G272" s="35"/>
      <c r="H272" s="70"/>
      <c r="I272" s="34"/>
      <c r="J272" s="34"/>
      <c r="K272" s="34"/>
      <c r="L272" s="34"/>
      <c r="M272" s="34"/>
      <c r="N272" s="83"/>
      <c r="O272" s="83"/>
      <c r="P272" s="84"/>
      <c r="Q272" s="84"/>
      <c r="R272" s="84"/>
      <c r="T272" s="33"/>
      <c r="U272" s="33"/>
      <c r="V272" s="33"/>
      <c r="W272" s="33"/>
      <c r="X272" s="33"/>
    </row>
    <row r="273" customFormat="false" ht="14.25" hidden="false" customHeight="true" outlineLevel="0" collapsed="false">
      <c r="B273" s="30"/>
      <c r="C273" s="68"/>
      <c r="D273" s="32"/>
      <c r="E273" s="32"/>
      <c r="F273" s="32"/>
      <c r="G273" s="69"/>
      <c r="H273" s="70"/>
      <c r="I273" s="34"/>
      <c r="J273" s="34"/>
      <c r="K273" s="34"/>
      <c r="L273" s="34"/>
      <c r="M273" s="34"/>
      <c r="N273" s="83"/>
      <c r="O273" s="83"/>
      <c r="P273" s="84"/>
      <c r="Q273" s="84"/>
      <c r="R273" s="84"/>
      <c r="T273" s="33"/>
      <c r="U273" s="33"/>
      <c r="V273" s="33"/>
      <c r="W273" s="33"/>
      <c r="X273" s="33"/>
    </row>
    <row r="274" customFormat="false" ht="14.25" hidden="false" customHeight="true" outlineLevel="0" collapsed="false">
      <c r="B274" s="34"/>
      <c r="C274" s="75"/>
      <c r="D274" s="76"/>
      <c r="E274" s="76"/>
      <c r="F274" s="76"/>
      <c r="G274" s="35"/>
      <c r="H274" s="70"/>
      <c r="I274" s="34"/>
      <c r="J274" s="34"/>
      <c r="K274" s="34"/>
      <c r="L274" s="34"/>
      <c r="M274" s="34"/>
      <c r="N274" s="83"/>
      <c r="O274" s="83"/>
      <c r="P274" s="84"/>
      <c r="Q274" s="84"/>
      <c r="R274" s="84"/>
      <c r="T274" s="33"/>
      <c r="U274" s="33"/>
      <c r="V274" s="33"/>
      <c r="W274" s="33"/>
      <c r="X274" s="33"/>
    </row>
    <row r="275" customFormat="false" ht="14.25" hidden="false" customHeight="true" outlineLevel="0" collapsed="false">
      <c r="B275" s="30"/>
      <c r="C275" s="68"/>
      <c r="D275" s="32"/>
      <c r="E275" s="32"/>
      <c r="F275" s="32"/>
      <c r="G275" s="69"/>
      <c r="H275" s="70"/>
      <c r="I275" s="34"/>
      <c r="J275" s="34"/>
      <c r="K275" s="34"/>
      <c r="L275" s="34"/>
      <c r="M275" s="34"/>
      <c r="N275" s="83"/>
      <c r="O275" s="83"/>
      <c r="P275" s="84"/>
      <c r="Q275" s="84"/>
      <c r="R275" s="84"/>
      <c r="T275" s="33"/>
      <c r="U275" s="33"/>
      <c r="V275" s="33"/>
      <c r="W275" s="33"/>
      <c r="X275" s="33"/>
    </row>
    <row r="276" customFormat="false" ht="14.25" hidden="false" customHeight="true" outlineLevel="0" collapsed="false">
      <c r="B276" s="34"/>
      <c r="C276" s="75"/>
      <c r="D276" s="76"/>
      <c r="E276" s="76"/>
      <c r="F276" s="76"/>
      <c r="G276" s="35"/>
      <c r="H276" s="70"/>
      <c r="I276" s="34"/>
      <c r="J276" s="34"/>
      <c r="K276" s="34"/>
      <c r="L276" s="34"/>
      <c r="M276" s="34"/>
      <c r="N276" s="83"/>
      <c r="O276" s="83"/>
      <c r="P276" s="84"/>
      <c r="Q276" s="84"/>
      <c r="R276" s="84"/>
      <c r="T276" s="33"/>
      <c r="U276" s="33"/>
      <c r="V276" s="33"/>
      <c r="W276" s="33"/>
      <c r="X276" s="33"/>
    </row>
    <row r="277" customFormat="false" ht="14.25" hidden="false" customHeight="true" outlineLevel="0" collapsed="false">
      <c r="B277" s="30"/>
      <c r="C277" s="68"/>
      <c r="D277" s="32"/>
      <c r="E277" s="32"/>
      <c r="F277" s="32"/>
      <c r="G277" s="69"/>
      <c r="H277" s="70"/>
      <c r="I277" s="34"/>
      <c r="J277" s="34"/>
      <c r="K277" s="34"/>
      <c r="L277" s="34"/>
      <c r="M277" s="34"/>
      <c r="N277" s="83"/>
      <c r="O277" s="83"/>
      <c r="P277" s="84"/>
      <c r="Q277" s="84"/>
      <c r="R277" s="84"/>
      <c r="T277" s="33"/>
      <c r="U277" s="33"/>
      <c r="V277" s="33"/>
      <c r="W277" s="33"/>
      <c r="X277" s="33"/>
    </row>
    <row r="278" customFormat="false" ht="14.25" hidden="false" customHeight="true" outlineLevel="0" collapsed="false">
      <c r="B278" s="34"/>
      <c r="C278" s="75"/>
      <c r="D278" s="76"/>
      <c r="E278" s="76"/>
      <c r="F278" s="76"/>
      <c r="G278" s="35"/>
      <c r="H278" s="70"/>
      <c r="I278" s="34"/>
      <c r="J278" s="34"/>
      <c r="K278" s="34"/>
      <c r="L278" s="34"/>
      <c r="M278" s="34"/>
      <c r="N278" s="83"/>
      <c r="O278" s="83"/>
      <c r="P278" s="84"/>
      <c r="Q278" s="84"/>
      <c r="R278" s="84"/>
      <c r="T278" s="33"/>
      <c r="U278" s="33"/>
      <c r="V278" s="33"/>
      <c r="W278" s="33"/>
      <c r="X278" s="33"/>
    </row>
    <row r="279" customFormat="false" ht="14.25" hidden="false" customHeight="true" outlineLevel="0" collapsed="false">
      <c r="B279" s="30"/>
      <c r="C279" s="68"/>
      <c r="D279" s="32"/>
      <c r="E279" s="32"/>
      <c r="F279" s="32"/>
      <c r="G279" s="69"/>
      <c r="H279" s="70"/>
      <c r="I279" s="34"/>
      <c r="J279" s="34"/>
      <c r="K279" s="34"/>
      <c r="L279" s="34"/>
      <c r="M279" s="34"/>
      <c r="N279" s="83"/>
      <c r="O279" s="83"/>
      <c r="P279" s="84"/>
      <c r="Q279" s="84"/>
      <c r="R279" s="84"/>
      <c r="T279" s="33"/>
      <c r="U279" s="33"/>
      <c r="V279" s="33"/>
      <c r="W279" s="33"/>
      <c r="X279" s="33"/>
    </row>
    <row r="280" customFormat="false" ht="14.25" hidden="false" customHeight="true" outlineLevel="0" collapsed="false">
      <c r="B280" s="34"/>
      <c r="C280" s="75"/>
      <c r="D280" s="76"/>
      <c r="E280" s="76"/>
      <c r="F280" s="76"/>
      <c r="G280" s="35"/>
      <c r="H280" s="70"/>
      <c r="I280" s="34"/>
      <c r="J280" s="34"/>
      <c r="K280" s="34"/>
      <c r="L280" s="34"/>
      <c r="M280" s="34"/>
      <c r="N280" s="83"/>
      <c r="O280" s="83"/>
      <c r="P280" s="84"/>
      <c r="Q280" s="84"/>
      <c r="R280" s="84"/>
      <c r="T280" s="33"/>
      <c r="U280" s="33"/>
      <c r="V280" s="33"/>
      <c r="W280" s="33"/>
      <c r="X280" s="33"/>
    </row>
    <row r="281" customFormat="false" ht="14.25" hidden="false" customHeight="true" outlineLevel="0" collapsed="false">
      <c r="B281" s="30"/>
      <c r="C281" s="68"/>
      <c r="D281" s="32"/>
      <c r="E281" s="32"/>
      <c r="F281" s="32"/>
      <c r="G281" s="69"/>
      <c r="H281" s="70"/>
      <c r="I281" s="34"/>
      <c r="J281" s="34"/>
      <c r="K281" s="34"/>
      <c r="L281" s="34"/>
      <c r="M281" s="34"/>
      <c r="N281" s="83"/>
      <c r="O281" s="83"/>
      <c r="P281" s="84"/>
      <c r="Q281" s="84"/>
      <c r="R281" s="84"/>
      <c r="T281" s="33"/>
      <c r="U281" s="33"/>
      <c r="V281" s="33"/>
      <c r="W281" s="33"/>
      <c r="X281" s="33"/>
    </row>
    <row r="282" customFormat="false" ht="14.25" hidden="false" customHeight="true" outlineLevel="0" collapsed="false">
      <c r="B282" s="34"/>
      <c r="C282" s="75"/>
      <c r="D282" s="76"/>
      <c r="E282" s="76"/>
      <c r="F282" s="76"/>
      <c r="G282" s="35"/>
      <c r="H282" s="70"/>
      <c r="I282" s="34"/>
      <c r="J282" s="34"/>
      <c r="K282" s="34"/>
      <c r="L282" s="34"/>
      <c r="M282" s="34"/>
      <c r="N282" s="83"/>
      <c r="O282" s="83"/>
      <c r="P282" s="84"/>
      <c r="Q282" s="84"/>
      <c r="R282" s="84"/>
      <c r="T282" s="33"/>
      <c r="U282" s="33"/>
      <c r="V282" s="33"/>
      <c r="W282" s="33"/>
      <c r="X282" s="33"/>
    </row>
    <row r="283" customFormat="false" ht="14.25" hidden="false" customHeight="true" outlineLevel="0" collapsed="false">
      <c r="B283" s="30"/>
      <c r="C283" s="68"/>
      <c r="D283" s="32"/>
      <c r="E283" s="32"/>
      <c r="F283" s="32"/>
      <c r="G283" s="69"/>
      <c r="H283" s="70"/>
      <c r="I283" s="34"/>
      <c r="J283" s="34"/>
      <c r="K283" s="34"/>
      <c r="L283" s="34"/>
      <c r="M283" s="34"/>
      <c r="N283" s="83"/>
      <c r="O283" s="83"/>
      <c r="P283" s="84"/>
      <c r="Q283" s="84"/>
      <c r="R283" s="84"/>
      <c r="T283" s="33"/>
      <c r="U283" s="33"/>
      <c r="V283" s="33"/>
      <c r="W283" s="33"/>
      <c r="X283" s="33"/>
    </row>
    <row r="284" customFormat="false" ht="14.25" hidden="false" customHeight="true" outlineLevel="0" collapsed="false">
      <c r="B284" s="34"/>
      <c r="C284" s="75"/>
      <c r="D284" s="76"/>
      <c r="E284" s="76"/>
      <c r="F284" s="76"/>
      <c r="G284" s="35"/>
      <c r="H284" s="70"/>
      <c r="I284" s="34"/>
      <c r="J284" s="34"/>
      <c r="K284" s="34"/>
      <c r="L284" s="34"/>
      <c r="M284" s="34"/>
      <c r="N284" s="83"/>
      <c r="O284" s="83"/>
      <c r="P284" s="84"/>
      <c r="Q284" s="84"/>
      <c r="R284" s="84"/>
      <c r="T284" s="33"/>
      <c r="U284" s="33"/>
      <c r="V284" s="33"/>
      <c r="W284" s="33"/>
      <c r="X284" s="33"/>
    </row>
    <row r="285" customFormat="false" ht="14.25" hidden="false" customHeight="true" outlineLevel="0" collapsed="false">
      <c r="B285" s="30"/>
      <c r="C285" s="68"/>
      <c r="D285" s="32"/>
      <c r="E285" s="32"/>
      <c r="F285" s="32"/>
      <c r="G285" s="69"/>
      <c r="H285" s="70"/>
      <c r="I285" s="34"/>
      <c r="J285" s="34"/>
      <c r="K285" s="34"/>
      <c r="L285" s="34"/>
      <c r="M285" s="34"/>
      <c r="N285" s="83"/>
      <c r="O285" s="83"/>
      <c r="P285" s="84"/>
      <c r="Q285" s="84"/>
      <c r="R285" s="84"/>
      <c r="T285" s="33"/>
      <c r="U285" s="33"/>
      <c r="V285" s="33"/>
      <c r="W285" s="33"/>
      <c r="X285" s="33"/>
    </row>
    <row r="286" customFormat="false" ht="14.25" hidden="false" customHeight="true" outlineLevel="0" collapsed="false">
      <c r="B286" s="34"/>
      <c r="C286" s="75"/>
      <c r="D286" s="76"/>
      <c r="E286" s="76"/>
      <c r="F286" s="76"/>
      <c r="G286" s="35"/>
      <c r="H286" s="70"/>
      <c r="I286" s="34"/>
      <c r="J286" s="34"/>
      <c r="K286" s="34"/>
      <c r="L286" s="34"/>
      <c r="M286" s="34"/>
      <c r="N286" s="83"/>
      <c r="O286" s="83"/>
      <c r="P286" s="84"/>
      <c r="Q286" s="84"/>
      <c r="R286" s="84"/>
      <c r="T286" s="33"/>
      <c r="U286" s="33"/>
      <c r="V286" s="33"/>
      <c r="W286" s="33"/>
      <c r="X286" s="33"/>
    </row>
    <row r="287" customFormat="false" ht="14.25" hidden="false" customHeight="true" outlineLevel="0" collapsed="false">
      <c r="B287" s="30"/>
      <c r="C287" s="68"/>
      <c r="D287" s="32"/>
      <c r="E287" s="32"/>
      <c r="F287" s="32"/>
      <c r="G287" s="69"/>
      <c r="H287" s="70"/>
      <c r="I287" s="34"/>
      <c r="J287" s="34"/>
      <c r="K287" s="34"/>
      <c r="L287" s="34"/>
      <c r="M287" s="34"/>
      <c r="N287" s="83"/>
      <c r="O287" s="83"/>
      <c r="P287" s="84"/>
      <c r="Q287" s="84"/>
      <c r="R287" s="84"/>
      <c r="T287" s="33"/>
      <c r="U287" s="33"/>
      <c r="V287" s="33"/>
      <c r="W287" s="33"/>
      <c r="X287" s="33"/>
    </row>
    <row r="288" customFormat="false" ht="14.25" hidden="false" customHeight="true" outlineLevel="0" collapsed="false">
      <c r="B288" s="34"/>
      <c r="C288" s="75"/>
      <c r="D288" s="76"/>
      <c r="E288" s="76"/>
      <c r="F288" s="76"/>
      <c r="G288" s="35"/>
      <c r="H288" s="70"/>
      <c r="I288" s="34"/>
      <c r="J288" s="34"/>
      <c r="K288" s="34"/>
      <c r="L288" s="34"/>
      <c r="M288" s="34"/>
      <c r="N288" s="83"/>
      <c r="O288" s="83"/>
      <c r="P288" s="84"/>
      <c r="Q288" s="84"/>
      <c r="R288" s="84"/>
      <c r="T288" s="33"/>
      <c r="U288" s="33"/>
      <c r="V288" s="33"/>
      <c r="W288" s="33"/>
      <c r="X288" s="33"/>
    </row>
    <row r="289" customFormat="false" ht="14.25" hidden="false" customHeight="true" outlineLevel="0" collapsed="false">
      <c r="B289" s="30"/>
      <c r="C289" s="68"/>
      <c r="D289" s="32"/>
      <c r="E289" s="32"/>
      <c r="F289" s="32"/>
      <c r="G289" s="69"/>
      <c r="H289" s="70"/>
      <c r="I289" s="34"/>
      <c r="J289" s="34"/>
      <c r="K289" s="34"/>
      <c r="L289" s="34"/>
      <c r="M289" s="34"/>
      <c r="N289" s="83"/>
      <c r="O289" s="83"/>
      <c r="P289" s="84"/>
      <c r="Q289" s="84"/>
      <c r="R289" s="84"/>
      <c r="T289" s="33"/>
      <c r="U289" s="33"/>
      <c r="V289" s="33"/>
      <c r="W289" s="33"/>
      <c r="X289" s="33"/>
    </row>
    <row r="290" customFormat="false" ht="14.25" hidden="false" customHeight="true" outlineLevel="0" collapsed="false">
      <c r="B290" s="34"/>
      <c r="C290" s="75"/>
      <c r="D290" s="76"/>
      <c r="E290" s="76"/>
      <c r="F290" s="76"/>
      <c r="G290" s="35"/>
      <c r="H290" s="70"/>
      <c r="I290" s="34"/>
      <c r="J290" s="34"/>
      <c r="K290" s="34"/>
      <c r="L290" s="34"/>
      <c r="M290" s="34"/>
      <c r="N290" s="83"/>
      <c r="O290" s="83"/>
      <c r="P290" s="84"/>
      <c r="Q290" s="84"/>
      <c r="R290" s="84"/>
      <c r="T290" s="33"/>
      <c r="U290" s="33"/>
      <c r="V290" s="33"/>
      <c r="W290" s="33"/>
      <c r="X290" s="33"/>
    </row>
    <row r="291" customFormat="false" ht="14.25" hidden="false" customHeight="true" outlineLevel="0" collapsed="false">
      <c r="B291" s="30"/>
      <c r="C291" s="68"/>
      <c r="D291" s="32"/>
      <c r="E291" s="32"/>
      <c r="F291" s="32"/>
      <c r="G291" s="69"/>
      <c r="H291" s="70"/>
      <c r="I291" s="34"/>
      <c r="J291" s="34"/>
      <c r="K291" s="34"/>
      <c r="L291" s="34"/>
      <c r="M291" s="34"/>
      <c r="N291" s="83"/>
      <c r="O291" s="83"/>
      <c r="P291" s="84"/>
      <c r="Q291" s="84"/>
      <c r="R291" s="84"/>
      <c r="T291" s="33"/>
      <c r="U291" s="33"/>
      <c r="V291" s="33"/>
      <c r="W291" s="33"/>
      <c r="X291" s="33"/>
    </row>
    <row r="292" customFormat="false" ht="14.25" hidden="false" customHeight="true" outlineLevel="0" collapsed="false">
      <c r="B292" s="34"/>
      <c r="C292" s="75"/>
      <c r="D292" s="76"/>
      <c r="E292" s="76"/>
      <c r="F292" s="76"/>
      <c r="G292" s="35"/>
      <c r="H292" s="70"/>
      <c r="I292" s="34"/>
      <c r="J292" s="34"/>
      <c r="K292" s="34"/>
      <c r="L292" s="34"/>
      <c r="M292" s="34"/>
      <c r="N292" s="83"/>
      <c r="O292" s="83"/>
      <c r="P292" s="84"/>
      <c r="Q292" s="84"/>
      <c r="R292" s="84"/>
      <c r="T292" s="33"/>
      <c r="U292" s="33"/>
      <c r="V292" s="33"/>
      <c r="W292" s="33"/>
      <c r="X292" s="33"/>
    </row>
    <row r="293" customFormat="false" ht="14.25" hidden="false" customHeight="true" outlineLevel="0" collapsed="false">
      <c r="B293" s="30"/>
      <c r="C293" s="68"/>
      <c r="D293" s="32"/>
      <c r="E293" s="32"/>
      <c r="F293" s="32"/>
      <c r="G293" s="69"/>
      <c r="H293" s="70"/>
      <c r="I293" s="34"/>
      <c r="J293" s="34"/>
      <c r="K293" s="34"/>
      <c r="L293" s="34"/>
      <c r="M293" s="34"/>
      <c r="N293" s="83"/>
      <c r="O293" s="83"/>
      <c r="P293" s="84"/>
      <c r="Q293" s="84"/>
      <c r="R293" s="84"/>
      <c r="T293" s="33"/>
      <c r="U293" s="33"/>
      <c r="V293" s="33"/>
      <c r="W293" s="33"/>
      <c r="X293" s="33"/>
    </row>
    <row r="294" customFormat="false" ht="14.25" hidden="false" customHeight="true" outlineLevel="0" collapsed="false">
      <c r="B294" s="34"/>
      <c r="C294" s="75"/>
      <c r="D294" s="76"/>
      <c r="E294" s="76"/>
      <c r="F294" s="76"/>
      <c r="G294" s="35"/>
      <c r="H294" s="70"/>
      <c r="I294" s="34"/>
      <c r="J294" s="34"/>
      <c r="K294" s="34"/>
      <c r="L294" s="34"/>
      <c r="M294" s="34"/>
      <c r="N294" s="83"/>
      <c r="O294" s="83"/>
      <c r="P294" s="84"/>
      <c r="Q294" s="84"/>
      <c r="R294" s="84"/>
      <c r="T294" s="33"/>
      <c r="U294" s="33"/>
      <c r="V294" s="33"/>
      <c r="W294" s="33"/>
      <c r="X294" s="33"/>
    </row>
    <row r="295" customFormat="false" ht="14.25" hidden="false" customHeight="true" outlineLevel="0" collapsed="false">
      <c r="B295" s="30"/>
      <c r="C295" s="68"/>
      <c r="D295" s="32"/>
      <c r="E295" s="32"/>
      <c r="F295" s="32"/>
      <c r="G295" s="69"/>
      <c r="H295" s="70"/>
      <c r="I295" s="34"/>
      <c r="J295" s="34"/>
      <c r="K295" s="34"/>
      <c r="L295" s="34"/>
      <c r="M295" s="34"/>
      <c r="N295" s="83"/>
      <c r="O295" s="83"/>
      <c r="P295" s="84"/>
      <c r="Q295" s="84"/>
      <c r="R295" s="84"/>
      <c r="T295" s="33"/>
      <c r="U295" s="33"/>
      <c r="V295" s="33"/>
      <c r="W295" s="33"/>
      <c r="X295" s="33"/>
    </row>
    <row r="296" customFormat="false" ht="14.25" hidden="false" customHeight="true" outlineLevel="0" collapsed="false">
      <c r="B296" s="34"/>
      <c r="C296" s="75"/>
      <c r="D296" s="76"/>
      <c r="E296" s="76"/>
      <c r="F296" s="76"/>
      <c r="G296" s="35"/>
      <c r="H296" s="70"/>
      <c r="I296" s="34"/>
      <c r="J296" s="34"/>
      <c r="K296" s="34"/>
      <c r="L296" s="34"/>
      <c r="M296" s="34"/>
      <c r="N296" s="83"/>
      <c r="O296" s="83"/>
      <c r="P296" s="84"/>
      <c r="Q296" s="84"/>
      <c r="R296" s="84"/>
      <c r="T296" s="33"/>
      <c r="U296" s="33"/>
      <c r="V296" s="33"/>
      <c r="W296" s="33"/>
      <c r="X296" s="33"/>
    </row>
    <row r="297" customFormat="false" ht="14.25" hidden="false" customHeight="true" outlineLevel="0" collapsed="false">
      <c r="B297" s="30"/>
      <c r="C297" s="68"/>
      <c r="D297" s="32"/>
      <c r="E297" s="32"/>
      <c r="F297" s="32"/>
      <c r="G297" s="69"/>
      <c r="H297" s="70"/>
      <c r="I297" s="34"/>
      <c r="J297" s="34"/>
      <c r="K297" s="34"/>
      <c r="L297" s="34"/>
      <c r="M297" s="34"/>
      <c r="N297" s="83"/>
      <c r="O297" s="83"/>
      <c r="P297" s="84"/>
      <c r="Q297" s="84"/>
      <c r="R297" s="84"/>
      <c r="T297" s="33"/>
      <c r="U297" s="33"/>
      <c r="V297" s="33"/>
      <c r="W297" s="33"/>
      <c r="X297" s="33"/>
    </row>
    <row r="298" customFormat="false" ht="14.25" hidden="false" customHeight="true" outlineLevel="0" collapsed="false">
      <c r="B298" s="34"/>
      <c r="C298" s="75"/>
      <c r="D298" s="76"/>
      <c r="E298" s="76"/>
      <c r="F298" s="76"/>
      <c r="G298" s="35"/>
      <c r="H298" s="70"/>
      <c r="I298" s="34"/>
      <c r="J298" s="34"/>
      <c r="K298" s="34"/>
      <c r="L298" s="34"/>
      <c r="M298" s="34"/>
      <c r="N298" s="83"/>
      <c r="O298" s="83"/>
      <c r="P298" s="84"/>
      <c r="Q298" s="84"/>
      <c r="R298" s="84"/>
      <c r="T298" s="33"/>
      <c r="U298" s="33"/>
      <c r="V298" s="33"/>
      <c r="W298" s="33"/>
      <c r="X298" s="33"/>
    </row>
    <row r="299" customFormat="false" ht="14.25" hidden="false" customHeight="true" outlineLevel="0" collapsed="false">
      <c r="B299" s="30"/>
      <c r="C299" s="68"/>
      <c r="D299" s="32"/>
      <c r="E299" s="32"/>
      <c r="F299" s="32"/>
      <c r="G299" s="69"/>
      <c r="H299" s="70"/>
      <c r="I299" s="34"/>
      <c r="J299" s="34"/>
      <c r="K299" s="34"/>
      <c r="L299" s="34"/>
      <c r="M299" s="34"/>
      <c r="N299" s="83"/>
      <c r="O299" s="83"/>
      <c r="P299" s="84"/>
      <c r="Q299" s="84"/>
      <c r="R299" s="84"/>
      <c r="T299" s="33"/>
      <c r="U299" s="33"/>
      <c r="V299" s="33"/>
      <c r="W299" s="33"/>
      <c r="X299" s="33"/>
    </row>
    <row r="300" customFormat="false" ht="14.25" hidden="false" customHeight="true" outlineLevel="0" collapsed="false">
      <c r="B300" s="34"/>
      <c r="C300" s="75"/>
      <c r="D300" s="76"/>
      <c r="E300" s="76"/>
      <c r="F300" s="76"/>
      <c r="G300" s="35"/>
      <c r="H300" s="70"/>
      <c r="I300" s="34"/>
      <c r="J300" s="34"/>
      <c r="K300" s="34"/>
      <c r="L300" s="34"/>
      <c r="M300" s="34"/>
      <c r="N300" s="83"/>
      <c r="O300" s="83"/>
      <c r="P300" s="84"/>
      <c r="Q300" s="84"/>
      <c r="R300" s="84"/>
      <c r="T300" s="33"/>
      <c r="U300" s="33"/>
      <c r="V300" s="33"/>
      <c r="W300" s="33"/>
      <c r="X300" s="33"/>
    </row>
    <row r="301" customFormat="false" ht="14.25" hidden="false" customHeight="true" outlineLevel="0" collapsed="false">
      <c r="B301" s="30"/>
      <c r="C301" s="68"/>
      <c r="D301" s="32"/>
      <c r="E301" s="32"/>
      <c r="F301" s="32"/>
      <c r="G301" s="69"/>
      <c r="H301" s="70"/>
      <c r="I301" s="34"/>
      <c r="J301" s="34"/>
      <c r="K301" s="34"/>
      <c r="L301" s="34"/>
      <c r="M301" s="34"/>
      <c r="N301" s="83"/>
      <c r="O301" s="83"/>
      <c r="P301" s="84"/>
      <c r="Q301" s="84"/>
      <c r="R301" s="84"/>
      <c r="T301" s="33"/>
      <c r="U301" s="33"/>
      <c r="V301" s="33"/>
      <c r="W301" s="33"/>
      <c r="X301" s="33"/>
    </row>
    <row r="302" customFormat="false" ht="14.25" hidden="false" customHeight="true" outlineLevel="0" collapsed="false">
      <c r="B302" s="34"/>
      <c r="C302" s="75"/>
      <c r="D302" s="76"/>
      <c r="E302" s="76"/>
      <c r="F302" s="76"/>
      <c r="G302" s="35"/>
      <c r="H302" s="70"/>
      <c r="I302" s="34"/>
      <c r="J302" s="34"/>
      <c r="K302" s="34"/>
      <c r="L302" s="34"/>
      <c r="M302" s="34"/>
      <c r="N302" s="83"/>
      <c r="O302" s="83"/>
      <c r="P302" s="84"/>
      <c r="Q302" s="84"/>
      <c r="R302" s="84"/>
      <c r="T302" s="33"/>
      <c r="U302" s="33"/>
      <c r="V302" s="33"/>
      <c r="W302" s="33"/>
      <c r="X302" s="33"/>
    </row>
    <row r="303" customFormat="false" ht="14.25" hidden="false" customHeight="true" outlineLevel="0" collapsed="false">
      <c r="B303" s="30"/>
      <c r="C303" s="68"/>
      <c r="D303" s="32"/>
      <c r="E303" s="32"/>
      <c r="F303" s="32"/>
      <c r="G303" s="69"/>
      <c r="H303" s="70"/>
      <c r="I303" s="34"/>
      <c r="J303" s="34"/>
      <c r="K303" s="34"/>
      <c r="L303" s="34"/>
      <c r="M303" s="34"/>
      <c r="N303" s="83"/>
      <c r="O303" s="83"/>
      <c r="P303" s="84"/>
      <c r="Q303" s="84"/>
      <c r="R303" s="84"/>
      <c r="T303" s="33"/>
      <c r="U303" s="33"/>
      <c r="V303" s="33"/>
      <c r="W303" s="33"/>
      <c r="X303" s="33"/>
    </row>
    <row r="304" customFormat="false" ht="14.25" hidden="false" customHeight="true" outlineLevel="0" collapsed="false">
      <c r="B304" s="34"/>
      <c r="C304" s="75"/>
      <c r="D304" s="76"/>
      <c r="E304" s="76"/>
      <c r="F304" s="76"/>
      <c r="G304" s="35"/>
      <c r="H304" s="70"/>
      <c r="I304" s="34"/>
      <c r="J304" s="34"/>
      <c r="K304" s="34"/>
      <c r="L304" s="34"/>
      <c r="M304" s="34"/>
      <c r="N304" s="83"/>
      <c r="O304" s="83"/>
      <c r="P304" s="84"/>
      <c r="Q304" s="84"/>
      <c r="R304" s="84"/>
      <c r="T304" s="33"/>
      <c r="U304" s="33"/>
      <c r="V304" s="33"/>
      <c r="W304" s="33"/>
      <c r="X304" s="33"/>
    </row>
    <row r="305" customFormat="false" ht="14.25" hidden="false" customHeight="true" outlineLevel="0" collapsed="false">
      <c r="B305" s="30"/>
      <c r="C305" s="68"/>
      <c r="D305" s="32"/>
      <c r="E305" s="32"/>
      <c r="F305" s="32"/>
      <c r="G305" s="69"/>
      <c r="H305" s="70"/>
      <c r="I305" s="34"/>
      <c r="J305" s="34"/>
      <c r="K305" s="34"/>
      <c r="L305" s="34"/>
      <c r="M305" s="34"/>
      <c r="N305" s="83"/>
      <c r="O305" s="83"/>
      <c r="P305" s="84"/>
      <c r="Q305" s="84"/>
      <c r="R305" s="84"/>
      <c r="T305" s="33"/>
      <c r="U305" s="33"/>
      <c r="V305" s="33"/>
      <c r="W305" s="33"/>
      <c r="X305" s="33"/>
    </row>
    <row r="306" customFormat="false" ht="14.25" hidden="false" customHeight="true" outlineLevel="0" collapsed="false">
      <c r="B306" s="34"/>
      <c r="C306" s="75"/>
      <c r="D306" s="76"/>
      <c r="E306" s="76"/>
      <c r="F306" s="76"/>
      <c r="G306" s="35"/>
      <c r="H306" s="70"/>
      <c r="I306" s="34"/>
      <c r="J306" s="34"/>
      <c r="K306" s="34"/>
      <c r="L306" s="34"/>
      <c r="M306" s="34"/>
      <c r="N306" s="83"/>
      <c r="O306" s="83"/>
      <c r="P306" s="84"/>
      <c r="Q306" s="84"/>
      <c r="R306" s="84"/>
      <c r="T306" s="33"/>
      <c r="U306" s="33"/>
      <c r="V306" s="33"/>
      <c r="W306" s="33"/>
      <c r="X306" s="33"/>
    </row>
    <row r="307" customFormat="false" ht="14.25" hidden="false" customHeight="true" outlineLevel="0" collapsed="false">
      <c r="B307" s="30"/>
      <c r="C307" s="68"/>
      <c r="D307" s="32"/>
      <c r="E307" s="32"/>
      <c r="F307" s="32"/>
      <c r="G307" s="69"/>
      <c r="H307" s="70"/>
      <c r="I307" s="34"/>
      <c r="J307" s="34"/>
      <c r="K307" s="34"/>
      <c r="L307" s="34"/>
      <c r="M307" s="34"/>
      <c r="N307" s="83"/>
      <c r="O307" s="83"/>
      <c r="P307" s="84"/>
      <c r="Q307" s="84"/>
      <c r="R307" s="84"/>
      <c r="T307" s="33"/>
      <c r="U307" s="33"/>
      <c r="V307" s="33"/>
      <c r="W307" s="33"/>
      <c r="X307" s="33"/>
    </row>
    <row r="308" customFormat="false" ht="14.25" hidden="false" customHeight="true" outlineLevel="0" collapsed="false">
      <c r="B308" s="34"/>
      <c r="C308" s="75"/>
      <c r="D308" s="76"/>
      <c r="E308" s="76"/>
      <c r="F308" s="76"/>
      <c r="G308" s="35"/>
      <c r="H308" s="70"/>
      <c r="I308" s="34"/>
      <c r="J308" s="34"/>
      <c r="K308" s="34"/>
      <c r="L308" s="34"/>
      <c r="M308" s="34"/>
      <c r="N308" s="83"/>
      <c r="O308" s="83"/>
      <c r="P308" s="84"/>
      <c r="Q308" s="84"/>
      <c r="R308" s="84"/>
      <c r="T308" s="33"/>
      <c r="U308" s="33"/>
      <c r="V308" s="33"/>
      <c r="W308" s="33"/>
      <c r="X308" s="33"/>
    </row>
    <row r="309" customFormat="false" ht="14.25" hidden="false" customHeight="true" outlineLevel="0" collapsed="false">
      <c r="B309" s="30"/>
      <c r="C309" s="68"/>
      <c r="D309" s="32"/>
      <c r="E309" s="32"/>
      <c r="F309" s="32"/>
      <c r="G309" s="69"/>
      <c r="H309" s="70"/>
      <c r="I309" s="34"/>
      <c r="J309" s="34"/>
      <c r="K309" s="34"/>
      <c r="L309" s="34"/>
      <c r="M309" s="34"/>
      <c r="N309" s="83"/>
      <c r="O309" s="83"/>
      <c r="P309" s="84"/>
      <c r="Q309" s="84"/>
      <c r="R309" s="84"/>
      <c r="T309" s="33"/>
      <c r="U309" s="33"/>
      <c r="V309" s="33"/>
      <c r="W309" s="33"/>
      <c r="X309" s="33"/>
    </row>
    <row r="310" customFormat="false" ht="14.25" hidden="false" customHeight="true" outlineLevel="0" collapsed="false">
      <c r="B310" s="34"/>
      <c r="C310" s="75"/>
      <c r="D310" s="76"/>
      <c r="E310" s="76"/>
      <c r="F310" s="76"/>
      <c r="G310" s="35"/>
      <c r="H310" s="70"/>
      <c r="I310" s="34"/>
      <c r="J310" s="34"/>
      <c r="K310" s="34"/>
      <c r="L310" s="34"/>
      <c r="M310" s="34"/>
      <c r="N310" s="83"/>
      <c r="O310" s="83"/>
      <c r="P310" s="84"/>
      <c r="Q310" s="84"/>
      <c r="R310" s="84"/>
      <c r="T310" s="33"/>
      <c r="U310" s="33"/>
      <c r="V310" s="33"/>
      <c r="W310" s="33"/>
      <c r="X310" s="33"/>
    </row>
    <row r="311" customFormat="false" ht="14.25" hidden="false" customHeight="true" outlineLevel="0" collapsed="false">
      <c r="B311" s="30"/>
      <c r="C311" s="68"/>
      <c r="D311" s="32"/>
      <c r="E311" s="32"/>
      <c r="F311" s="32"/>
      <c r="G311" s="69"/>
      <c r="H311" s="70"/>
      <c r="I311" s="34"/>
      <c r="J311" s="34"/>
      <c r="K311" s="34"/>
      <c r="L311" s="34"/>
      <c r="M311" s="34"/>
      <c r="N311" s="83"/>
      <c r="O311" s="83"/>
      <c r="P311" s="84"/>
      <c r="Q311" s="84"/>
      <c r="R311" s="84"/>
      <c r="T311" s="33"/>
      <c r="U311" s="33"/>
      <c r="V311" s="33"/>
      <c r="W311" s="33"/>
      <c r="X311" s="33"/>
    </row>
    <row r="312" customFormat="false" ht="14.25" hidden="false" customHeight="true" outlineLevel="0" collapsed="false">
      <c r="B312" s="34"/>
      <c r="C312" s="75"/>
      <c r="D312" s="76"/>
      <c r="E312" s="76"/>
      <c r="F312" s="76"/>
      <c r="G312" s="35"/>
      <c r="H312" s="70"/>
      <c r="I312" s="34"/>
      <c r="J312" s="34"/>
      <c r="K312" s="34"/>
      <c r="L312" s="34"/>
      <c r="M312" s="34"/>
      <c r="N312" s="83"/>
      <c r="O312" s="83"/>
      <c r="P312" s="84"/>
      <c r="Q312" s="84"/>
      <c r="R312" s="84"/>
      <c r="T312" s="33"/>
      <c r="U312" s="33"/>
      <c r="V312" s="33"/>
      <c r="W312" s="33"/>
      <c r="X312" s="33"/>
    </row>
    <row r="313" customFormat="false" ht="14.25" hidden="false" customHeight="true" outlineLevel="0" collapsed="false">
      <c r="B313" s="30"/>
      <c r="C313" s="68"/>
      <c r="D313" s="32"/>
      <c r="E313" s="32"/>
      <c r="F313" s="32"/>
      <c r="G313" s="69"/>
      <c r="H313" s="70"/>
      <c r="I313" s="34"/>
      <c r="J313" s="34"/>
      <c r="K313" s="34"/>
      <c r="L313" s="34"/>
      <c r="M313" s="34"/>
      <c r="N313" s="83"/>
      <c r="O313" s="83"/>
      <c r="P313" s="84"/>
      <c r="Q313" s="84"/>
      <c r="R313" s="84"/>
      <c r="T313" s="33"/>
      <c r="U313" s="33"/>
      <c r="V313" s="33"/>
      <c r="W313" s="33"/>
      <c r="X313" s="33"/>
    </row>
    <row r="314" customFormat="false" ht="14.25" hidden="false" customHeight="true" outlineLevel="0" collapsed="false">
      <c r="B314" s="34"/>
      <c r="C314" s="75"/>
      <c r="D314" s="76"/>
      <c r="E314" s="76"/>
      <c r="F314" s="76"/>
      <c r="G314" s="35"/>
      <c r="H314" s="70"/>
      <c r="I314" s="34"/>
      <c r="J314" s="34"/>
      <c r="K314" s="34"/>
      <c r="L314" s="34"/>
      <c r="M314" s="34"/>
      <c r="N314" s="83"/>
      <c r="O314" s="83"/>
      <c r="P314" s="84"/>
      <c r="Q314" s="84"/>
      <c r="R314" s="84"/>
      <c r="T314" s="33"/>
      <c r="U314" s="33"/>
      <c r="V314" s="33"/>
      <c r="W314" s="33"/>
      <c r="X314" s="33"/>
    </row>
    <row r="315" customFormat="false" ht="14.25" hidden="false" customHeight="true" outlineLevel="0" collapsed="false">
      <c r="B315" s="30"/>
      <c r="C315" s="68"/>
      <c r="D315" s="32"/>
      <c r="E315" s="32"/>
      <c r="F315" s="32"/>
      <c r="G315" s="69"/>
      <c r="H315" s="70"/>
      <c r="I315" s="34"/>
      <c r="J315" s="34"/>
      <c r="K315" s="34"/>
      <c r="L315" s="34"/>
      <c r="M315" s="34"/>
      <c r="N315" s="83"/>
      <c r="O315" s="83"/>
      <c r="P315" s="84"/>
      <c r="Q315" s="84"/>
      <c r="R315" s="84"/>
      <c r="T315" s="33"/>
      <c r="U315" s="33"/>
      <c r="V315" s="33"/>
      <c r="W315" s="33"/>
      <c r="X315" s="33"/>
    </row>
    <row r="316" customFormat="false" ht="14.25" hidden="false" customHeight="true" outlineLevel="0" collapsed="false">
      <c r="B316" s="34"/>
      <c r="C316" s="75"/>
      <c r="D316" s="76"/>
      <c r="E316" s="76"/>
      <c r="F316" s="76"/>
      <c r="G316" s="35"/>
      <c r="H316" s="70"/>
      <c r="I316" s="34"/>
      <c r="J316" s="34"/>
      <c r="K316" s="34"/>
      <c r="L316" s="34"/>
      <c r="M316" s="34"/>
      <c r="N316" s="83"/>
      <c r="O316" s="83"/>
      <c r="P316" s="84"/>
      <c r="Q316" s="84"/>
      <c r="R316" s="84"/>
      <c r="T316" s="33"/>
      <c r="U316" s="33"/>
      <c r="V316" s="33"/>
      <c r="W316" s="33"/>
      <c r="X316" s="33"/>
    </row>
    <row r="317" customFormat="false" ht="14.25" hidden="false" customHeight="true" outlineLevel="0" collapsed="false">
      <c r="B317" s="30"/>
      <c r="C317" s="68"/>
      <c r="D317" s="32"/>
      <c r="E317" s="32"/>
      <c r="F317" s="32"/>
      <c r="G317" s="69"/>
      <c r="H317" s="70"/>
      <c r="I317" s="34"/>
      <c r="J317" s="34"/>
      <c r="K317" s="34"/>
      <c r="L317" s="34"/>
      <c r="M317" s="34"/>
      <c r="N317" s="83"/>
      <c r="O317" s="83"/>
      <c r="P317" s="84"/>
      <c r="Q317" s="84"/>
      <c r="R317" s="84"/>
      <c r="T317" s="33"/>
      <c r="U317" s="33"/>
      <c r="V317" s="33"/>
      <c r="W317" s="33"/>
      <c r="X317" s="33"/>
    </row>
    <row r="318" customFormat="false" ht="14.25" hidden="false" customHeight="true" outlineLevel="0" collapsed="false">
      <c r="B318" s="34"/>
      <c r="C318" s="75"/>
      <c r="D318" s="76"/>
      <c r="E318" s="76"/>
      <c r="F318" s="76"/>
      <c r="G318" s="35"/>
      <c r="H318" s="70"/>
      <c r="I318" s="34"/>
      <c r="J318" s="34"/>
      <c r="K318" s="34"/>
      <c r="L318" s="34"/>
      <c r="M318" s="34"/>
      <c r="N318" s="83"/>
      <c r="O318" s="83"/>
      <c r="P318" s="84"/>
      <c r="Q318" s="84"/>
      <c r="R318" s="84"/>
      <c r="T318" s="33"/>
      <c r="U318" s="33"/>
      <c r="V318" s="33"/>
      <c r="W318" s="33"/>
      <c r="X318" s="33"/>
    </row>
    <row r="319" customFormat="false" ht="14.25" hidden="false" customHeight="true" outlineLevel="0" collapsed="false">
      <c r="B319" s="30"/>
      <c r="C319" s="68"/>
      <c r="D319" s="32"/>
      <c r="E319" s="32"/>
      <c r="F319" s="32"/>
      <c r="G319" s="69"/>
      <c r="H319" s="70"/>
      <c r="I319" s="34"/>
      <c r="J319" s="34"/>
      <c r="K319" s="34"/>
      <c r="L319" s="34"/>
      <c r="M319" s="34"/>
      <c r="N319" s="83"/>
      <c r="O319" s="83"/>
      <c r="P319" s="84"/>
      <c r="Q319" s="84"/>
      <c r="R319" s="84"/>
      <c r="T319" s="33"/>
      <c r="U319" s="33"/>
      <c r="V319" s="33"/>
      <c r="W319" s="33"/>
      <c r="X319" s="33"/>
    </row>
    <row r="320" customFormat="false" ht="14.25" hidden="false" customHeight="true" outlineLevel="0" collapsed="false">
      <c r="B320" s="34"/>
      <c r="C320" s="75"/>
      <c r="D320" s="76"/>
      <c r="E320" s="76"/>
      <c r="F320" s="76"/>
      <c r="G320" s="35"/>
      <c r="H320" s="70"/>
      <c r="I320" s="34"/>
      <c r="J320" s="34"/>
      <c r="K320" s="34"/>
      <c r="L320" s="34"/>
      <c r="M320" s="34"/>
      <c r="N320" s="83"/>
      <c r="O320" s="83"/>
      <c r="P320" s="84"/>
      <c r="Q320" s="84"/>
      <c r="R320" s="84"/>
      <c r="T320" s="33"/>
      <c r="U320" s="33"/>
      <c r="V320" s="33"/>
      <c r="W320" s="33"/>
      <c r="X320" s="33"/>
    </row>
    <row r="321" customFormat="false" ht="14.25" hidden="false" customHeight="true" outlineLevel="0" collapsed="false">
      <c r="B321" s="30"/>
      <c r="C321" s="68"/>
      <c r="D321" s="32"/>
      <c r="E321" s="32"/>
      <c r="F321" s="32"/>
      <c r="G321" s="69"/>
      <c r="H321" s="70"/>
      <c r="I321" s="34"/>
      <c r="J321" s="34"/>
      <c r="K321" s="34"/>
      <c r="L321" s="34"/>
      <c r="M321" s="34"/>
      <c r="N321" s="83"/>
      <c r="O321" s="83"/>
      <c r="P321" s="84"/>
      <c r="Q321" s="84"/>
      <c r="R321" s="84"/>
      <c r="T321" s="33"/>
      <c r="U321" s="33"/>
      <c r="V321" s="33"/>
      <c r="W321" s="33"/>
      <c r="X321" s="33"/>
    </row>
    <row r="322" customFormat="false" ht="14.25" hidden="false" customHeight="true" outlineLevel="0" collapsed="false">
      <c r="B322" s="34"/>
      <c r="C322" s="75"/>
      <c r="D322" s="76"/>
      <c r="E322" s="76"/>
      <c r="F322" s="76"/>
      <c r="G322" s="35"/>
      <c r="H322" s="70"/>
      <c r="I322" s="34"/>
      <c r="J322" s="34"/>
      <c r="K322" s="34"/>
      <c r="L322" s="34"/>
      <c r="M322" s="34"/>
      <c r="N322" s="83"/>
      <c r="O322" s="83"/>
      <c r="P322" s="84"/>
      <c r="Q322" s="84"/>
      <c r="R322" s="84"/>
      <c r="T322" s="33"/>
      <c r="U322" s="33"/>
      <c r="V322" s="33"/>
      <c r="W322" s="33"/>
      <c r="X322" s="33"/>
    </row>
    <row r="323" customFormat="false" ht="14.25" hidden="false" customHeight="true" outlineLevel="0" collapsed="false">
      <c r="B323" s="30"/>
      <c r="C323" s="68"/>
      <c r="D323" s="32"/>
      <c r="E323" s="32"/>
      <c r="F323" s="32"/>
      <c r="G323" s="69"/>
      <c r="H323" s="70"/>
      <c r="I323" s="34"/>
      <c r="J323" s="34"/>
      <c r="K323" s="34"/>
      <c r="L323" s="34"/>
      <c r="M323" s="34"/>
      <c r="N323" s="83"/>
      <c r="O323" s="83"/>
      <c r="P323" s="84"/>
      <c r="Q323" s="84"/>
      <c r="R323" s="84"/>
      <c r="T323" s="33"/>
      <c r="U323" s="33"/>
      <c r="V323" s="33"/>
      <c r="W323" s="33"/>
      <c r="X323" s="33"/>
    </row>
    <row r="324" customFormat="false" ht="14.25" hidden="false" customHeight="true" outlineLevel="0" collapsed="false">
      <c r="B324" s="34"/>
      <c r="C324" s="75"/>
      <c r="D324" s="76"/>
      <c r="E324" s="76"/>
      <c r="F324" s="76"/>
      <c r="G324" s="35"/>
      <c r="H324" s="70"/>
      <c r="I324" s="34"/>
      <c r="J324" s="34"/>
      <c r="K324" s="34"/>
      <c r="L324" s="34"/>
      <c r="M324" s="34"/>
      <c r="N324" s="83"/>
      <c r="O324" s="83"/>
      <c r="P324" s="84"/>
      <c r="Q324" s="84"/>
      <c r="R324" s="84"/>
      <c r="T324" s="33"/>
      <c r="U324" s="33"/>
      <c r="V324" s="33"/>
      <c r="W324" s="33"/>
      <c r="X324" s="33"/>
    </row>
    <row r="325" customFormat="false" ht="14.25" hidden="false" customHeight="true" outlineLevel="0" collapsed="false">
      <c r="B325" s="30"/>
      <c r="C325" s="68"/>
      <c r="D325" s="32"/>
      <c r="E325" s="32"/>
      <c r="F325" s="32"/>
      <c r="G325" s="69"/>
      <c r="H325" s="70"/>
      <c r="I325" s="34"/>
      <c r="J325" s="34"/>
      <c r="K325" s="34"/>
      <c r="L325" s="34"/>
      <c r="M325" s="34"/>
      <c r="N325" s="83"/>
      <c r="O325" s="83"/>
      <c r="P325" s="84"/>
      <c r="Q325" s="84"/>
      <c r="R325" s="84"/>
      <c r="T325" s="33"/>
      <c r="U325" s="33"/>
      <c r="V325" s="33"/>
      <c r="W325" s="33"/>
      <c r="X325" s="33"/>
    </row>
    <row r="326" customFormat="false" ht="14.25" hidden="false" customHeight="true" outlineLevel="0" collapsed="false">
      <c r="B326" s="34"/>
      <c r="C326" s="75"/>
      <c r="D326" s="76"/>
      <c r="E326" s="76"/>
      <c r="F326" s="76"/>
      <c r="G326" s="35"/>
      <c r="H326" s="70"/>
      <c r="I326" s="34"/>
      <c r="J326" s="34"/>
      <c r="K326" s="34"/>
      <c r="L326" s="34"/>
      <c r="M326" s="34"/>
      <c r="N326" s="83"/>
      <c r="O326" s="83"/>
      <c r="P326" s="84"/>
      <c r="Q326" s="84"/>
      <c r="R326" s="84"/>
      <c r="T326" s="33"/>
      <c r="U326" s="33"/>
      <c r="V326" s="33"/>
      <c r="W326" s="33"/>
      <c r="X326" s="33"/>
    </row>
    <row r="327" customFormat="false" ht="14.25" hidden="false" customHeight="true" outlineLevel="0" collapsed="false">
      <c r="B327" s="30"/>
      <c r="C327" s="68"/>
      <c r="D327" s="32"/>
      <c r="E327" s="32"/>
      <c r="F327" s="32"/>
      <c r="G327" s="69"/>
      <c r="H327" s="70"/>
      <c r="I327" s="34"/>
      <c r="J327" s="34"/>
      <c r="K327" s="34"/>
      <c r="L327" s="34"/>
      <c r="M327" s="34"/>
      <c r="N327" s="83"/>
      <c r="O327" s="83"/>
      <c r="P327" s="84"/>
      <c r="Q327" s="84"/>
      <c r="R327" s="84"/>
      <c r="T327" s="33"/>
      <c r="U327" s="33"/>
      <c r="V327" s="33"/>
      <c r="W327" s="33"/>
      <c r="X327" s="33"/>
    </row>
    <row r="328" customFormat="false" ht="14.25" hidden="false" customHeight="true" outlineLevel="0" collapsed="false">
      <c r="B328" s="34"/>
      <c r="C328" s="75"/>
      <c r="D328" s="76"/>
      <c r="E328" s="76"/>
      <c r="F328" s="76"/>
      <c r="G328" s="35"/>
      <c r="H328" s="70"/>
      <c r="I328" s="34"/>
      <c r="J328" s="34"/>
      <c r="K328" s="34"/>
      <c r="L328" s="34"/>
      <c r="M328" s="34"/>
      <c r="N328" s="83"/>
      <c r="O328" s="83"/>
      <c r="P328" s="84"/>
      <c r="Q328" s="84"/>
      <c r="R328" s="84"/>
      <c r="T328" s="33"/>
      <c r="U328" s="33"/>
      <c r="V328" s="33"/>
      <c r="W328" s="33"/>
      <c r="X328" s="33"/>
    </row>
    <row r="329" customFormat="false" ht="14.25" hidden="false" customHeight="true" outlineLevel="0" collapsed="false">
      <c r="B329" s="30"/>
      <c r="C329" s="68"/>
      <c r="D329" s="32"/>
      <c r="E329" s="32"/>
      <c r="F329" s="32"/>
      <c r="G329" s="69"/>
      <c r="H329" s="70"/>
      <c r="I329" s="34"/>
      <c r="J329" s="34"/>
      <c r="K329" s="34"/>
      <c r="L329" s="34"/>
      <c r="M329" s="34"/>
      <c r="N329" s="83"/>
      <c r="O329" s="83"/>
      <c r="P329" s="84"/>
      <c r="Q329" s="84"/>
      <c r="R329" s="84"/>
      <c r="T329" s="33"/>
      <c r="U329" s="33"/>
      <c r="V329" s="33"/>
      <c r="W329" s="33"/>
      <c r="X329" s="33"/>
    </row>
    <row r="330" customFormat="false" ht="14.25" hidden="false" customHeight="true" outlineLevel="0" collapsed="false">
      <c r="B330" s="34"/>
      <c r="C330" s="75"/>
      <c r="D330" s="76"/>
      <c r="E330" s="76"/>
      <c r="F330" s="76"/>
      <c r="G330" s="35"/>
      <c r="H330" s="70"/>
      <c r="I330" s="34"/>
      <c r="J330" s="34"/>
      <c r="K330" s="34"/>
      <c r="L330" s="34"/>
      <c r="M330" s="34"/>
      <c r="N330" s="83"/>
      <c r="O330" s="83"/>
      <c r="P330" s="84"/>
      <c r="Q330" s="84"/>
      <c r="R330" s="84"/>
      <c r="T330" s="33"/>
      <c r="U330" s="33"/>
      <c r="V330" s="33"/>
      <c r="W330" s="33"/>
      <c r="X330" s="33"/>
    </row>
    <row r="331" customFormat="false" ht="14.25" hidden="false" customHeight="true" outlineLevel="0" collapsed="false">
      <c r="B331" s="30"/>
      <c r="C331" s="68"/>
      <c r="D331" s="32"/>
      <c r="E331" s="32"/>
      <c r="F331" s="32"/>
      <c r="G331" s="69"/>
      <c r="H331" s="70"/>
      <c r="I331" s="34"/>
      <c r="J331" s="34"/>
      <c r="K331" s="34"/>
      <c r="L331" s="34"/>
      <c r="M331" s="34"/>
      <c r="N331" s="83"/>
      <c r="O331" s="83"/>
      <c r="P331" s="84"/>
      <c r="Q331" s="84"/>
      <c r="R331" s="84"/>
      <c r="T331" s="33"/>
      <c r="U331" s="33"/>
      <c r="V331" s="33"/>
      <c r="W331" s="33"/>
      <c r="X331" s="33"/>
    </row>
    <row r="332" customFormat="false" ht="14.25" hidden="false" customHeight="true" outlineLevel="0" collapsed="false">
      <c r="B332" s="34"/>
      <c r="C332" s="75"/>
      <c r="D332" s="76"/>
      <c r="E332" s="76"/>
      <c r="F332" s="76"/>
      <c r="G332" s="35"/>
      <c r="H332" s="70"/>
      <c r="I332" s="34"/>
      <c r="J332" s="34"/>
      <c r="K332" s="34"/>
      <c r="L332" s="34"/>
      <c r="M332" s="34"/>
      <c r="N332" s="83"/>
      <c r="O332" s="83"/>
      <c r="P332" s="84"/>
      <c r="Q332" s="84"/>
      <c r="R332" s="84"/>
      <c r="T332" s="33"/>
      <c r="U332" s="33"/>
      <c r="V332" s="33"/>
      <c r="W332" s="33"/>
      <c r="X332" s="33"/>
    </row>
    <row r="333" customFormat="false" ht="14.25" hidden="false" customHeight="true" outlineLevel="0" collapsed="false">
      <c r="B333" s="30"/>
      <c r="C333" s="68"/>
      <c r="D333" s="32"/>
      <c r="E333" s="32"/>
      <c r="F333" s="32"/>
      <c r="G333" s="69"/>
      <c r="H333" s="70"/>
      <c r="I333" s="34"/>
      <c r="J333" s="34"/>
      <c r="K333" s="34"/>
      <c r="L333" s="34"/>
      <c r="M333" s="34"/>
      <c r="N333" s="83"/>
      <c r="O333" s="83"/>
      <c r="P333" s="84"/>
      <c r="Q333" s="84"/>
      <c r="R333" s="84"/>
      <c r="T333" s="33"/>
      <c r="U333" s="33"/>
      <c r="V333" s="33"/>
      <c r="W333" s="33"/>
      <c r="X333" s="33"/>
    </row>
    <row r="334" customFormat="false" ht="14.25" hidden="false" customHeight="true" outlineLevel="0" collapsed="false">
      <c r="B334" s="34"/>
      <c r="C334" s="75"/>
      <c r="D334" s="76"/>
      <c r="E334" s="76"/>
      <c r="F334" s="76"/>
      <c r="G334" s="35"/>
      <c r="H334" s="70"/>
      <c r="I334" s="34"/>
      <c r="J334" s="34"/>
      <c r="K334" s="34"/>
      <c r="L334" s="34"/>
      <c r="M334" s="34"/>
      <c r="N334" s="83"/>
      <c r="O334" s="83"/>
      <c r="P334" s="84"/>
      <c r="Q334" s="84"/>
      <c r="R334" s="84"/>
      <c r="T334" s="33"/>
      <c r="U334" s="33"/>
      <c r="V334" s="33"/>
      <c r="W334" s="33"/>
      <c r="X334" s="33"/>
    </row>
    <row r="335" customFormat="false" ht="14.25" hidden="false" customHeight="true" outlineLevel="0" collapsed="false">
      <c r="B335" s="30"/>
      <c r="C335" s="68"/>
      <c r="D335" s="32"/>
      <c r="E335" s="32"/>
      <c r="F335" s="32"/>
      <c r="G335" s="69"/>
      <c r="H335" s="70"/>
      <c r="I335" s="34"/>
      <c r="J335" s="34"/>
      <c r="K335" s="34"/>
      <c r="L335" s="34"/>
      <c r="M335" s="34"/>
      <c r="N335" s="83"/>
      <c r="O335" s="83"/>
      <c r="P335" s="84"/>
      <c r="Q335" s="84"/>
      <c r="R335" s="84"/>
      <c r="T335" s="33"/>
      <c r="U335" s="33"/>
      <c r="V335" s="33"/>
      <c r="W335" s="33"/>
      <c r="X335" s="33"/>
    </row>
    <row r="336" customFormat="false" ht="14.25" hidden="false" customHeight="true" outlineLevel="0" collapsed="false">
      <c r="B336" s="34"/>
      <c r="C336" s="75"/>
      <c r="D336" s="76"/>
      <c r="E336" s="76"/>
      <c r="F336" s="76"/>
      <c r="G336" s="35"/>
      <c r="H336" s="70"/>
      <c r="I336" s="34"/>
      <c r="J336" s="34"/>
      <c r="K336" s="34"/>
      <c r="L336" s="34"/>
      <c r="M336" s="34"/>
      <c r="N336" s="83"/>
      <c r="O336" s="83"/>
      <c r="P336" s="84"/>
      <c r="Q336" s="84"/>
      <c r="R336" s="84"/>
      <c r="T336" s="33"/>
      <c r="U336" s="33"/>
      <c r="V336" s="33"/>
      <c r="W336" s="33"/>
      <c r="X336" s="33"/>
    </row>
    <row r="337" customFormat="false" ht="14.25" hidden="false" customHeight="true" outlineLevel="0" collapsed="false">
      <c r="B337" s="30"/>
      <c r="C337" s="68"/>
      <c r="D337" s="32"/>
      <c r="E337" s="32"/>
      <c r="F337" s="32"/>
      <c r="G337" s="69"/>
      <c r="H337" s="70"/>
      <c r="I337" s="34"/>
      <c r="J337" s="34"/>
      <c r="K337" s="34"/>
      <c r="L337" s="34"/>
      <c r="M337" s="34"/>
      <c r="N337" s="83"/>
      <c r="O337" s="83"/>
      <c r="P337" s="84"/>
      <c r="Q337" s="84"/>
      <c r="R337" s="84"/>
      <c r="T337" s="33"/>
      <c r="U337" s="33"/>
      <c r="V337" s="33"/>
      <c r="W337" s="33"/>
      <c r="X337" s="33"/>
    </row>
    <row r="338" customFormat="false" ht="14.25" hidden="false" customHeight="true" outlineLevel="0" collapsed="false">
      <c r="B338" s="34"/>
      <c r="C338" s="75"/>
      <c r="D338" s="76"/>
      <c r="E338" s="76"/>
      <c r="F338" s="76"/>
      <c r="G338" s="35"/>
      <c r="H338" s="70"/>
      <c r="I338" s="34"/>
      <c r="J338" s="34"/>
      <c r="K338" s="34"/>
      <c r="L338" s="34"/>
      <c r="M338" s="34"/>
      <c r="N338" s="83"/>
      <c r="O338" s="83"/>
      <c r="P338" s="84"/>
      <c r="Q338" s="84"/>
      <c r="R338" s="84"/>
      <c r="T338" s="33"/>
      <c r="U338" s="33"/>
      <c r="V338" s="33"/>
      <c r="W338" s="33"/>
      <c r="X338" s="33"/>
    </row>
    <row r="339" customFormat="false" ht="14.25" hidden="false" customHeight="true" outlineLevel="0" collapsed="false">
      <c r="B339" s="30"/>
      <c r="C339" s="68"/>
      <c r="D339" s="32"/>
      <c r="E339" s="32"/>
      <c r="F339" s="32"/>
      <c r="G339" s="69"/>
      <c r="H339" s="70"/>
      <c r="I339" s="34"/>
      <c r="J339" s="34"/>
      <c r="K339" s="34"/>
      <c r="L339" s="34"/>
      <c r="M339" s="34"/>
      <c r="N339" s="83"/>
      <c r="O339" s="83"/>
      <c r="P339" s="84"/>
      <c r="Q339" s="84"/>
      <c r="R339" s="84"/>
      <c r="T339" s="33"/>
      <c r="U339" s="33"/>
      <c r="V339" s="33"/>
      <c r="W339" s="33"/>
      <c r="X339" s="33"/>
    </row>
    <row r="340" customFormat="false" ht="14.25" hidden="false" customHeight="true" outlineLevel="0" collapsed="false">
      <c r="B340" s="34"/>
      <c r="C340" s="75"/>
      <c r="D340" s="76"/>
      <c r="E340" s="76"/>
      <c r="F340" s="76"/>
      <c r="G340" s="35"/>
      <c r="H340" s="70"/>
      <c r="I340" s="34"/>
      <c r="J340" s="34"/>
      <c r="K340" s="34"/>
      <c r="L340" s="34"/>
      <c r="M340" s="34"/>
      <c r="N340" s="83"/>
      <c r="O340" s="83"/>
      <c r="P340" s="84"/>
      <c r="Q340" s="84"/>
      <c r="R340" s="84"/>
      <c r="T340" s="33"/>
      <c r="U340" s="33"/>
      <c r="V340" s="33"/>
      <c r="W340" s="33"/>
      <c r="X340" s="33"/>
    </row>
    <row r="341" customFormat="false" ht="14.25" hidden="false" customHeight="true" outlineLevel="0" collapsed="false">
      <c r="B341" s="30"/>
      <c r="C341" s="68"/>
      <c r="D341" s="32"/>
      <c r="E341" s="32"/>
      <c r="F341" s="32"/>
      <c r="G341" s="69"/>
      <c r="H341" s="70"/>
      <c r="I341" s="34"/>
      <c r="J341" s="34"/>
      <c r="K341" s="34"/>
      <c r="L341" s="34"/>
      <c r="M341" s="34"/>
      <c r="N341" s="83"/>
      <c r="O341" s="83"/>
      <c r="P341" s="84"/>
      <c r="Q341" s="84"/>
      <c r="R341" s="84"/>
      <c r="T341" s="33"/>
      <c r="U341" s="33"/>
      <c r="V341" s="33"/>
      <c r="W341" s="33"/>
      <c r="X341" s="33"/>
    </row>
    <row r="342" customFormat="false" ht="14.25" hidden="false" customHeight="true" outlineLevel="0" collapsed="false">
      <c r="B342" s="34"/>
      <c r="C342" s="75"/>
      <c r="D342" s="76"/>
      <c r="E342" s="76"/>
      <c r="F342" s="76"/>
      <c r="G342" s="35"/>
      <c r="H342" s="70"/>
      <c r="I342" s="34"/>
      <c r="J342" s="34"/>
      <c r="K342" s="34"/>
      <c r="L342" s="34"/>
      <c r="M342" s="34"/>
      <c r="N342" s="83"/>
      <c r="O342" s="83"/>
      <c r="P342" s="84"/>
      <c r="Q342" s="84"/>
      <c r="R342" s="84"/>
      <c r="T342" s="33"/>
      <c r="U342" s="33"/>
      <c r="V342" s="33"/>
      <c r="W342" s="33"/>
      <c r="X342" s="33"/>
    </row>
    <row r="343" customFormat="false" ht="14.25" hidden="false" customHeight="true" outlineLevel="0" collapsed="false">
      <c r="B343" s="30"/>
      <c r="C343" s="68"/>
      <c r="D343" s="32"/>
      <c r="E343" s="32"/>
      <c r="F343" s="32"/>
      <c r="G343" s="69"/>
      <c r="H343" s="70"/>
      <c r="I343" s="34"/>
      <c r="J343" s="34"/>
      <c r="K343" s="34"/>
      <c r="L343" s="34"/>
      <c r="M343" s="34"/>
      <c r="N343" s="83"/>
      <c r="O343" s="83"/>
      <c r="P343" s="84"/>
      <c r="Q343" s="84"/>
      <c r="R343" s="84"/>
      <c r="T343" s="33"/>
      <c r="U343" s="33"/>
      <c r="V343" s="33"/>
      <c r="W343" s="33"/>
      <c r="X343" s="33"/>
    </row>
    <row r="344" customFormat="false" ht="14.25" hidden="false" customHeight="true" outlineLevel="0" collapsed="false">
      <c r="B344" s="34"/>
      <c r="C344" s="75"/>
      <c r="D344" s="76"/>
      <c r="E344" s="76"/>
      <c r="F344" s="76"/>
      <c r="G344" s="35"/>
      <c r="H344" s="70"/>
      <c r="I344" s="34"/>
      <c r="J344" s="34"/>
      <c r="K344" s="34"/>
      <c r="L344" s="34"/>
      <c r="M344" s="34"/>
      <c r="N344" s="83"/>
      <c r="O344" s="83"/>
      <c r="P344" s="84"/>
      <c r="Q344" s="84"/>
      <c r="R344" s="84"/>
      <c r="T344" s="33"/>
      <c r="U344" s="33"/>
      <c r="V344" s="33"/>
      <c r="W344" s="33"/>
      <c r="X344" s="33"/>
    </row>
    <row r="345" customFormat="false" ht="14.25" hidden="false" customHeight="true" outlineLevel="0" collapsed="false">
      <c r="B345" s="30"/>
      <c r="C345" s="68"/>
      <c r="D345" s="32"/>
      <c r="E345" s="32"/>
      <c r="F345" s="32"/>
      <c r="G345" s="69"/>
      <c r="H345" s="70"/>
      <c r="I345" s="34"/>
      <c r="J345" s="34"/>
      <c r="K345" s="34"/>
      <c r="L345" s="34"/>
      <c r="M345" s="34"/>
      <c r="N345" s="83"/>
      <c r="O345" s="83"/>
      <c r="P345" s="84"/>
      <c r="Q345" s="84"/>
      <c r="R345" s="84"/>
      <c r="T345" s="33"/>
      <c r="U345" s="33"/>
      <c r="V345" s="33"/>
      <c r="W345" s="33"/>
      <c r="X345" s="33"/>
    </row>
    <row r="346" customFormat="false" ht="14.25" hidden="false" customHeight="true" outlineLevel="0" collapsed="false">
      <c r="B346" s="34"/>
      <c r="C346" s="75"/>
      <c r="D346" s="76"/>
      <c r="E346" s="76"/>
      <c r="F346" s="76"/>
      <c r="G346" s="35"/>
      <c r="H346" s="70"/>
      <c r="I346" s="34"/>
      <c r="J346" s="34"/>
      <c r="K346" s="34"/>
      <c r="L346" s="34"/>
      <c r="M346" s="34"/>
      <c r="N346" s="83"/>
      <c r="O346" s="83"/>
      <c r="P346" s="84"/>
      <c r="Q346" s="84"/>
      <c r="R346" s="84"/>
      <c r="T346" s="33"/>
      <c r="U346" s="33"/>
      <c r="V346" s="33"/>
      <c r="W346" s="33"/>
      <c r="X346" s="33"/>
    </row>
    <row r="347" customFormat="false" ht="14.25" hidden="false" customHeight="true" outlineLevel="0" collapsed="false">
      <c r="P347" s="10"/>
      <c r="Q347" s="10"/>
      <c r="R347" s="10"/>
    </row>
    <row r="348" customFormat="false" ht="14.25" hidden="false" customHeight="true" outlineLevel="0" collapsed="false">
      <c r="B348" s="85"/>
      <c r="E348" s="85"/>
      <c r="P348" s="10"/>
      <c r="Q348" s="42"/>
    </row>
    <row r="349" customFormat="false" ht="14.25" hidden="false" customHeight="true" outlineLevel="0" collapsed="false">
      <c r="B349" s="39"/>
      <c r="C349" s="39"/>
      <c r="E349" s="39"/>
      <c r="F349" s="39"/>
      <c r="P349" s="10"/>
      <c r="Q349" s="39"/>
      <c r="R349" s="39"/>
    </row>
    <row r="350" customFormat="false" ht="14.25" hidden="false" customHeight="true" outlineLevel="0" collapsed="false">
      <c r="B350" s="43"/>
      <c r="E350" s="43"/>
      <c r="F350" s="44"/>
      <c r="P350" s="10"/>
      <c r="Q350" s="10"/>
      <c r="R350" s="10"/>
    </row>
    <row r="351" customFormat="false" ht="14.25" hidden="false" customHeight="true" outlineLevel="0" collapsed="false">
      <c r="B351" s="43"/>
      <c r="E351" s="43"/>
      <c r="F351" s="44"/>
      <c r="P351" s="10"/>
      <c r="Q351" s="10"/>
      <c r="R351" s="10"/>
    </row>
    <row r="352" customFormat="false" ht="14.25" hidden="false" customHeight="true" outlineLevel="0" collapsed="false">
      <c r="B352" s="43"/>
      <c r="E352" s="43"/>
      <c r="F352" s="44"/>
      <c r="P352" s="10"/>
      <c r="Q352" s="10"/>
      <c r="R352" s="10"/>
    </row>
    <row r="353" customFormat="false" ht="14.25" hidden="false" customHeight="true" outlineLevel="0" collapsed="false">
      <c r="B353" s="43"/>
      <c r="E353" s="43"/>
      <c r="F353" s="44"/>
      <c r="P353" s="10"/>
      <c r="Q353" s="10"/>
      <c r="R353" s="10"/>
    </row>
    <row r="354" customFormat="false" ht="14.25" hidden="false" customHeight="true" outlineLevel="0" collapsed="false">
      <c r="B354" s="43"/>
      <c r="E354" s="43"/>
      <c r="F354" s="44"/>
      <c r="P354" s="10"/>
      <c r="Q354" s="10"/>
      <c r="R354" s="10"/>
    </row>
    <row r="355" customFormat="false" ht="14.25" hidden="false" customHeight="true" outlineLevel="0" collapsed="false">
      <c r="P355" s="10"/>
      <c r="Q355" s="10"/>
      <c r="R355" s="10"/>
    </row>
    <row r="356" customFormat="false" ht="14.25" hidden="false" customHeight="true" outlineLevel="0" collapsed="false">
      <c r="P356" s="10"/>
      <c r="Q356" s="10"/>
      <c r="R356" s="10"/>
    </row>
    <row r="357" customFormat="false" ht="14.25" hidden="false" customHeight="true" outlineLevel="0" collapsed="false">
      <c r="P357" s="10"/>
      <c r="Q357" s="10"/>
      <c r="R357" s="10"/>
    </row>
    <row r="358" customFormat="false" ht="14.25" hidden="false" customHeight="true" outlineLevel="0" collapsed="false">
      <c r="P358" s="10"/>
      <c r="Q358" s="10"/>
      <c r="R358" s="10"/>
    </row>
    <row r="359" customFormat="false" ht="14.25" hidden="false" customHeight="true" outlineLevel="0" collapsed="false">
      <c r="P359" s="10"/>
      <c r="Q359" s="10"/>
      <c r="R359" s="10"/>
    </row>
    <row r="360" customFormat="false" ht="14.25" hidden="false" customHeight="true" outlineLevel="0" collapsed="false">
      <c r="P360" s="10"/>
      <c r="Q360" s="10"/>
      <c r="R360" s="10"/>
    </row>
    <row r="361" customFormat="false" ht="14.25" hidden="false" customHeight="true" outlineLevel="0" collapsed="false">
      <c r="P361" s="10"/>
      <c r="Q361" s="10"/>
      <c r="R361" s="10"/>
    </row>
    <row r="362" customFormat="false" ht="14.25" hidden="false" customHeight="true" outlineLevel="0" collapsed="false">
      <c r="P362" s="10"/>
      <c r="Q362" s="10"/>
      <c r="R362" s="10"/>
    </row>
    <row r="363" customFormat="false" ht="14.25" hidden="false" customHeight="true" outlineLevel="0" collapsed="false">
      <c r="P363" s="10"/>
      <c r="Q363" s="10"/>
      <c r="R363" s="10"/>
    </row>
    <row r="364" customFormat="false" ht="14.25" hidden="false" customHeight="true" outlineLevel="0" collapsed="false">
      <c r="P364" s="10"/>
      <c r="Q364" s="10"/>
      <c r="R364" s="10"/>
    </row>
    <row r="365" customFormat="false" ht="14.25" hidden="false" customHeight="true" outlineLevel="0" collapsed="false">
      <c r="P365" s="10"/>
      <c r="Q365" s="10"/>
      <c r="R365" s="10"/>
    </row>
    <row r="366" customFormat="false" ht="14.25" hidden="false" customHeight="true" outlineLevel="0" collapsed="false">
      <c r="P366" s="10"/>
      <c r="Q366" s="10"/>
      <c r="R366" s="10"/>
    </row>
    <row r="367" customFormat="false" ht="14.25" hidden="false" customHeight="true" outlineLevel="0" collapsed="false">
      <c r="P367" s="10"/>
      <c r="Q367" s="10"/>
      <c r="R367" s="10"/>
    </row>
    <row r="368" customFormat="false" ht="14.25" hidden="false" customHeight="true" outlineLevel="0" collapsed="false">
      <c r="P368" s="10"/>
      <c r="Q368" s="10"/>
      <c r="R368" s="10"/>
    </row>
    <row r="369" customFormat="false" ht="14.25" hidden="false" customHeight="true" outlineLevel="0" collapsed="false">
      <c r="P369" s="10"/>
      <c r="Q369" s="10"/>
      <c r="R369" s="10"/>
    </row>
    <row r="370" customFormat="false" ht="14.25" hidden="false" customHeight="true" outlineLevel="0" collapsed="false">
      <c r="P370" s="10"/>
      <c r="Q370" s="10"/>
      <c r="R370" s="10"/>
    </row>
    <row r="371" customFormat="false" ht="14.25" hidden="false" customHeight="true" outlineLevel="0" collapsed="false">
      <c r="P371" s="10"/>
      <c r="Q371" s="10"/>
      <c r="R371" s="10"/>
    </row>
    <row r="372" customFormat="false" ht="14.25" hidden="false" customHeight="true" outlineLevel="0" collapsed="false">
      <c r="P372" s="10"/>
      <c r="Q372" s="10"/>
      <c r="R372" s="10"/>
    </row>
    <row r="373" customFormat="false" ht="14.25" hidden="false" customHeight="true" outlineLevel="0" collapsed="false">
      <c r="P373" s="10"/>
      <c r="Q373" s="10"/>
      <c r="R373" s="10"/>
    </row>
    <row r="374" customFormat="false" ht="14.25" hidden="false" customHeight="true" outlineLevel="0" collapsed="false">
      <c r="P374" s="10"/>
      <c r="Q374" s="10"/>
      <c r="R374" s="10"/>
    </row>
    <row r="375" customFormat="false" ht="14.25" hidden="false" customHeight="true" outlineLevel="0" collapsed="false">
      <c r="P375" s="10"/>
      <c r="Q375" s="10"/>
      <c r="R375" s="10"/>
    </row>
    <row r="376" customFormat="false" ht="14.25" hidden="false" customHeight="true" outlineLevel="0" collapsed="false">
      <c r="P376" s="10"/>
      <c r="Q376" s="10"/>
      <c r="R376" s="10"/>
    </row>
    <row r="377" customFormat="false" ht="14.25" hidden="false" customHeight="true" outlineLevel="0" collapsed="false">
      <c r="P377" s="10"/>
      <c r="Q377" s="10"/>
      <c r="R377" s="10"/>
    </row>
    <row r="378" customFormat="false" ht="14.25" hidden="false" customHeight="true" outlineLevel="0" collapsed="false">
      <c r="P378" s="10"/>
      <c r="Q378" s="10"/>
      <c r="R378" s="10"/>
    </row>
    <row r="379" customFormat="false" ht="14.25" hidden="false" customHeight="true" outlineLevel="0" collapsed="false">
      <c r="P379" s="10"/>
      <c r="Q379" s="10"/>
      <c r="R379" s="10"/>
    </row>
    <row r="380" customFormat="false" ht="14.25" hidden="false" customHeight="true" outlineLevel="0" collapsed="false">
      <c r="P380" s="10"/>
      <c r="Q380" s="10"/>
      <c r="R380" s="10"/>
    </row>
    <row r="381" customFormat="false" ht="14.25" hidden="false" customHeight="true" outlineLevel="0" collapsed="false">
      <c r="P381" s="10"/>
      <c r="Q381" s="10"/>
      <c r="R381" s="10"/>
    </row>
    <row r="382" customFormat="false" ht="14.25" hidden="false" customHeight="true" outlineLevel="0" collapsed="false">
      <c r="P382" s="10"/>
      <c r="Q382" s="10"/>
      <c r="R382" s="10"/>
    </row>
    <row r="383" customFormat="false" ht="14.25" hidden="false" customHeight="true" outlineLevel="0" collapsed="false">
      <c r="P383" s="10"/>
      <c r="Q383" s="10"/>
      <c r="R383" s="10"/>
    </row>
    <row r="384" customFormat="false" ht="14.25" hidden="false" customHeight="true" outlineLevel="0" collapsed="false">
      <c r="P384" s="10"/>
      <c r="Q384" s="10"/>
      <c r="R384" s="10"/>
    </row>
    <row r="385" customFormat="false" ht="14.25" hidden="false" customHeight="true" outlineLevel="0" collapsed="false">
      <c r="P385" s="10"/>
      <c r="Q385" s="10"/>
      <c r="R385" s="10"/>
    </row>
    <row r="386" customFormat="false" ht="14.25" hidden="false" customHeight="true" outlineLevel="0" collapsed="false">
      <c r="P386" s="10"/>
      <c r="Q386" s="10"/>
      <c r="R386" s="10"/>
    </row>
    <row r="387" customFormat="false" ht="14.25" hidden="false" customHeight="true" outlineLevel="0" collapsed="false">
      <c r="P387" s="10"/>
      <c r="Q387" s="10"/>
      <c r="R387" s="10"/>
    </row>
    <row r="388" customFormat="false" ht="14.25" hidden="false" customHeight="true" outlineLevel="0" collapsed="false">
      <c r="P388" s="10"/>
      <c r="Q388" s="10"/>
      <c r="R388" s="10"/>
    </row>
    <row r="389" customFormat="false" ht="14.25" hidden="false" customHeight="true" outlineLevel="0" collapsed="false">
      <c r="P389" s="10"/>
      <c r="Q389" s="10"/>
      <c r="R389" s="10"/>
    </row>
    <row r="390" customFormat="false" ht="14.25" hidden="false" customHeight="true" outlineLevel="0" collapsed="false">
      <c r="P390" s="10"/>
      <c r="Q390" s="10"/>
      <c r="R390" s="10"/>
    </row>
    <row r="391" customFormat="false" ht="14.25" hidden="false" customHeight="true" outlineLevel="0" collapsed="false">
      <c r="P391" s="10"/>
      <c r="Q391" s="10"/>
      <c r="R391" s="10"/>
    </row>
    <row r="392" customFormat="false" ht="14.25" hidden="false" customHeight="true" outlineLevel="0" collapsed="false">
      <c r="P392" s="10"/>
      <c r="Q392" s="10"/>
      <c r="R392" s="10"/>
    </row>
    <row r="393" customFormat="false" ht="14.25" hidden="false" customHeight="true" outlineLevel="0" collapsed="false">
      <c r="P393" s="10"/>
      <c r="Q393" s="10"/>
      <c r="R393" s="10"/>
    </row>
    <row r="394" customFormat="false" ht="14.25" hidden="false" customHeight="true" outlineLevel="0" collapsed="false">
      <c r="P394" s="10"/>
      <c r="Q394" s="10"/>
      <c r="R394" s="10"/>
    </row>
    <row r="395" customFormat="false" ht="14.25" hidden="false" customHeight="true" outlineLevel="0" collapsed="false">
      <c r="P395" s="10"/>
      <c r="Q395" s="10"/>
      <c r="R395" s="10"/>
    </row>
    <row r="396" customFormat="false" ht="14.25" hidden="false" customHeight="true" outlineLevel="0" collapsed="false">
      <c r="P396" s="10"/>
      <c r="Q396" s="10"/>
      <c r="R396" s="10"/>
    </row>
    <row r="397" customFormat="false" ht="14.25" hidden="false" customHeight="true" outlineLevel="0" collapsed="false">
      <c r="P397" s="10"/>
      <c r="Q397" s="10"/>
      <c r="R397" s="10"/>
    </row>
    <row r="398" customFormat="false" ht="14.25" hidden="false" customHeight="true" outlineLevel="0" collapsed="false">
      <c r="P398" s="10"/>
      <c r="Q398" s="10"/>
      <c r="R398" s="10"/>
    </row>
    <row r="399" customFormat="false" ht="14.25" hidden="false" customHeight="true" outlineLevel="0" collapsed="false">
      <c r="P399" s="10"/>
      <c r="Q399" s="10"/>
      <c r="R399" s="10"/>
    </row>
    <row r="400" customFormat="false" ht="14.25" hidden="false" customHeight="true" outlineLevel="0" collapsed="false">
      <c r="P400" s="10"/>
      <c r="Q400" s="10"/>
      <c r="R400" s="10"/>
    </row>
    <row r="401" customFormat="false" ht="14.25" hidden="false" customHeight="true" outlineLevel="0" collapsed="false">
      <c r="P401" s="10"/>
      <c r="Q401" s="10"/>
      <c r="R401" s="10"/>
    </row>
    <row r="402" customFormat="false" ht="14.25" hidden="false" customHeight="true" outlineLevel="0" collapsed="false">
      <c r="P402" s="10"/>
      <c r="Q402" s="10"/>
      <c r="R402" s="10"/>
    </row>
    <row r="403" customFormat="false" ht="14.25" hidden="false" customHeight="true" outlineLevel="0" collapsed="false">
      <c r="P403" s="10"/>
      <c r="Q403" s="10"/>
      <c r="R403" s="10"/>
    </row>
    <row r="404" customFormat="false" ht="14.25" hidden="false" customHeight="true" outlineLevel="0" collapsed="false">
      <c r="P404" s="10"/>
      <c r="Q404" s="10"/>
      <c r="R404" s="10"/>
    </row>
    <row r="405" customFormat="false" ht="14.25" hidden="false" customHeight="true" outlineLevel="0" collapsed="false">
      <c r="P405" s="10"/>
      <c r="Q405" s="10"/>
      <c r="R405" s="10"/>
    </row>
    <row r="406" customFormat="false" ht="14.25" hidden="false" customHeight="true" outlineLevel="0" collapsed="false">
      <c r="P406" s="10"/>
      <c r="Q406" s="10"/>
      <c r="R406" s="10"/>
    </row>
    <row r="407" customFormat="false" ht="14.25" hidden="false" customHeight="true" outlineLevel="0" collapsed="false">
      <c r="P407" s="10"/>
      <c r="Q407" s="10"/>
      <c r="R407" s="10"/>
    </row>
    <row r="408" customFormat="false" ht="14.25" hidden="false" customHeight="true" outlineLevel="0" collapsed="false">
      <c r="P408" s="10"/>
      <c r="Q408" s="10"/>
      <c r="R408" s="10"/>
    </row>
    <row r="409" customFormat="false" ht="14.25" hidden="false" customHeight="true" outlineLevel="0" collapsed="false">
      <c r="P409" s="10"/>
      <c r="Q409" s="10"/>
      <c r="R409" s="10"/>
    </row>
    <row r="410" customFormat="false" ht="14.25" hidden="false" customHeight="true" outlineLevel="0" collapsed="false">
      <c r="P410" s="10"/>
      <c r="Q410" s="10"/>
      <c r="R410" s="10"/>
    </row>
    <row r="411" customFormat="false" ht="14.25" hidden="false" customHeight="true" outlineLevel="0" collapsed="false">
      <c r="P411" s="10"/>
      <c r="Q411" s="10"/>
      <c r="R411" s="10"/>
    </row>
    <row r="412" customFormat="false" ht="14.25" hidden="false" customHeight="true" outlineLevel="0" collapsed="false">
      <c r="P412" s="10"/>
      <c r="Q412" s="10"/>
      <c r="R412" s="10"/>
    </row>
    <row r="413" customFormat="false" ht="14.25" hidden="false" customHeight="true" outlineLevel="0" collapsed="false">
      <c r="P413" s="10"/>
      <c r="Q413" s="10"/>
      <c r="R413" s="10"/>
    </row>
    <row r="414" customFormat="false" ht="14.25" hidden="false" customHeight="true" outlineLevel="0" collapsed="false">
      <c r="P414" s="10"/>
      <c r="Q414" s="10"/>
      <c r="R414" s="10"/>
    </row>
    <row r="415" customFormat="false" ht="14.25" hidden="false" customHeight="true" outlineLevel="0" collapsed="false">
      <c r="P415" s="10"/>
      <c r="Q415" s="10"/>
      <c r="R415" s="10"/>
    </row>
    <row r="416" customFormat="false" ht="14.25" hidden="false" customHeight="true" outlineLevel="0" collapsed="false">
      <c r="P416" s="10"/>
      <c r="Q416" s="10"/>
      <c r="R416" s="10"/>
    </row>
    <row r="417" customFormat="false" ht="14.25" hidden="false" customHeight="true" outlineLevel="0" collapsed="false">
      <c r="P417" s="10"/>
      <c r="Q417" s="10"/>
      <c r="R417" s="10"/>
    </row>
    <row r="418" customFormat="false" ht="14.25" hidden="false" customHeight="true" outlineLevel="0" collapsed="false">
      <c r="P418" s="10"/>
      <c r="Q418" s="10"/>
      <c r="R418" s="10"/>
    </row>
    <row r="419" customFormat="false" ht="14.25" hidden="false" customHeight="true" outlineLevel="0" collapsed="false">
      <c r="P419" s="10"/>
      <c r="Q419" s="10"/>
      <c r="R419" s="10"/>
    </row>
    <row r="420" customFormat="false" ht="14.25" hidden="false" customHeight="true" outlineLevel="0" collapsed="false">
      <c r="P420" s="10"/>
      <c r="Q420" s="10"/>
      <c r="R420" s="10"/>
    </row>
    <row r="421" customFormat="false" ht="14.25" hidden="false" customHeight="true" outlineLevel="0" collapsed="false">
      <c r="P421" s="10"/>
      <c r="Q421" s="10"/>
      <c r="R421" s="10"/>
    </row>
    <row r="422" customFormat="false" ht="14.25" hidden="false" customHeight="true" outlineLevel="0" collapsed="false">
      <c r="P422" s="10"/>
      <c r="Q422" s="10"/>
      <c r="R422" s="10"/>
    </row>
    <row r="423" customFormat="false" ht="14.25" hidden="false" customHeight="true" outlineLevel="0" collapsed="false">
      <c r="P423" s="10"/>
      <c r="Q423" s="10"/>
      <c r="R423" s="10"/>
    </row>
    <row r="424" customFormat="false" ht="14.25" hidden="false" customHeight="true" outlineLevel="0" collapsed="false">
      <c r="P424" s="10"/>
      <c r="Q424" s="10"/>
      <c r="R424" s="10"/>
    </row>
    <row r="425" customFormat="false" ht="14.25" hidden="false" customHeight="true" outlineLevel="0" collapsed="false">
      <c r="P425" s="10"/>
      <c r="Q425" s="10"/>
      <c r="R425" s="10"/>
    </row>
    <row r="426" customFormat="false" ht="14.25" hidden="false" customHeight="true" outlineLevel="0" collapsed="false">
      <c r="P426" s="10"/>
      <c r="Q426" s="10"/>
      <c r="R426" s="10"/>
    </row>
    <row r="427" customFormat="false" ht="14.25" hidden="false" customHeight="true" outlineLevel="0" collapsed="false">
      <c r="P427" s="10"/>
      <c r="Q427" s="10"/>
      <c r="R427" s="10"/>
    </row>
    <row r="428" customFormat="false" ht="14.25" hidden="false" customHeight="true" outlineLevel="0" collapsed="false">
      <c r="P428" s="10"/>
      <c r="Q428" s="10"/>
      <c r="R428" s="10"/>
    </row>
    <row r="429" customFormat="false" ht="14.25" hidden="false" customHeight="true" outlineLevel="0" collapsed="false">
      <c r="P429" s="10"/>
      <c r="Q429" s="10"/>
      <c r="R429" s="10"/>
    </row>
    <row r="430" customFormat="false" ht="14.25" hidden="false" customHeight="true" outlineLevel="0" collapsed="false">
      <c r="P430" s="10"/>
      <c r="Q430" s="10"/>
      <c r="R430" s="10"/>
    </row>
    <row r="431" customFormat="false" ht="14.25" hidden="false" customHeight="true" outlineLevel="0" collapsed="false">
      <c r="P431" s="10"/>
      <c r="Q431" s="10"/>
      <c r="R431" s="10"/>
    </row>
    <row r="432" customFormat="false" ht="14.25" hidden="false" customHeight="true" outlineLevel="0" collapsed="false">
      <c r="P432" s="10"/>
      <c r="Q432" s="10"/>
      <c r="R432" s="10"/>
    </row>
    <row r="433" customFormat="false" ht="14.25" hidden="false" customHeight="true" outlineLevel="0" collapsed="false">
      <c r="P433" s="10"/>
      <c r="Q433" s="10"/>
      <c r="R433" s="10"/>
    </row>
    <row r="434" customFormat="false" ht="14.25" hidden="false" customHeight="true" outlineLevel="0" collapsed="false">
      <c r="P434" s="10"/>
      <c r="Q434" s="10"/>
      <c r="R434" s="10"/>
    </row>
    <row r="435" customFormat="false" ht="14.25" hidden="false" customHeight="true" outlineLevel="0" collapsed="false">
      <c r="P435" s="10"/>
      <c r="Q435" s="10"/>
      <c r="R435" s="10"/>
    </row>
    <row r="436" customFormat="false" ht="14.25" hidden="false" customHeight="true" outlineLevel="0" collapsed="false">
      <c r="P436" s="10"/>
      <c r="Q436" s="10"/>
      <c r="R436" s="10"/>
    </row>
    <row r="437" customFormat="false" ht="14.25" hidden="false" customHeight="true" outlineLevel="0" collapsed="false">
      <c r="P437" s="10"/>
      <c r="Q437" s="10"/>
      <c r="R437" s="10"/>
    </row>
    <row r="438" customFormat="false" ht="14.25" hidden="false" customHeight="true" outlineLevel="0" collapsed="false">
      <c r="P438" s="10"/>
      <c r="Q438" s="10"/>
      <c r="R438" s="10"/>
    </row>
    <row r="439" customFormat="false" ht="14.25" hidden="false" customHeight="true" outlineLevel="0" collapsed="false">
      <c r="P439" s="10"/>
      <c r="Q439" s="10"/>
      <c r="R439" s="10"/>
    </row>
    <row r="440" customFormat="false" ht="14.25" hidden="false" customHeight="true" outlineLevel="0" collapsed="false">
      <c r="P440" s="10"/>
      <c r="Q440" s="10"/>
      <c r="R440" s="10"/>
    </row>
    <row r="441" customFormat="false" ht="14.25" hidden="false" customHeight="true" outlineLevel="0" collapsed="false">
      <c r="P441" s="10"/>
      <c r="Q441" s="10"/>
      <c r="R441" s="10"/>
    </row>
    <row r="442" customFormat="false" ht="14.25" hidden="false" customHeight="true" outlineLevel="0" collapsed="false">
      <c r="P442" s="10"/>
      <c r="Q442" s="10"/>
      <c r="R442" s="10"/>
    </row>
    <row r="443" customFormat="false" ht="14.25" hidden="false" customHeight="true" outlineLevel="0" collapsed="false">
      <c r="P443" s="10"/>
      <c r="Q443" s="10"/>
      <c r="R443" s="10"/>
    </row>
    <row r="444" customFormat="false" ht="14.25" hidden="false" customHeight="true" outlineLevel="0" collapsed="false">
      <c r="P444" s="10"/>
      <c r="Q444" s="10"/>
      <c r="R444" s="10"/>
    </row>
    <row r="445" customFormat="false" ht="14.25" hidden="false" customHeight="true" outlineLevel="0" collapsed="false">
      <c r="P445" s="10"/>
      <c r="Q445" s="10"/>
      <c r="R445" s="10"/>
    </row>
    <row r="446" customFormat="false" ht="14.25" hidden="false" customHeight="true" outlineLevel="0" collapsed="false">
      <c r="P446" s="10"/>
      <c r="Q446" s="10"/>
      <c r="R446" s="10"/>
    </row>
    <row r="447" customFormat="false" ht="14.25" hidden="false" customHeight="true" outlineLevel="0" collapsed="false">
      <c r="P447" s="10"/>
      <c r="Q447" s="10"/>
      <c r="R447" s="10"/>
    </row>
    <row r="448" customFormat="false" ht="14.25" hidden="false" customHeight="true" outlineLevel="0" collapsed="false">
      <c r="P448" s="10"/>
      <c r="Q448" s="10"/>
      <c r="R448" s="10"/>
    </row>
    <row r="449" customFormat="false" ht="14.25" hidden="false" customHeight="true" outlineLevel="0" collapsed="false">
      <c r="P449" s="10"/>
      <c r="Q449" s="10"/>
      <c r="R449" s="10"/>
    </row>
    <row r="450" customFormat="false" ht="14.25" hidden="false" customHeight="true" outlineLevel="0" collapsed="false">
      <c r="P450" s="10"/>
      <c r="Q450" s="10"/>
      <c r="R450" s="10"/>
    </row>
    <row r="451" customFormat="false" ht="14.25" hidden="false" customHeight="true" outlineLevel="0" collapsed="false">
      <c r="P451" s="10"/>
      <c r="Q451" s="10"/>
      <c r="R451" s="10"/>
    </row>
    <row r="452" customFormat="false" ht="14.25" hidden="false" customHeight="true" outlineLevel="0" collapsed="false">
      <c r="P452" s="10"/>
      <c r="Q452" s="10"/>
      <c r="R452" s="10"/>
    </row>
    <row r="453" customFormat="false" ht="14.25" hidden="false" customHeight="true" outlineLevel="0" collapsed="false">
      <c r="P453" s="10"/>
      <c r="Q453" s="10"/>
      <c r="R453" s="10"/>
    </row>
    <row r="454" customFormat="false" ht="14.25" hidden="false" customHeight="true" outlineLevel="0" collapsed="false">
      <c r="P454" s="10"/>
      <c r="Q454" s="10"/>
      <c r="R454" s="10"/>
    </row>
    <row r="455" customFormat="false" ht="14.25" hidden="false" customHeight="true" outlineLevel="0" collapsed="false">
      <c r="P455" s="10"/>
      <c r="Q455" s="10"/>
      <c r="R455" s="10"/>
    </row>
    <row r="456" customFormat="false" ht="14.25" hidden="false" customHeight="true" outlineLevel="0" collapsed="false">
      <c r="P456" s="10"/>
      <c r="Q456" s="10"/>
      <c r="R456" s="10"/>
    </row>
    <row r="457" customFormat="false" ht="14.25" hidden="false" customHeight="true" outlineLevel="0" collapsed="false">
      <c r="P457" s="10"/>
      <c r="Q457" s="10"/>
      <c r="R457" s="10"/>
    </row>
    <row r="458" customFormat="false" ht="14.25" hidden="false" customHeight="true" outlineLevel="0" collapsed="false">
      <c r="P458" s="10"/>
      <c r="Q458" s="10"/>
      <c r="R458" s="10"/>
    </row>
    <row r="459" customFormat="false" ht="14.25" hidden="false" customHeight="true" outlineLevel="0" collapsed="false">
      <c r="P459" s="10"/>
      <c r="Q459" s="10"/>
      <c r="R459" s="10"/>
    </row>
    <row r="460" customFormat="false" ht="14.25" hidden="false" customHeight="true" outlineLevel="0" collapsed="false">
      <c r="P460" s="10"/>
      <c r="Q460" s="10"/>
      <c r="R460" s="10"/>
    </row>
    <row r="461" customFormat="false" ht="14.25" hidden="false" customHeight="true" outlineLevel="0" collapsed="false">
      <c r="P461" s="10"/>
      <c r="Q461" s="10"/>
      <c r="R461" s="10"/>
    </row>
    <row r="462" customFormat="false" ht="14.25" hidden="false" customHeight="true" outlineLevel="0" collapsed="false">
      <c r="P462" s="10"/>
      <c r="Q462" s="10"/>
      <c r="R462" s="10"/>
    </row>
    <row r="463" customFormat="false" ht="14.25" hidden="false" customHeight="true" outlineLevel="0" collapsed="false">
      <c r="P463" s="10"/>
      <c r="Q463" s="10"/>
      <c r="R463" s="10"/>
    </row>
    <row r="464" customFormat="false" ht="14.25" hidden="false" customHeight="true" outlineLevel="0" collapsed="false">
      <c r="P464" s="10"/>
      <c r="Q464" s="10"/>
      <c r="R464" s="10"/>
    </row>
    <row r="465" customFormat="false" ht="14.25" hidden="false" customHeight="true" outlineLevel="0" collapsed="false">
      <c r="P465" s="10"/>
      <c r="Q465" s="10"/>
      <c r="R465" s="10"/>
    </row>
    <row r="466" customFormat="false" ht="14.25" hidden="false" customHeight="true" outlineLevel="0" collapsed="false">
      <c r="P466" s="10"/>
      <c r="Q466" s="10"/>
      <c r="R466" s="10"/>
    </row>
    <row r="467" customFormat="false" ht="14.25" hidden="false" customHeight="true" outlineLevel="0" collapsed="false">
      <c r="P467" s="10"/>
      <c r="Q467" s="10"/>
      <c r="R467" s="10"/>
    </row>
    <row r="468" customFormat="false" ht="14.25" hidden="false" customHeight="true" outlineLevel="0" collapsed="false">
      <c r="P468" s="10"/>
      <c r="Q468" s="10"/>
      <c r="R468" s="10"/>
    </row>
    <row r="469" customFormat="false" ht="14.25" hidden="false" customHeight="true" outlineLevel="0" collapsed="false">
      <c r="P469" s="10"/>
      <c r="Q469" s="10"/>
      <c r="R469" s="10"/>
    </row>
    <row r="470" customFormat="false" ht="14.25" hidden="false" customHeight="true" outlineLevel="0" collapsed="false">
      <c r="P470" s="10"/>
      <c r="Q470" s="10"/>
      <c r="R470" s="10"/>
    </row>
    <row r="471" customFormat="false" ht="14.25" hidden="false" customHeight="true" outlineLevel="0" collapsed="false">
      <c r="P471" s="10"/>
      <c r="Q471" s="10"/>
      <c r="R471" s="10"/>
    </row>
    <row r="472" customFormat="false" ht="14.25" hidden="false" customHeight="true" outlineLevel="0" collapsed="false">
      <c r="P472" s="10"/>
      <c r="Q472" s="10"/>
      <c r="R472" s="10"/>
    </row>
    <row r="473" customFormat="false" ht="14.25" hidden="false" customHeight="true" outlineLevel="0" collapsed="false">
      <c r="P473" s="10"/>
      <c r="Q473" s="10"/>
      <c r="R473" s="10"/>
    </row>
    <row r="474" customFormat="false" ht="14.25" hidden="false" customHeight="true" outlineLevel="0" collapsed="false">
      <c r="P474" s="10"/>
      <c r="Q474" s="10"/>
      <c r="R474" s="10"/>
    </row>
    <row r="475" customFormat="false" ht="14.25" hidden="false" customHeight="true" outlineLevel="0" collapsed="false">
      <c r="P475" s="10"/>
      <c r="Q475" s="10"/>
      <c r="R475" s="10"/>
    </row>
    <row r="476" customFormat="false" ht="14.25" hidden="false" customHeight="true" outlineLevel="0" collapsed="false">
      <c r="P476" s="10"/>
      <c r="Q476" s="10"/>
      <c r="R476" s="10"/>
    </row>
    <row r="477" customFormat="false" ht="14.25" hidden="false" customHeight="true" outlineLevel="0" collapsed="false">
      <c r="P477" s="10"/>
      <c r="Q477" s="10"/>
      <c r="R477" s="10"/>
    </row>
    <row r="478" customFormat="false" ht="14.25" hidden="false" customHeight="true" outlineLevel="0" collapsed="false">
      <c r="P478" s="10"/>
      <c r="Q478" s="10"/>
      <c r="R478" s="10"/>
    </row>
    <row r="479" customFormat="false" ht="14.25" hidden="false" customHeight="true" outlineLevel="0" collapsed="false">
      <c r="P479" s="10"/>
      <c r="Q479" s="10"/>
      <c r="R479" s="10"/>
    </row>
    <row r="480" customFormat="false" ht="14.25" hidden="false" customHeight="true" outlineLevel="0" collapsed="false">
      <c r="P480" s="10"/>
      <c r="Q480" s="10"/>
      <c r="R480" s="10"/>
    </row>
    <row r="481" customFormat="false" ht="14.25" hidden="false" customHeight="true" outlineLevel="0" collapsed="false">
      <c r="P481" s="10"/>
      <c r="Q481" s="10"/>
      <c r="R481" s="10"/>
    </row>
    <row r="482" customFormat="false" ht="14.25" hidden="false" customHeight="true" outlineLevel="0" collapsed="false">
      <c r="P482" s="10"/>
      <c r="Q482" s="10"/>
      <c r="R482" s="10"/>
    </row>
    <row r="483" customFormat="false" ht="14.25" hidden="false" customHeight="true" outlineLevel="0" collapsed="false">
      <c r="P483" s="10"/>
      <c r="Q483" s="10"/>
      <c r="R483" s="10"/>
    </row>
    <row r="484" customFormat="false" ht="14.25" hidden="false" customHeight="true" outlineLevel="0" collapsed="false">
      <c r="P484" s="10"/>
      <c r="Q484" s="10"/>
      <c r="R484" s="10"/>
    </row>
    <row r="485" customFormat="false" ht="14.25" hidden="false" customHeight="true" outlineLevel="0" collapsed="false">
      <c r="P485" s="10"/>
      <c r="Q485" s="10"/>
      <c r="R485" s="10"/>
    </row>
    <row r="486" customFormat="false" ht="14.25" hidden="false" customHeight="true" outlineLevel="0" collapsed="false">
      <c r="P486" s="10"/>
      <c r="Q486" s="10"/>
      <c r="R486" s="10"/>
    </row>
    <row r="487" customFormat="false" ht="14.25" hidden="false" customHeight="true" outlineLevel="0" collapsed="false">
      <c r="P487" s="10"/>
      <c r="Q487" s="10"/>
      <c r="R487" s="10"/>
    </row>
    <row r="488" customFormat="false" ht="14.25" hidden="false" customHeight="true" outlineLevel="0" collapsed="false">
      <c r="P488" s="10"/>
      <c r="Q488" s="10"/>
      <c r="R488" s="10"/>
    </row>
    <row r="489" customFormat="false" ht="14.25" hidden="false" customHeight="true" outlineLevel="0" collapsed="false">
      <c r="P489" s="10"/>
      <c r="Q489" s="10"/>
      <c r="R489" s="10"/>
    </row>
    <row r="490" customFormat="false" ht="14.25" hidden="false" customHeight="true" outlineLevel="0" collapsed="false">
      <c r="P490" s="10"/>
      <c r="Q490" s="10"/>
      <c r="R490" s="10"/>
    </row>
    <row r="491" customFormat="false" ht="14.25" hidden="false" customHeight="true" outlineLevel="0" collapsed="false">
      <c r="P491" s="10"/>
      <c r="Q491" s="10"/>
      <c r="R491" s="10"/>
    </row>
    <row r="492" customFormat="false" ht="14.25" hidden="false" customHeight="true" outlineLevel="0" collapsed="false">
      <c r="P492" s="10"/>
      <c r="Q492" s="10"/>
      <c r="R492" s="10"/>
    </row>
    <row r="493" customFormat="false" ht="14.25" hidden="false" customHeight="true" outlineLevel="0" collapsed="false">
      <c r="P493" s="10"/>
      <c r="Q493" s="10"/>
      <c r="R493" s="10"/>
    </row>
    <row r="494" customFormat="false" ht="14.25" hidden="false" customHeight="true" outlineLevel="0" collapsed="false">
      <c r="P494" s="10"/>
      <c r="Q494" s="10"/>
      <c r="R494" s="10"/>
    </row>
    <row r="495" customFormat="false" ht="14.25" hidden="false" customHeight="true" outlineLevel="0" collapsed="false">
      <c r="P495" s="10"/>
      <c r="Q495" s="10"/>
      <c r="R495" s="10"/>
    </row>
    <row r="496" customFormat="false" ht="14.25" hidden="false" customHeight="true" outlineLevel="0" collapsed="false">
      <c r="P496" s="10"/>
      <c r="Q496" s="10"/>
      <c r="R496" s="10"/>
    </row>
    <row r="497" customFormat="false" ht="14.25" hidden="false" customHeight="true" outlineLevel="0" collapsed="false">
      <c r="P497" s="10"/>
      <c r="Q497" s="10"/>
      <c r="R497" s="10"/>
    </row>
    <row r="498" customFormat="false" ht="14.25" hidden="false" customHeight="true" outlineLevel="0" collapsed="false">
      <c r="P498" s="10"/>
      <c r="Q498" s="10"/>
      <c r="R498" s="10"/>
    </row>
    <row r="499" customFormat="false" ht="14.25" hidden="false" customHeight="true" outlineLevel="0" collapsed="false">
      <c r="P499" s="10"/>
      <c r="Q499" s="10"/>
      <c r="R499" s="10"/>
    </row>
    <row r="500" customFormat="false" ht="14.25" hidden="false" customHeight="true" outlineLevel="0" collapsed="false">
      <c r="P500" s="10"/>
      <c r="Q500" s="10"/>
      <c r="R500" s="10"/>
    </row>
    <row r="501" customFormat="false" ht="14.25" hidden="false" customHeight="true" outlineLevel="0" collapsed="false">
      <c r="P501" s="10"/>
      <c r="Q501" s="10"/>
      <c r="R501" s="10"/>
    </row>
    <row r="502" customFormat="false" ht="14.25" hidden="false" customHeight="true" outlineLevel="0" collapsed="false">
      <c r="P502" s="10"/>
      <c r="Q502" s="10"/>
      <c r="R502" s="10"/>
    </row>
    <row r="503" customFormat="false" ht="14.25" hidden="false" customHeight="true" outlineLevel="0" collapsed="false">
      <c r="P503" s="10"/>
      <c r="Q503" s="10"/>
      <c r="R503" s="10"/>
    </row>
    <row r="504" customFormat="false" ht="14.25" hidden="false" customHeight="true" outlineLevel="0" collapsed="false">
      <c r="P504" s="10"/>
      <c r="Q504" s="10"/>
      <c r="R504" s="10"/>
    </row>
    <row r="505" customFormat="false" ht="14.25" hidden="false" customHeight="true" outlineLevel="0" collapsed="false">
      <c r="P505" s="10"/>
      <c r="Q505" s="10"/>
      <c r="R505" s="10"/>
    </row>
    <row r="506" customFormat="false" ht="14.25" hidden="false" customHeight="true" outlineLevel="0" collapsed="false">
      <c r="P506" s="10"/>
      <c r="Q506" s="10"/>
      <c r="R506" s="10"/>
    </row>
    <row r="507" customFormat="false" ht="14.25" hidden="false" customHeight="true" outlineLevel="0" collapsed="false">
      <c r="P507" s="10"/>
      <c r="Q507" s="10"/>
      <c r="R507" s="10"/>
    </row>
    <row r="508" customFormat="false" ht="14.25" hidden="false" customHeight="true" outlineLevel="0" collapsed="false">
      <c r="P508" s="10"/>
      <c r="Q508" s="10"/>
      <c r="R508" s="10"/>
    </row>
    <row r="509" customFormat="false" ht="14.25" hidden="false" customHeight="true" outlineLevel="0" collapsed="false">
      <c r="P509" s="10"/>
      <c r="Q509" s="10"/>
      <c r="R509" s="10"/>
    </row>
    <row r="510" customFormat="false" ht="14.25" hidden="false" customHeight="true" outlineLevel="0" collapsed="false">
      <c r="P510" s="10"/>
      <c r="Q510" s="10"/>
      <c r="R510" s="10"/>
    </row>
    <row r="511" customFormat="false" ht="14.25" hidden="false" customHeight="true" outlineLevel="0" collapsed="false">
      <c r="P511" s="10"/>
      <c r="Q511" s="10"/>
      <c r="R511" s="10"/>
    </row>
    <row r="512" customFormat="false" ht="14.25" hidden="false" customHeight="true" outlineLevel="0" collapsed="false">
      <c r="P512" s="10"/>
      <c r="Q512" s="10"/>
      <c r="R512" s="10"/>
    </row>
    <row r="513" customFormat="false" ht="14.25" hidden="false" customHeight="true" outlineLevel="0" collapsed="false">
      <c r="P513" s="10"/>
      <c r="Q513" s="10"/>
      <c r="R513" s="10"/>
    </row>
    <row r="514" customFormat="false" ht="14.25" hidden="false" customHeight="true" outlineLevel="0" collapsed="false">
      <c r="P514" s="10"/>
      <c r="Q514" s="10"/>
      <c r="R514" s="10"/>
    </row>
    <row r="515" customFormat="false" ht="14.25" hidden="false" customHeight="true" outlineLevel="0" collapsed="false">
      <c r="P515" s="10"/>
      <c r="Q515" s="10"/>
      <c r="R515" s="10"/>
    </row>
    <row r="516" customFormat="false" ht="14.25" hidden="false" customHeight="true" outlineLevel="0" collapsed="false">
      <c r="P516" s="10"/>
      <c r="Q516" s="10"/>
      <c r="R516" s="10"/>
    </row>
    <row r="517" customFormat="false" ht="14.25" hidden="false" customHeight="true" outlineLevel="0" collapsed="false">
      <c r="P517" s="10"/>
      <c r="Q517" s="10"/>
      <c r="R517" s="10"/>
    </row>
    <row r="518" customFormat="false" ht="14.25" hidden="false" customHeight="true" outlineLevel="0" collapsed="false">
      <c r="P518" s="10"/>
      <c r="Q518" s="10"/>
      <c r="R518" s="10"/>
    </row>
    <row r="519" customFormat="false" ht="14.25" hidden="false" customHeight="true" outlineLevel="0" collapsed="false">
      <c r="P519" s="10"/>
      <c r="Q519" s="10"/>
      <c r="R519" s="10"/>
    </row>
    <row r="520" customFormat="false" ht="14.25" hidden="false" customHeight="true" outlineLevel="0" collapsed="false">
      <c r="P520" s="10"/>
      <c r="Q520" s="10"/>
      <c r="R520" s="10"/>
    </row>
    <row r="521" customFormat="false" ht="14.25" hidden="false" customHeight="true" outlineLevel="0" collapsed="false">
      <c r="P521" s="10"/>
      <c r="Q521" s="10"/>
      <c r="R521" s="10"/>
    </row>
    <row r="522" customFormat="false" ht="14.25" hidden="false" customHeight="true" outlineLevel="0" collapsed="false">
      <c r="P522" s="10"/>
      <c r="Q522" s="10"/>
      <c r="R522" s="10"/>
    </row>
    <row r="523" customFormat="false" ht="14.25" hidden="false" customHeight="true" outlineLevel="0" collapsed="false">
      <c r="P523" s="10"/>
      <c r="Q523" s="10"/>
      <c r="R523" s="10"/>
    </row>
    <row r="524" customFormat="false" ht="14.25" hidden="false" customHeight="true" outlineLevel="0" collapsed="false">
      <c r="P524" s="10"/>
      <c r="Q524" s="10"/>
      <c r="R524" s="10"/>
    </row>
    <row r="525" customFormat="false" ht="14.25" hidden="false" customHeight="true" outlineLevel="0" collapsed="false">
      <c r="P525" s="10"/>
      <c r="Q525" s="10"/>
      <c r="R525" s="10"/>
    </row>
    <row r="526" customFormat="false" ht="14.25" hidden="false" customHeight="true" outlineLevel="0" collapsed="false">
      <c r="P526" s="10"/>
      <c r="Q526" s="10"/>
      <c r="R526" s="10"/>
    </row>
    <row r="527" customFormat="false" ht="14.25" hidden="false" customHeight="true" outlineLevel="0" collapsed="false">
      <c r="P527" s="10"/>
      <c r="Q527" s="10"/>
      <c r="R527" s="10"/>
    </row>
    <row r="528" customFormat="false" ht="14.25" hidden="false" customHeight="true" outlineLevel="0" collapsed="false">
      <c r="P528" s="10"/>
      <c r="Q528" s="10"/>
      <c r="R528" s="10"/>
    </row>
    <row r="529" customFormat="false" ht="14.25" hidden="false" customHeight="true" outlineLevel="0" collapsed="false">
      <c r="P529" s="10"/>
      <c r="Q529" s="10"/>
      <c r="R529" s="10"/>
    </row>
    <row r="530" customFormat="false" ht="14.25" hidden="false" customHeight="true" outlineLevel="0" collapsed="false">
      <c r="P530" s="10"/>
      <c r="Q530" s="10"/>
      <c r="R530" s="10"/>
    </row>
    <row r="531" customFormat="false" ht="14.25" hidden="false" customHeight="true" outlineLevel="0" collapsed="false">
      <c r="P531" s="10"/>
      <c r="Q531" s="10"/>
      <c r="R531" s="10"/>
    </row>
    <row r="532" customFormat="false" ht="14.25" hidden="false" customHeight="true" outlineLevel="0" collapsed="false">
      <c r="P532" s="10"/>
      <c r="Q532" s="10"/>
      <c r="R532" s="10"/>
    </row>
    <row r="533" customFormat="false" ht="14.25" hidden="false" customHeight="true" outlineLevel="0" collapsed="false">
      <c r="P533" s="10"/>
      <c r="Q533" s="10"/>
      <c r="R533" s="10"/>
    </row>
    <row r="534" customFormat="false" ht="14.25" hidden="false" customHeight="true" outlineLevel="0" collapsed="false">
      <c r="P534" s="10"/>
      <c r="Q534" s="10"/>
      <c r="R534" s="10"/>
    </row>
    <row r="535" customFormat="false" ht="14.25" hidden="false" customHeight="true" outlineLevel="0" collapsed="false">
      <c r="P535" s="10"/>
      <c r="Q535" s="10"/>
      <c r="R535" s="10"/>
    </row>
    <row r="536" customFormat="false" ht="14.25" hidden="false" customHeight="true" outlineLevel="0" collapsed="false">
      <c r="P536" s="10"/>
      <c r="Q536" s="10"/>
      <c r="R536" s="10"/>
    </row>
    <row r="537" customFormat="false" ht="14.25" hidden="false" customHeight="true" outlineLevel="0" collapsed="false">
      <c r="P537" s="10"/>
      <c r="Q537" s="10"/>
      <c r="R537" s="10"/>
    </row>
    <row r="538" customFormat="false" ht="14.25" hidden="false" customHeight="true" outlineLevel="0" collapsed="false">
      <c r="P538" s="10"/>
      <c r="Q538" s="10"/>
      <c r="R538" s="10"/>
    </row>
    <row r="539" customFormat="false" ht="14.25" hidden="false" customHeight="true" outlineLevel="0" collapsed="false">
      <c r="P539" s="10"/>
      <c r="Q539" s="10"/>
      <c r="R539" s="10"/>
    </row>
    <row r="540" customFormat="false" ht="14.25" hidden="false" customHeight="true" outlineLevel="0" collapsed="false">
      <c r="P540" s="10"/>
      <c r="Q540" s="10"/>
      <c r="R540" s="10"/>
    </row>
    <row r="541" customFormat="false" ht="14.25" hidden="false" customHeight="true" outlineLevel="0" collapsed="false">
      <c r="P541" s="10"/>
      <c r="Q541" s="10"/>
      <c r="R541" s="10"/>
    </row>
    <row r="542" customFormat="false" ht="14.25" hidden="false" customHeight="true" outlineLevel="0" collapsed="false">
      <c r="P542" s="10"/>
      <c r="Q542" s="10"/>
      <c r="R542" s="10"/>
    </row>
    <row r="543" customFormat="false" ht="14.25" hidden="false" customHeight="true" outlineLevel="0" collapsed="false">
      <c r="P543" s="10"/>
      <c r="Q543" s="10"/>
      <c r="R543" s="10"/>
    </row>
    <row r="544" customFormat="false" ht="14.25" hidden="false" customHeight="true" outlineLevel="0" collapsed="false">
      <c r="P544" s="10"/>
      <c r="Q544" s="10"/>
      <c r="R544" s="10"/>
    </row>
    <row r="545" customFormat="false" ht="14.25" hidden="false" customHeight="true" outlineLevel="0" collapsed="false">
      <c r="P545" s="10"/>
      <c r="Q545" s="10"/>
      <c r="R545" s="10"/>
    </row>
    <row r="546" customFormat="false" ht="14.25" hidden="false" customHeight="true" outlineLevel="0" collapsed="false">
      <c r="P546" s="10"/>
      <c r="Q546" s="10"/>
      <c r="R546" s="10"/>
    </row>
    <row r="547" customFormat="false" ht="14.25" hidden="false" customHeight="true" outlineLevel="0" collapsed="false">
      <c r="P547" s="10"/>
      <c r="Q547" s="10"/>
      <c r="R547" s="10"/>
    </row>
    <row r="548" customFormat="false" ht="14.25" hidden="false" customHeight="true" outlineLevel="0" collapsed="false">
      <c r="P548" s="10"/>
      <c r="Q548" s="10"/>
      <c r="R548" s="10"/>
    </row>
    <row r="549" customFormat="false" ht="14.25" hidden="false" customHeight="true" outlineLevel="0" collapsed="false">
      <c r="P549" s="10"/>
      <c r="Q549" s="10"/>
      <c r="R549" s="10"/>
    </row>
    <row r="550" customFormat="false" ht="14.25" hidden="false" customHeight="true" outlineLevel="0" collapsed="false">
      <c r="P550" s="10"/>
      <c r="Q550" s="10"/>
      <c r="R550" s="10"/>
    </row>
    <row r="551" customFormat="false" ht="14.25" hidden="false" customHeight="true" outlineLevel="0" collapsed="false">
      <c r="P551" s="10"/>
      <c r="Q551" s="10"/>
      <c r="R551" s="10"/>
    </row>
    <row r="552" customFormat="false" ht="14.25" hidden="false" customHeight="true" outlineLevel="0" collapsed="false">
      <c r="P552" s="10"/>
      <c r="Q552" s="10"/>
      <c r="R552" s="10"/>
    </row>
    <row r="553" customFormat="false" ht="14.25" hidden="false" customHeight="true" outlineLevel="0" collapsed="false">
      <c r="P553" s="10"/>
      <c r="Q553" s="10"/>
      <c r="R553" s="10"/>
    </row>
    <row r="554" customFormat="false" ht="14.25" hidden="false" customHeight="true" outlineLevel="0" collapsed="false">
      <c r="P554" s="10"/>
      <c r="Q554" s="10"/>
      <c r="R554" s="10"/>
    </row>
    <row r="555" customFormat="false" ht="14.25" hidden="false" customHeight="true" outlineLevel="0" collapsed="false">
      <c r="P555" s="10"/>
      <c r="Q555" s="10"/>
      <c r="R555" s="10"/>
    </row>
    <row r="556" customFormat="false" ht="14.25" hidden="false" customHeight="true" outlineLevel="0" collapsed="false">
      <c r="P556" s="10"/>
      <c r="Q556" s="10"/>
      <c r="R556" s="10"/>
    </row>
    <row r="557" customFormat="false" ht="14.25" hidden="false" customHeight="true" outlineLevel="0" collapsed="false">
      <c r="P557" s="10"/>
      <c r="Q557" s="10"/>
      <c r="R557" s="10"/>
    </row>
    <row r="558" customFormat="false" ht="14.25" hidden="false" customHeight="true" outlineLevel="0" collapsed="false">
      <c r="P558" s="10"/>
      <c r="Q558" s="10"/>
      <c r="R558" s="10"/>
    </row>
    <row r="559" customFormat="false" ht="14.25" hidden="false" customHeight="true" outlineLevel="0" collapsed="false">
      <c r="P559" s="10"/>
      <c r="Q559" s="10"/>
      <c r="R559" s="10"/>
    </row>
    <row r="560" customFormat="false" ht="14.25" hidden="false" customHeight="true" outlineLevel="0" collapsed="false">
      <c r="P560" s="10"/>
      <c r="Q560" s="10"/>
      <c r="R560" s="10"/>
    </row>
    <row r="561" customFormat="false" ht="14.25" hidden="false" customHeight="true" outlineLevel="0" collapsed="false">
      <c r="P561" s="10"/>
      <c r="Q561" s="10"/>
      <c r="R561" s="10"/>
    </row>
    <row r="562" customFormat="false" ht="14.25" hidden="false" customHeight="true" outlineLevel="0" collapsed="false">
      <c r="P562" s="10"/>
      <c r="Q562" s="10"/>
      <c r="R562" s="10"/>
    </row>
    <row r="563" customFormat="false" ht="14.25" hidden="false" customHeight="true" outlineLevel="0" collapsed="false">
      <c r="P563" s="10"/>
      <c r="Q563" s="10"/>
      <c r="R563" s="10"/>
    </row>
    <row r="564" customFormat="false" ht="14.25" hidden="false" customHeight="true" outlineLevel="0" collapsed="false">
      <c r="P564" s="10"/>
      <c r="Q564" s="10"/>
      <c r="R564" s="10"/>
    </row>
    <row r="565" customFormat="false" ht="14.25" hidden="false" customHeight="true" outlineLevel="0" collapsed="false">
      <c r="P565" s="10"/>
      <c r="Q565" s="10"/>
      <c r="R565" s="10"/>
    </row>
    <row r="566" customFormat="false" ht="14.25" hidden="false" customHeight="true" outlineLevel="0" collapsed="false">
      <c r="P566" s="10"/>
      <c r="Q566" s="10"/>
      <c r="R566" s="10"/>
    </row>
    <row r="567" customFormat="false" ht="14.25" hidden="false" customHeight="true" outlineLevel="0" collapsed="false">
      <c r="P567" s="10"/>
      <c r="Q567" s="10"/>
      <c r="R567" s="10"/>
    </row>
    <row r="568" customFormat="false" ht="14.25" hidden="false" customHeight="true" outlineLevel="0" collapsed="false">
      <c r="P568" s="10"/>
      <c r="Q568" s="10"/>
      <c r="R568" s="10"/>
    </row>
    <row r="569" customFormat="false" ht="14.25" hidden="false" customHeight="true" outlineLevel="0" collapsed="false">
      <c r="P569" s="10"/>
      <c r="Q569" s="10"/>
      <c r="R569" s="10"/>
    </row>
    <row r="570" customFormat="false" ht="14.25" hidden="false" customHeight="true" outlineLevel="0" collapsed="false">
      <c r="P570" s="10"/>
      <c r="Q570" s="10"/>
      <c r="R570" s="10"/>
    </row>
    <row r="571" customFormat="false" ht="14.25" hidden="false" customHeight="true" outlineLevel="0" collapsed="false">
      <c r="P571" s="10"/>
      <c r="Q571" s="10"/>
      <c r="R571" s="10"/>
    </row>
    <row r="572" customFormat="false" ht="14.25" hidden="false" customHeight="true" outlineLevel="0" collapsed="false">
      <c r="P572" s="10"/>
      <c r="Q572" s="10"/>
      <c r="R572" s="10"/>
    </row>
    <row r="573" customFormat="false" ht="14.25" hidden="false" customHeight="true" outlineLevel="0" collapsed="false">
      <c r="P573" s="10"/>
      <c r="Q573" s="10"/>
      <c r="R573" s="10"/>
    </row>
    <row r="574" customFormat="false" ht="14.25" hidden="false" customHeight="true" outlineLevel="0" collapsed="false">
      <c r="P574" s="10"/>
      <c r="Q574" s="10"/>
      <c r="R574" s="10"/>
    </row>
    <row r="575" customFormat="false" ht="14.25" hidden="false" customHeight="true" outlineLevel="0" collapsed="false">
      <c r="P575" s="10"/>
      <c r="Q575" s="10"/>
      <c r="R575" s="10"/>
    </row>
    <row r="576" customFormat="false" ht="14.25" hidden="false" customHeight="true" outlineLevel="0" collapsed="false">
      <c r="P576" s="10"/>
      <c r="Q576" s="10"/>
      <c r="R576" s="10"/>
    </row>
    <row r="577" customFormat="false" ht="14.25" hidden="false" customHeight="true" outlineLevel="0" collapsed="false">
      <c r="P577" s="10"/>
      <c r="Q577" s="10"/>
      <c r="R577" s="10"/>
    </row>
    <row r="578" customFormat="false" ht="14.25" hidden="false" customHeight="true" outlineLevel="0" collapsed="false">
      <c r="P578" s="10"/>
      <c r="Q578" s="10"/>
      <c r="R578" s="10"/>
    </row>
    <row r="579" customFormat="false" ht="14.25" hidden="false" customHeight="true" outlineLevel="0" collapsed="false">
      <c r="P579" s="10"/>
      <c r="Q579" s="10"/>
      <c r="R579" s="10"/>
    </row>
    <row r="580" customFormat="false" ht="14.25" hidden="false" customHeight="true" outlineLevel="0" collapsed="false">
      <c r="P580" s="10"/>
      <c r="Q580" s="10"/>
      <c r="R580" s="10"/>
    </row>
    <row r="581" customFormat="false" ht="14.25" hidden="false" customHeight="true" outlineLevel="0" collapsed="false">
      <c r="P581" s="10"/>
      <c r="Q581" s="10"/>
      <c r="R581" s="10"/>
    </row>
    <row r="582" customFormat="false" ht="14.25" hidden="false" customHeight="true" outlineLevel="0" collapsed="false">
      <c r="P582" s="10"/>
      <c r="Q582" s="10"/>
      <c r="R582" s="10"/>
    </row>
    <row r="583" customFormat="false" ht="14.25" hidden="false" customHeight="true" outlineLevel="0" collapsed="false">
      <c r="P583" s="10"/>
      <c r="Q583" s="10"/>
      <c r="R583" s="10"/>
    </row>
    <row r="584" customFormat="false" ht="14.25" hidden="false" customHeight="true" outlineLevel="0" collapsed="false">
      <c r="P584" s="10"/>
      <c r="Q584" s="10"/>
      <c r="R584" s="10"/>
    </row>
    <row r="585" customFormat="false" ht="14.25" hidden="false" customHeight="true" outlineLevel="0" collapsed="false">
      <c r="P585" s="10"/>
      <c r="Q585" s="10"/>
      <c r="R585" s="10"/>
    </row>
    <row r="586" customFormat="false" ht="14.25" hidden="false" customHeight="true" outlineLevel="0" collapsed="false">
      <c r="P586" s="10"/>
      <c r="Q586" s="10"/>
      <c r="R586" s="10"/>
    </row>
    <row r="587" customFormat="false" ht="14.25" hidden="false" customHeight="true" outlineLevel="0" collapsed="false">
      <c r="P587" s="10"/>
      <c r="Q587" s="10"/>
      <c r="R587" s="10"/>
    </row>
    <row r="588" customFormat="false" ht="14.25" hidden="false" customHeight="true" outlineLevel="0" collapsed="false">
      <c r="P588" s="10"/>
      <c r="Q588" s="10"/>
      <c r="R588" s="10"/>
    </row>
    <row r="589" customFormat="false" ht="14.25" hidden="false" customHeight="true" outlineLevel="0" collapsed="false">
      <c r="P589" s="10"/>
      <c r="Q589" s="10"/>
      <c r="R589" s="10"/>
    </row>
    <row r="590" customFormat="false" ht="14.25" hidden="false" customHeight="true" outlineLevel="0" collapsed="false">
      <c r="P590" s="10"/>
      <c r="Q590" s="10"/>
      <c r="R590" s="10"/>
    </row>
    <row r="591" customFormat="false" ht="14.25" hidden="false" customHeight="true" outlineLevel="0" collapsed="false">
      <c r="P591" s="10"/>
      <c r="Q591" s="10"/>
      <c r="R591" s="10"/>
    </row>
    <row r="592" customFormat="false" ht="14.25" hidden="false" customHeight="true" outlineLevel="0" collapsed="false">
      <c r="P592" s="10"/>
      <c r="Q592" s="10"/>
      <c r="R592" s="10"/>
    </row>
    <row r="593" customFormat="false" ht="14.25" hidden="false" customHeight="true" outlineLevel="0" collapsed="false">
      <c r="P593" s="10"/>
      <c r="Q593" s="10"/>
      <c r="R593" s="10"/>
    </row>
    <row r="594" customFormat="false" ht="14.25" hidden="false" customHeight="true" outlineLevel="0" collapsed="false">
      <c r="P594" s="10"/>
      <c r="Q594" s="10"/>
      <c r="R594" s="10"/>
    </row>
    <row r="595" customFormat="false" ht="14.25" hidden="false" customHeight="true" outlineLevel="0" collapsed="false">
      <c r="P595" s="10"/>
      <c r="Q595" s="10"/>
      <c r="R595" s="10"/>
    </row>
    <row r="596" customFormat="false" ht="14.25" hidden="false" customHeight="true" outlineLevel="0" collapsed="false">
      <c r="P596" s="10"/>
      <c r="Q596" s="10"/>
      <c r="R596" s="10"/>
    </row>
    <row r="597" customFormat="false" ht="14.25" hidden="false" customHeight="true" outlineLevel="0" collapsed="false">
      <c r="P597" s="10"/>
      <c r="Q597" s="10"/>
      <c r="R597" s="10"/>
    </row>
    <row r="598" customFormat="false" ht="14.25" hidden="false" customHeight="true" outlineLevel="0" collapsed="false">
      <c r="P598" s="10"/>
      <c r="Q598" s="10"/>
      <c r="R598" s="10"/>
    </row>
    <row r="599" customFormat="false" ht="14.25" hidden="false" customHeight="true" outlineLevel="0" collapsed="false">
      <c r="P599" s="10"/>
      <c r="Q599" s="10"/>
      <c r="R599" s="10"/>
    </row>
    <row r="600" customFormat="false" ht="14.25" hidden="false" customHeight="true" outlineLevel="0" collapsed="false">
      <c r="P600" s="10"/>
      <c r="Q600" s="10"/>
      <c r="R600" s="10"/>
    </row>
    <row r="601" customFormat="false" ht="14.25" hidden="false" customHeight="true" outlineLevel="0" collapsed="false">
      <c r="P601" s="10"/>
      <c r="Q601" s="10"/>
      <c r="R601" s="10"/>
    </row>
    <row r="602" customFormat="false" ht="14.25" hidden="false" customHeight="true" outlineLevel="0" collapsed="false">
      <c r="P602" s="10"/>
      <c r="Q602" s="10"/>
      <c r="R602" s="10"/>
    </row>
    <row r="603" customFormat="false" ht="14.25" hidden="false" customHeight="true" outlineLevel="0" collapsed="false">
      <c r="P603" s="10"/>
      <c r="Q603" s="10"/>
      <c r="R603" s="10"/>
    </row>
    <row r="604" customFormat="false" ht="14.25" hidden="false" customHeight="true" outlineLevel="0" collapsed="false">
      <c r="P604" s="10"/>
      <c r="Q604" s="10"/>
      <c r="R604" s="10"/>
    </row>
    <row r="605" customFormat="false" ht="14.25" hidden="false" customHeight="true" outlineLevel="0" collapsed="false">
      <c r="P605" s="10"/>
      <c r="Q605" s="10"/>
      <c r="R605" s="10"/>
    </row>
    <row r="606" customFormat="false" ht="14.25" hidden="false" customHeight="true" outlineLevel="0" collapsed="false">
      <c r="P606" s="10"/>
      <c r="Q606" s="10"/>
      <c r="R606" s="10"/>
    </row>
    <row r="607" customFormat="false" ht="14.25" hidden="false" customHeight="true" outlineLevel="0" collapsed="false">
      <c r="P607" s="10"/>
      <c r="Q607" s="10"/>
      <c r="R607" s="10"/>
    </row>
    <row r="608" customFormat="false" ht="14.25" hidden="false" customHeight="true" outlineLevel="0" collapsed="false">
      <c r="P608" s="10"/>
      <c r="Q608" s="10"/>
      <c r="R608" s="10"/>
    </row>
    <row r="609" customFormat="false" ht="14.25" hidden="false" customHeight="true" outlineLevel="0" collapsed="false">
      <c r="P609" s="10"/>
      <c r="Q609" s="10"/>
      <c r="R609" s="10"/>
    </row>
    <row r="610" customFormat="false" ht="14.25" hidden="false" customHeight="true" outlineLevel="0" collapsed="false">
      <c r="P610" s="10"/>
      <c r="Q610" s="10"/>
      <c r="R610" s="10"/>
    </row>
    <row r="611" customFormat="false" ht="14.25" hidden="false" customHeight="true" outlineLevel="0" collapsed="false">
      <c r="P611" s="10"/>
      <c r="Q611" s="10"/>
      <c r="R611" s="10"/>
    </row>
    <row r="612" customFormat="false" ht="14.25" hidden="false" customHeight="true" outlineLevel="0" collapsed="false">
      <c r="P612" s="10"/>
      <c r="Q612" s="10"/>
      <c r="R612" s="10"/>
    </row>
    <row r="613" customFormat="false" ht="14.25" hidden="false" customHeight="true" outlineLevel="0" collapsed="false">
      <c r="P613" s="10"/>
      <c r="Q613" s="10"/>
      <c r="R613" s="10"/>
    </row>
    <row r="614" customFormat="false" ht="14.25" hidden="false" customHeight="true" outlineLevel="0" collapsed="false">
      <c r="P614" s="10"/>
      <c r="Q614" s="10"/>
      <c r="R614" s="10"/>
    </row>
    <row r="615" customFormat="false" ht="14.25" hidden="false" customHeight="true" outlineLevel="0" collapsed="false">
      <c r="P615" s="10"/>
      <c r="Q615" s="10"/>
      <c r="R615" s="10"/>
    </row>
    <row r="616" customFormat="false" ht="14.25" hidden="false" customHeight="true" outlineLevel="0" collapsed="false">
      <c r="P616" s="10"/>
      <c r="Q616" s="10"/>
      <c r="R616" s="10"/>
    </row>
    <row r="617" customFormat="false" ht="14.25" hidden="false" customHeight="true" outlineLevel="0" collapsed="false">
      <c r="P617" s="10"/>
      <c r="Q617" s="10"/>
      <c r="R617" s="10"/>
    </row>
    <row r="618" customFormat="false" ht="14.25" hidden="false" customHeight="true" outlineLevel="0" collapsed="false">
      <c r="P618" s="10"/>
      <c r="Q618" s="10"/>
      <c r="R618" s="10"/>
    </row>
    <row r="619" customFormat="false" ht="14.25" hidden="false" customHeight="true" outlineLevel="0" collapsed="false">
      <c r="P619" s="10"/>
      <c r="Q619" s="10"/>
      <c r="R619" s="10"/>
    </row>
    <row r="620" customFormat="false" ht="14.25" hidden="false" customHeight="true" outlineLevel="0" collapsed="false">
      <c r="P620" s="10"/>
      <c r="Q620" s="10"/>
      <c r="R620" s="10"/>
    </row>
    <row r="621" customFormat="false" ht="14.25" hidden="false" customHeight="true" outlineLevel="0" collapsed="false">
      <c r="P621" s="10"/>
      <c r="Q621" s="10"/>
      <c r="R621" s="10"/>
    </row>
    <row r="622" customFormat="false" ht="14.25" hidden="false" customHeight="true" outlineLevel="0" collapsed="false">
      <c r="P622" s="10"/>
      <c r="Q622" s="10"/>
      <c r="R622" s="10"/>
    </row>
    <row r="623" customFormat="false" ht="14.25" hidden="false" customHeight="true" outlineLevel="0" collapsed="false">
      <c r="P623" s="10"/>
      <c r="Q623" s="10"/>
      <c r="R623" s="10"/>
    </row>
    <row r="624" customFormat="false" ht="14.25" hidden="false" customHeight="true" outlineLevel="0" collapsed="false">
      <c r="P624" s="10"/>
      <c r="Q624" s="10"/>
      <c r="R624" s="10"/>
    </row>
    <row r="625" customFormat="false" ht="14.25" hidden="false" customHeight="true" outlineLevel="0" collapsed="false">
      <c r="P625" s="10"/>
      <c r="Q625" s="10"/>
      <c r="R625" s="10"/>
    </row>
    <row r="626" customFormat="false" ht="14.25" hidden="false" customHeight="true" outlineLevel="0" collapsed="false">
      <c r="P626" s="10"/>
      <c r="Q626" s="10"/>
      <c r="R626" s="10"/>
    </row>
    <row r="627" customFormat="false" ht="14.25" hidden="false" customHeight="true" outlineLevel="0" collapsed="false">
      <c r="P627" s="10"/>
      <c r="Q627" s="10"/>
      <c r="R627" s="10"/>
    </row>
    <row r="628" customFormat="false" ht="14.25" hidden="false" customHeight="true" outlineLevel="0" collapsed="false">
      <c r="P628" s="10"/>
      <c r="Q628" s="10"/>
      <c r="R628" s="10"/>
    </row>
    <row r="629" customFormat="false" ht="14.25" hidden="false" customHeight="true" outlineLevel="0" collapsed="false">
      <c r="P629" s="10"/>
      <c r="Q629" s="10"/>
      <c r="R629" s="10"/>
    </row>
    <row r="630" customFormat="false" ht="14.25" hidden="false" customHeight="true" outlineLevel="0" collapsed="false">
      <c r="P630" s="10"/>
      <c r="Q630" s="10"/>
      <c r="R630" s="10"/>
    </row>
    <row r="631" customFormat="false" ht="14.25" hidden="false" customHeight="true" outlineLevel="0" collapsed="false">
      <c r="P631" s="10"/>
      <c r="Q631" s="10"/>
      <c r="R631" s="10"/>
    </row>
    <row r="632" customFormat="false" ht="14.25" hidden="false" customHeight="true" outlineLevel="0" collapsed="false">
      <c r="P632" s="10"/>
      <c r="Q632" s="10"/>
      <c r="R632" s="10"/>
    </row>
    <row r="633" customFormat="false" ht="14.25" hidden="false" customHeight="true" outlineLevel="0" collapsed="false">
      <c r="P633" s="10"/>
      <c r="Q633" s="10"/>
      <c r="R633" s="10"/>
    </row>
    <row r="634" customFormat="false" ht="14.25" hidden="false" customHeight="true" outlineLevel="0" collapsed="false">
      <c r="P634" s="10"/>
      <c r="Q634" s="10"/>
      <c r="R634" s="10"/>
    </row>
    <row r="635" customFormat="false" ht="14.25" hidden="false" customHeight="true" outlineLevel="0" collapsed="false">
      <c r="P635" s="10"/>
      <c r="Q635" s="10"/>
      <c r="R635" s="10"/>
    </row>
    <row r="636" customFormat="false" ht="14.25" hidden="false" customHeight="true" outlineLevel="0" collapsed="false">
      <c r="P636" s="10"/>
      <c r="Q636" s="10"/>
      <c r="R636" s="10"/>
    </row>
    <row r="637" customFormat="false" ht="14.25" hidden="false" customHeight="true" outlineLevel="0" collapsed="false">
      <c r="P637" s="10"/>
      <c r="Q637" s="10"/>
      <c r="R637" s="10"/>
    </row>
    <row r="638" customFormat="false" ht="14.25" hidden="false" customHeight="true" outlineLevel="0" collapsed="false">
      <c r="P638" s="10"/>
      <c r="Q638" s="10"/>
      <c r="R638" s="10"/>
    </row>
    <row r="639" customFormat="false" ht="14.25" hidden="false" customHeight="true" outlineLevel="0" collapsed="false">
      <c r="P639" s="10"/>
      <c r="Q639" s="10"/>
      <c r="R639" s="10"/>
    </row>
    <row r="640" customFormat="false" ht="14.25" hidden="false" customHeight="true" outlineLevel="0" collapsed="false">
      <c r="P640" s="10"/>
      <c r="Q640" s="10"/>
      <c r="R640" s="10"/>
    </row>
    <row r="641" customFormat="false" ht="14.25" hidden="false" customHeight="true" outlineLevel="0" collapsed="false">
      <c r="P641" s="10"/>
      <c r="Q641" s="10"/>
      <c r="R641" s="10"/>
    </row>
    <row r="642" customFormat="false" ht="14.25" hidden="false" customHeight="true" outlineLevel="0" collapsed="false">
      <c r="P642" s="10"/>
      <c r="Q642" s="10"/>
      <c r="R642" s="10"/>
    </row>
    <row r="643" customFormat="false" ht="14.25" hidden="false" customHeight="true" outlineLevel="0" collapsed="false">
      <c r="P643" s="10"/>
      <c r="Q643" s="10"/>
      <c r="R643" s="10"/>
    </row>
    <row r="644" customFormat="false" ht="14.25" hidden="false" customHeight="true" outlineLevel="0" collapsed="false">
      <c r="P644" s="10"/>
      <c r="Q644" s="10"/>
      <c r="R644" s="10"/>
    </row>
    <row r="645" customFormat="false" ht="14.25" hidden="false" customHeight="true" outlineLevel="0" collapsed="false">
      <c r="P645" s="10"/>
      <c r="Q645" s="10"/>
      <c r="R645" s="10"/>
    </row>
    <row r="646" customFormat="false" ht="14.25" hidden="false" customHeight="true" outlineLevel="0" collapsed="false">
      <c r="P646" s="10"/>
      <c r="Q646" s="10"/>
      <c r="R646" s="10"/>
    </row>
    <row r="647" customFormat="false" ht="14.25" hidden="false" customHeight="true" outlineLevel="0" collapsed="false">
      <c r="P647" s="10"/>
      <c r="Q647" s="10"/>
      <c r="R647" s="10"/>
    </row>
    <row r="648" customFormat="false" ht="14.25" hidden="false" customHeight="true" outlineLevel="0" collapsed="false">
      <c r="P648" s="10"/>
      <c r="Q648" s="10"/>
      <c r="R648" s="10"/>
    </row>
    <row r="649" customFormat="false" ht="14.25" hidden="false" customHeight="true" outlineLevel="0" collapsed="false">
      <c r="P649" s="10"/>
      <c r="Q649" s="10"/>
      <c r="R649" s="10"/>
    </row>
    <row r="650" customFormat="false" ht="14.25" hidden="false" customHeight="true" outlineLevel="0" collapsed="false">
      <c r="P650" s="10"/>
      <c r="Q650" s="10"/>
      <c r="R650" s="10"/>
    </row>
    <row r="651" customFormat="false" ht="14.25" hidden="false" customHeight="true" outlineLevel="0" collapsed="false">
      <c r="P651" s="10"/>
      <c r="Q651" s="10"/>
      <c r="R651" s="10"/>
    </row>
    <row r="652" customFormat="false" ht="14.25" hidden="false" customHeight="true" outlineLevel="0" collapsed="false">
      <c r="P652" s="10"/>
      <c r="Q652" s="10"/>
      <c r="R652" s="10"/>
    </row>
    <row r="653" customFormat="false" ht="14.25" hidden="false" customHeight="true" outlineLevel="0" collapsed="false">
      <c r="P653" s="10"/>
      <c r="Q653" s="10"/>
      <c r="R653" s="10"/>
    </row>
    <row r="654" customFormat="false" ht="14.25" hidden="false" customHeight="true" outlineLevel="0" collapsed="false">
      <c r="P654" s="10"/>
      <c r="Q654" s="10"/>
      <c r="R654" s="10"/>
    </row>
    <row r="655" customFormat="false" ht="14.25" hidden="false" customHeight="true" outlineLevel="0" collapsed="false">
      <c r="P655" s="10"/>
      <c r="Q655" s="10"/>
      <c r="R655" s="10"/>
    </row>
    <row r="656" customFormat="false" ht="14.25" hidden="false" customHeight="true" outlineLevel="0" collapsed="false">
      <c r="P656" s="10"/>
      <c r="Q656" s="10"/>
      <c r="R656" s="10"/>
    </row>
    <row r="657" customFormat="false" ht="14.25" hidden="false" customHeight="true" outlineLevel="0" collapsed="false">
      <c r="P657" s="10"/>
      <c r="Q657" s="10"/>
      <c r="R657" s="10"/>
    </row>
    <row r="658" customFormat="false" ht="14.25" hidden="false" customHeight="true" outlineLevel="0" collapsed="false">
      <c r="P658" s="10"/>
      <c r="Q658" s="10"/>
      <c r="R658" s="10"/>
    </row>
    <row r="659" customFormat="false" ht="14.25" hidden="false" customHeight="true" outlineLevel="0" collapsed="false">
      <c r="P659" s="10"/>
      <c r="Q659" s="10"/>
      <c r="R659" s="10"/>
    </row>
    <row r="660" customFormat="false" ht="14.25" hidden="false" customHeight="true" outlineLevel="0" collapsed="false">
      <c r="P660" s="10"/>
      <c r="Q660" s="10"/>
      <c r="R660" s="10"/>
    </row>
    <row r="661" customFormat="false" ht="14.25" hidden="false" customHeight="true" outlineLevel="0" collapsed="false">
      <c r="P661" s="10"/>
      <c r="Q661" s="10"/>
      <c r="R661" s="10"/>
    </row>
    <row r="662" customFormat="false" ht="14.25" hidden="false" customHeight="true" outlineLevel="0" collapsed="false">
      <c r="P662" s="10"/>
      <c r="Q662" s="10"/>
      <c r="R662" s="10"/>
    </row>
    <row r="663" customFormat="false" ht="14.25" hidden="false" customHeight="true" outlineLevel="0" collapsed="false">
      <c r="P663" s="10"/>
      <c r="Q663" s="10"/>
      <c r="R663" s="10"/>
    </row>
    <row r="664" customFormat="false" ht="14.25" hidden="false" customHeight="true" outlineLevel="0" collapsed="false">
      <c r="P664" s="10"/>
      <c r="Q664" s="10"/>
      <c r="R664" s="10"/>
    </row>
    <row r="665" customFormat="false" ht="14.25" hidden="false" customHeight="true" outlineLevel="0" collapsed="false">
      <c r="P665" s="10"/>
      <c r="Q665" s="10"/>
      <c r="R665" s="10"/>
    </row>
    <row r="666" customFormat="false" ht="14.25" hidden="false" customHeight="true" outlineLevel="0" collapsed="false">
      <c r="P666" s="10"/>
      <c r="Q666" s="10"/>
      <c r="R666" s="10"/>
    </row>
    <row r="667" customFormat="false" ht="14.25" hidden="false" customHeight="true" outlineLevel="0" collapsed="false">
      <c r="P667" s="10"/>
      <c r="Q667" s="10"/>
      <c r="R667" s="10"/>
    </row>
    <row r="668" customFormat="false" ht="14.25" hidden="false" customHeight="true" outlineLevel="0" collapsed="false">
      <c r="P668" s="10"/>
      <c r="Q668" s="10"/>
      <c r="R668" s="10"/>
    </row>
    <row r="669" customFormat="false" ht="14.25" hidden="false" customHeight="true" outlineLevel="0" collapsed="false">
      <c r="P669" s="10"/>
      <c r="Q669" s="10"/>
      <c r="R669" s="10"/>
    </row>
    <row r="670" customFormat="false" ht="14.25" hidden="false" customHeight="true" outlineLevel="0" collapsed="false">
      <c r="P670" s="10"/>
      <c r="Q670" s="10"/>
      <c r="R670" s="10"/>
    </row>
    <row r="671" customFormat="false" ht="14.25" hidden="false" customHeight="true" outlineLevel="0" collapsed="false">
      <c r="P671" s="10"/>
      <c r="Q671" s="10"/>
      <c r="R671" s="10"/>
    </row>
    <row r="672" customFormat="false" ht="14.25" hidden="false" customHeight="true" outlineLevel="0" collapsed="false">
      <c r="P672" s="10"/>
      <c r="Q672" s="10"/>
      <c r="R672" s="10"/>
    </row>
    <row r="673" customFormat="false" ht="14.25" hidden="false" customHeight="true" outlineLevel="0" collapsed="false">
      <c r="P673" s="10"/>
      <c r="Q673" s="10"/>
      <c r="R673" s="10"/>
    </row>
    <row r="674" customFormat="false" ht="14.25" hidden="false" customHeight="true" outlineLevel="0" collapsed="false">
      <c r="P674" s="10"/>
      <c r="Q674" s="10"/>
      <c r="R674" s="10"/>
    </row>
    <row r="675" customFormat="false" ht="14.25" hidden="false" customHeight="true" outlineLevel="0" collapsed="false">
      <c r="P675" s="10"/>
      <c r="Q675" s="10"/>
      <c r="R675" s="10"/>
    </row>
    <row r="676" customFormat="false" ht="14.25" hidden="false" customHeight="true" outlineLevel="0" collapsed="false">
      <c r="P676" s="10"/>
      <c r="Q676" s="10"/>
      <c r="R676" s="10"/>
    </row>
    <row r="677" customFormat="false" ht="14.25" hidden="false" customHeight="true" outlineLevel="0" collapsed="false">
      <c r="P677" s="10"/>
      <c r="Q677" s="10"/>
      <c r="R677" s="10"/>
    </row>
    <row r="678" customFormat="false" ht="14.25" hidden="false" customHeight="true" outlineLevel="0" collapsed="false">
      <c r="P678" s="10"/>
      <c r="Q678" s="10"/>
      <c r="R678" s="10"/>
    </row>
    <row r="679" customFormat="false" ht="14.25" hidden="false" customHeight="true" outlineLevel="0" collapsed="false">
      <c r="P679" s="10"/>
      <c r="Q679" s="10"/>
      <c r="R679" s="10"/>
    </row>
    <row r="680" customFormat="false" ht="14.25" hidden="false" customHeight="true" outlineLevel="0" collapsed="false">
      <c r="P680" s="10"/>
      <c r="Q680" s="10"/>
      <c r="R680" s="10"/>
    </row>
    <row r="681" customFormat="false" ht="14.25" hidden="false" customHeight="true" outlineLevel="0" collapsed="false">
      <c r="P681" s="10"/>
      <c r="Q681" s="10"/>
      <c r="R681" s="10"/>
    </row>
    <row r="682" customFormat="false" ht="14.25" hidden="false" customHeight="true" outlineLevel="0" collapsed="false">
      <c r="P682" s="10"/>
      <c r="Q682" s="10"/>
      <c r="R682" s="10"/>
    </row>
    <row r="683" customFormat="false" ht="14.25" hidden="false" customHeight="true" outlineLevel="0" collapsed="false">
      <c r="P683" s="10"/>
      <c r="Q683" s="10"/>
      <c r="R683" s="10"/>
    </row>
    <row r="684" customFormat="false" ht="14.25" hidden="false" customHeight="true" outlineLevel="0" collapsed="false">
      <c r="P684" s="10"/>
      <c r="Q684" s="10"/>
      <c r="R684" s="10"/>
    </row>
    <row r="685" customFormat="false" ht="14.25" hidden="false" customHeight="true" outlineLevel="0" collapsed="false">
      <c r="P685" s="10"/>
      <c r="Q685" s="10"/>
      <c r="R685" s="10"/>
    </row>
    <row r="686" customFormat="false" ht="14.25" hidden="false" customHeight="true" outlineLevel="0" collapsed="false">
      <c r="P686" s="10"/>
      <c r="Q686" s="10"/>
      <c r="R686" s="10"/>
    </row>
    <row r="687" customFormat="false" ht="14.25" hidden="false" customHeight="true" outlineLevel="0" collapsed="false">
      <c r="P687" s="10"/>
      <c r="Q687" s="10"/>
      <c r="R687" s="10"/>
    </row>
    <row r="688" customFormat="false" ht="14.25" hidden="false" customHeight="true" outlineLevel="0" collapsed="false">
      <c r="P688" s="10"/>
      <c r="Q688" s="10"/>
      <c r="R688" s="10"/>
    </row>
    <row r="689" customFormat="false" ht="14.25" hidden="false" customHeight="true" outlineLevel="0" collapsed="false">
      <c r="P689" s="10"/>
      <c r="Q689" s="10"/>
      <c r="R689" s="10"/>
    </row>
    <row r="690" customFormat="false" ht="14.25" hidden="false" customHeight="true" outlineLevel="0" collapsed="false">
      <c r="P690" s="10"/>
      <c r="Q690" s="10"/>
      <c r="R690" s="10"/>
    </row>
    <row r="691" customFormat="false" ht="14.25" hidden="false" customHeight="true" outlineLevel="0" collapsed="false">
      <c r="P691" s="10"/>
      <c r="Q691" s="10"/>
      <c r="R691" s="10"/>
    </row>
    <row r="692" customFormat="false" ht="14.25" hidden="false" customHeight="true" outlineLevel="0" collapsed="false">
      <c r="P692" s="10"/>
      <c r="Q692" s="10"/>
      <c r="R692" s="10"/>
    </row>
    <row r="693" customFormat="false" ht="14.25" hidden="false" customHeight="true" outlineLevel="0" collapsed="false">
      <c r="P693" s="10"/>
      <c r="Q693" s="10"/>
      <c r="R693" s="10"/>
    </row>
    <row r="694" customFormat="false" ht="14.25" hidden="false" customHeight="true" outlineLevel="0" collapsed="false">
      <c r="P694" s="10"/>
      <c r="Q694" s="10"/>
      <c r="R694" s="10"/>
    </row>
    <row r="695" customFormat="false" ht="14.25" hidden="false" customHeight="true" outlineLevel="0" collapsed="false">
      <c r="P695" s="10"/>
      <c r="Q695" s="10"/>
      <c r="R695" s="10"/>
    </row>
    <row r="696" customFormat="false" ht="14.25" hidden="false" customHeight="true" outlineLevel="0" collapsed="false">
      <c r="P696" s="10"/>
      <c r="Q696" s="10"/>
      <c r="R696" s="10"/>
    </row>
    <row r="697" customFormat="false" ht="14.25" hidden="false" customHeight="true" outlineLevel="0" collapsed="false">
      <c r="P697" s="10"/>
      <c r="Q697" s="10"/>
      <c r="R697" s="10"/>
    </row>
    <row r="698" customFormat="false" ht="14.25" hidden="false" customHeight="true" outlineLevel="0" collapsed="false">
      <c r="P698" s="10"/>
      <c r="Q698" s="10"/>
      <c r="R698" s="10"/>
    </row>
    <row r="699" customFormat="false" ht="14.25" hidden="false" customHeight="true" outlineLevel="0" collapsed="false">
      <c r="P699" s="10"/>
      <c r="Q699" s="10"/>
      <c r="R699" s="10"/>
    </row>
    <row r="700" customFormat="false" ht="14.25" hidden="false" customHeight="true" outlineLevel="0" collapsed="false">
      <c r="P700" s="10"/>
      <c r="Q700" s="10"/>
      <c r="R700" s="10"/>
    </row>
    <row r="701" customFormat="false" ht="14.25" hidden="false" customHeight="true" outlineLevel="0" collapsed="false">
      <c r="P701" s="10"/>
      <c r="Q701" s="10"/>
      <c r="R701" s="10"/>
    </row>
    <row r="702" customFormat="false" ht="14.25" hidden="false" customHeight="true" outlineLevel="0" collapsed="false">
      <c r="P702" s="10"/>
      <c r="Q702" s="10"/>
      <c r="R702" s="10"/>
    </row>
    <row r="703" customFormat="false" ht="14.25" hidden="false" customHeight="true" outlineLevel="0" collapsed="false">
      <c r="P703" s="10"/>
      <c r="Q703" s="10"/>
      <c r="R703" s="10"/>
    </row>
    <row r="704" customFormat="false" ht="14.25" hidden="false" customHeight="true" outlineLevel="0" collapsed="false">
      <c r="P704" s="10"/>
      <c r="Q704" s="10"/>
      <c r="R704" s="10"/>
    </row>
    <row r="705" customFormat="false" ht="14.25" hidden="false" customHeight="true" outlineLevel="0" collapsed="false">
      <c r="P705" s="10"/>
      <c r="Q705" s="10"/>
      <c r="R705" s="10"/>
    </row>
    <row r="706" customFormat="false" ht="14.25" hidden="false" customHeight="true" outlineLevel="0" collapsed="false">
      <c r="P706" s="10"/>
      <c r="Q706" s="10"/>
      <c r="R706" s="10"/>
    </row>
    <row r="707" customFormat="false" ht="14.25" hidden="false" customHeight="true" outlineLevel="0" collapsed="false">
      <c r="P707" s="10"/>
      <c r="Q707" s="10"/>
      <c r="R707" s="10"/>
    </row>
    <row r="708" customFormat="false" ht="14.25" hidden="false" customHeight="true" outlineLevel="0" collapsed="false">
      <c r="P708" s="10"/>
      <c r="Q708" s="10"/>
      <c r="R708" s="10"/>
    </row>
    <row r="709" customFormat="false" ht="14.25" hidden="false" customHeight="true" outlineLevel="0" collapsed="false">
      <c r="P709" s="10"/>
      <c r="Q709" s="10"/>
      <c r="R709" s="10"/>
    </row>
    <row r="710" customFormat="false" ht="14.25" hidden="false" customHeight="true" outlineLevel="0" collapsed="false">
      <c r="P710" s="10"/>
      <c r="Q710" s="10"/>
      <c r="R710" s="10"/>
    </row>
    <row r="711" customFormat="false" ht="14.25" hidden="false" customHeight="true" outlineLevel="0" collapsed="false">
      <c r="P711" s="10"/>
      <c r="Q711" s="10"/>
      <c r="R711" s="10"/>
    </row>
    <row r="712" customFormat="false" ht="14.25" hidden="false" customHeight="true" outlineLevel="0" collapsed="false">
      <c r="P712" s="10"/>
      <c r="Q712" s="10"/>
      <c r="R712" s="10"/>
    </row>
    <row r="713" customFormat="false" ht="14.25" hidden="false" customHeight="true" outlineLevel="0" collapsed="false">
      <c r="P713" s="10"/>
      <c r="Q713" s="10"/>
      <c r="R713" s="10"/>
    </row>
    <row r="714" customFormat="false" ht="14.25" hidden="false" customHeight="true" outlineLevel="0" collapsed="false">
      <c r="P714" s="10"/>
      <c r="Q714" s="10"/>
      <c r="R714" s="10"/>
    </row>
    <row r="715" customFormat="false" ht="14.25" hidden="false" customHeight="true" outlineLevel="0" collapsed="false">
      <c r="P715" s="10"/>
      <c r="Q715" s="10"/>
      <c r="R715" s="10"/>
    </row>
    <row r="716" customFormat="false" ht="14.25" hidden="false" customHeight="true" outlineLevel="0" collapsed="false">
      <c r="P716" s="10"/>
      <c r="Q716" s="10"/>
      <c r="R716" s="10"/>
    </row>
    <row r="717" customFormat="false" ht="14.25" hidden="false" customHeight="true" outlineLevel="0" collapsed="false">
      <c r="P717" s="10"/>
      <c r="Q717" s="10"/>
      <c r="R717" s="10"/>
    </row>
    <row r="718" customFormat="false" ht="14.25" hidden="false" customHeight="true" outlineLevel="0" collapsed="false">
      <c r="P718" s="10"/>
      <c r="Q718" s="10"/>
      <c r="R718" s="10"/>
    </row>
    <row r="719" customFormat="false" ht="14.25" hidden="false" customHeight="true" outlineLevel="0" collapsed="false">
      <c r="P719" s="10"/>
      <c r="Q719" s="10"/>
      <c r="R719" s="10"/>
    </row>
    <row r="720" customFormat="false" ht="14.25" hidden="false" customHeight="true" outlineLevel="0" collapsed="false">
      <c r="P720" s="10"/>
      <c r="Q720" s="10"/>
      <c r="R720" s="10"/>
    </row>
    <row r="721" customFormat="false" ht="14.25" hidden="false" customHeight="true" outlineLevel="0" collapsed="false">
      <c r="P721" s="10"/>
      <c r="Q721" s="10"/>
      <c r="R721" s="10"/>
    </row>
    <row r="722" customFormat="false" ht="14.25" hidden="false" customHeight="true" outlineLevel="0" collapsed="false">
      <c r="P722" s="10"/>
      <c r="Q722" s="10"/>
      <c r="R722" s="10"/>
    </row>
    <row r="723" customFormat="false" ht="14.25" hidden="false" customHeight="true" outlineLevel="0" collapsed="false">
      <c r="P723" s="10"/>
      <c r="Q723" s="10"/>
      <c r="R723" s="10"/>
    </row>
    <row r="724" customFormat="false" ht="14.25" hidden="false" customHeight="true" outlineLevel="0" collapsed="false">
      <c r="P724" s="10"/>
      <c r="Q724" s="10"/>
      <c r="R724" s="10"/>
    </row>
    <row r="725" customFormat="false" ht="14.25" hidden="false" customHeight="true" outlineLevel="0" collapsed="false">
      <c r="P725" s="10"/>
      <c r="Q725" s="10"/>
      <c r="R725" s="10"/>
    </row>
    <row r="726" customFormat="false" ht="14.25" hidden="false" customHeight="true" outlineLevel="0" collapsed="false">
      <c r="P726" s="10"/>
      <c r="Q726" s="10"/>
      <c r="R726" s="10"/>
    </row>
    <row r="727" customFormat="false" ht="14.25" hidden="false" customHeight="true" outlineLevel="0" collapsed="false">
      <c r="P727" s="10"/>
      <c r="Q727" s="10"/>
      <c r="R727" s="10"/>
    </row>
    <row r="728" customFormat="false" ht="14.25" hidden="false" customHeight="true" outlineLevel="0" collapsed="false">
      <c r="P728" s="10"/>
      <c r="Q728" s="10"/>
      <c r="R728" s="10"/>
    </row>
    <row r="729" customFormat="false" ht="14.25" hidden="false" customHeight="true" outlineLevel="0" collapsed="false">
      <c r="P729" s="10"/>
      <c r="Q729" s="10"/>
      <c r="R729" s="10"/>
    </row>
    <row r="730" customFormat="false" ht="14.25" hidden="false" customHeight="true" outlineLevel="0" collapsed="false">
      <c r="P730" s="10"/>
      <c r="Q730" s="10"/>
      <c r="R730" s="10"/>
    </row>
    <row r="731" customFormat="false" ht="14.25" hidden="false" customHeight="true" outlineLevel="0" collapsed="false">
      <c r="P731" s="10"/>
      <c r="Q731" s="10"/>
      <c r="R731" s="10"/>
    </row>
    <row r="732" customFormat="false" ht="14.25" hidden="false" customHeight="true" outlineLevel="0" collapsed="false">
      <c r="P732" s="10"/>
      <c r="Q732" s="10"/>
      <c r="R732" s="10"/>
    </row>
    <row r="733" customFormat="false" ht="14.25" hidden="false" customHeight="true" outlineLevel="0" collapsed="false">
      <c r="P733" s="10"/>
      <c r="Q733" s="10"/>
      <c r="R733" s="10"/>
    </row>
    <row r="734" customFormat="false" ht="14.25" hidden="false" customHeight="true" outlineLevel="0" collapsed="false">
      <c r="P734" s="10"/>
      <c r="Q734" s="10"/>
      <c r="R734" s="10"/>
    </row>
    <row r="735" customFormat="false" ht="14.25" hidden="false" customHeight="true" outlineLevel="0" collapsed="false">
      <c r="P735" s="10"/>
      <c r="Q735" s="10"/>
      <c r="R735" s="10"/>
    </row>
    <row r="736" customFormat="false" ht="14.25" hidden="false" customHeight="true" outlineLevel="0" collapsed="false">
      <c r="P736" s="10"/>
      <c r="Q736" s="10"/>
      <c r="R736" s="10"/>
    </row>
    <row r="737" customFormat="false" ht="14.25" hidden="false" customHeight="true" outlineLevel="0" collapsed="false">
      <c r="P737" s="10"/>
      <c r="Q737" s="10"/>
      <c r="R737" s="10"/>
    </row>
    <row r="738" customFormat="false" ht="14.25" hidden="false" customHeight="true" outlineLevel="0" collapsed="false">
      <c r="P738" s="10"/>
      <c r="Q738" s="10"/>
      <c r="R738" s="10"/>
    </row>
    <row r="739" customFormat="false" ht="14.25" hidden="false" customHeight="true" outlineLevel="0" collapsed="false">
      <c r="P739" s="10"/>
      <c r="Q739" s="10"/>
      <c r="R739" s="10"/>
    </row>
    <row r="740" customFormat="false" ht="14.25" hidden="false" customHeight="true" outlineLevel="0" collapsed="false">
      <c r="P740" s="10"/>
      <c r="Q740" s="10"/>
      <c r="R740" s="10"/>
    </row>
    <row r="741" customFormat="false" ht="14.25" hidden="false" customHeight="true" outlineLevel="0" collapsed="false">
      <c r="P741" s="10"/>
      <c r="Q741" s="10"/>
      <c r="R741" s="10"/>
    </row>
    <row r="742" customFormat="false" ht="14.25" hidden="false" customHeight="true" outlineLevel="0" collapsed="false">
      <c r="P742" s="10"/>
      <c r="Q742" s="10"/>
      <c r="R742" s="10"/>
    </row>
    <row r="743" customFormat="false" ht="14.25" hidden="false" customHeight="true" outlineLevel="0" collapsed="false">
      <c r="P743" s="10"/>
      <c r="Q743" s="10"/>
      <c r="R743" s="10"/>
    </row>
    <row r="744" customFormat="false" ht="14.25" hidden="false" customHeight="true" outlineLevel="0" collapsed="false">
      <c r="P744" s="10"/>
      <c r="Q744" s="10"/>
      <c r="R744" s="10"/>
    </row>
    <row r="745" customFormat="false" ht="14.25" hidden="false" customHeight="true" outlineLevel="0" collapsed="false">
      <c r="P745" s="10"/>
      <c r="Q745" s="10"/>
      <c r="R745" s="10"/>
    </row>
    <row r="746" customFormat="false" ht="14.25" hidden="false" customHeight="true" outlineLevel="0" collapsed="false">
      <c r="P746" s="10"/>
      <c r="Q746" s="10"/>
      <c r="R746" s="10"/>
    </row>
    <row r="747" customFormat="false" ht="14.25" hidden="false" customHeight="true" outlineLevel="0" collapsed="false">
      <c r="P747" s="10"/>
      <c r="Q747" s="10"/>
      <c r="R747" s="10"/>
    </row>
    <row r="748" customFormat="false" ht="14.25" hidden="false" customHeight="true" outlineLevel="0" collapsed="false">
      <c r="P748" s="10"/>
      <c r="Q748" s="10"/>
      <c r="R748" s="10"/>
    </row>
    <row r="749" customFormat="false" ht="14.25" hidden="false" customHeight="true" outlineLevel="0" collapsed="false">
      <c r="P749" s="10"/>
      <c r="Q749" s="10"/>
      <c r="R749" s="10"/>
    </row>
    <row r="750" customFormat="false" ht="14.25" hidden="false" customHeight="true" outlineLevel="0" collapsed="false">
      <c r="P750" s="10"/>
      <c r="Q750" s="10"/>
      <c r="R750" s="10"/>
    </row>
    <row r="751" customFormat="false" ht="14.25" hidden="false" customHeight="true" outlineLevel="0" collapsed="false">
      <c r="P751" s="10"/>
      <c r="Q751" s="10"/>
      <c r="R751" s="10"/>
    </row>
    <row r="752" customFormat="false" ht="14.25" hidden="false" customHeight="true" outlineLevel="0" collapsed="false">
      <c r="P752" s="10"/>
      <c r="Q752" s="10"/>
      <c r="R752" s="10"/>
    </row>
    <row r="753" customFormat="false" ht="14.25" hidden="false" customHeight="true" outlineLevel="0" collapsed="false">
      <c r="P753" s="10"/>
      <c r="Q753" s="10"/>
      <c r="R753" s="10"/>
    </row>
    <row r="754" customFormat="false" ht="14.25" hidden="false" customHeight="true" outlineLevel="0" collapsed="false">
      <c r="P754" s="10"/>
      <c r="Q754" s="10"/>
      <c r="R754" s="10"/>
    </row>
    <row r="755" customFormat="false" ht="14.25" hidden="false" customHeight="true" outlineLevel="0" collapsed="false">
      <c r="P755" s="10"/>
      <c r="Q755" s="10"/>
      <c r="R755" s="10"/>
    </row>
    <row r="756" customFormat="false" ht="14.25" hidden="false" customHeight="true" outlineLevel="0" collapsed="false">
      <c r="P756" s="10"/>
      <c r="Q756" s="10"/>
      <c r="R756" s="10"/>
    </row>
    <row r="757" customFormat="false" ht="14.25" hidden="false" customHeight="true" outlineLevel="0" collapsed="false">
      <c r="P757" s="10"/>
      <c r="Q757" s="10"/>
      <c r="R757" s="10"/>
    </row>
    <row r="758" customFormat="false" ht="14.25" hidden="false" customHeight="true" outlineLevel="0" collapsed="false">
      <c r="P758" s="10"/>
      <c r="Q758" s="10"/>
      <c r="R758" s="10"/>
    </row>
    <row r="759" customFormat="false" ht="14.25" hidden="false" customHeight="true" outlineLevel="0" collapsed="false">
      <c r="P759" s="10"/>
      <c r="Q759" s="10"/>
      <c r="R759" s="10"/>
    </row>
    <row r="760" customFormat="false" ht="14.25" hidden="false" customHeight="true" outlineLevel="0" collapsed="false">
      <c r="P760" s="10"/>
      <c r="Q760" s="10"/>
      <c r="R760" s="10"/>
    </row>
    <row r="761" customFormat="false" ht="14.25" hidden="false" customHeight="true" outlineLevel="0" collapsed="false">
      <c r="P761" s="10"/>
      <c r="Q761" s="10"/>
      <c r="R761" s="10"/>
    </row>
    <row r="762" customFormat="false" ht="14.25" hidden="false" customHeight="true" outlineLevel="0" collapsed="false">
      <c r="P762" s="10"/>
      <c r="Q762" s="10"/>
      <c r="R762" s="10"/>
    </row>
    <row r="763" customFormat="false" ht="14.25" hidden="false" customHeight="true" outlineLevel="0" collapsed="false">
      <c r="P763" s="10"/>
      <c r="Q763" s="10"/>
      <c r="R763" s="10"/>
    </row>
    <row r="764" customFormat="false" ht="14.25" hidden="false" customHeight="true" outlineLevel="0" collapsed="false">
      <c r="P764" s="10"/>
      <c r="Q764" s="10"/>
      <c r="R764" s="10"/>
    </row>
    <row r="765" customFormat="false" ht="14.25" hidden="false" customHeight="true" outlineLevel="0" collapsed="false">
      <c r="P765" s="10"/>
      <c r="Q765" s="10"/>
      <c r="R765" s="10"/>
    </row>
    <row r="766" customFormat="false" ht="14.25" hidden="false" customHeight="true" outlineLevel="0" collapsed="false">
      <c r="P766" s="10"/>
      <c r="Q766" s="10"/>
      <c r="R766" s="10"/>
    </row>
    <row r="767" customFormat="false" ht="14.25" hidden="false" customHeight="true" outlineLevel="0" collapsed="false">
      <c r="P767" s="10"/>
      <c r="Q767" s="10"/>
      <c r="R767" s="10"/>
    </row>
    <row r="768" customFormat="false" ht="14.25" hidden="false" customHeight="true" outlineLevel="0" collapsed="false">
      <c r="P768" s="10"/>
      <c r="Q768" s="10"/>
      <c r="R768" s="10"/>
    </row>
    <row r="769" customFormat="false" ht="14.25" hidden="false" customHeight="true" outlineLevel="0" collapsed="false">
      <c r="P769" s="10"/>
      <c r="Q769" s="10"/>
      <c r="R769" s="10"/>
    </row>
    <row r="770" customFormat="false" ht="14.25" hidden="false" customHeight="true" outlineLevel="0" collapsed="false">
      <c r="P770" s="10"/>
      <c r="Q770" s="10"/>
      <c r="R770" s="10"/>
    </row>
    <row r="771" customFormat="false" ht="14.25" hidden="false" customHeight="true" outlineLevel="0" collapsed="false">
      <c r="P771" s="10"/>
      <c r="Q771" s="10"/>
      <c r="R771" s="10"/>
    </row>
    <row r="772" customFormat="false" ht="14.25" hidden="false" customHeight="true" outlineLevel="0" collapsed="false">
      <c r="P772" s="10"/>
      <c r="Q772" s="10"/>
      <c r="R772" s="10"/>
    </row>
    <row r="773" customFormat="false" ht="14.25" hidden="false" customHeight="true" outlineLevel="0" collapsed="false">
      <c r="P773" s="10"/>
      <c r="Q773" s="10"/>
      <c r="R773" s="10"/>
    </row>
    <row r="774" customFormat="false" ht="14.25" hidden="false" customHeight="true" outlineLevel="0" collapsed="false">
      <c r="P774" s="10"/>
      <c r="Q774" s="10"/>
      <c r="R774" s="10"/>
    </row>
    <row r="775" customFormat="false" ht="14.25" hidden="false" customHeight="true" outlineLevel="0" collapsed="false">
      <c r="P775" s="10"/>
      <c r="Q775" s="10"/>
      <c r="R775" s="10"/>
    </row>
    <row r="776" customFormat="false" ht="14.25" hidden="false" customHeight="true" outlineLevel="0" collapsed="false">
      <c r="P776" s="10"/>
      <c r="Q776" s="10"/>
      <c r="R776" s="10"/>
    </row>
    <row r="777" customFormat="false" ht="14.25" hidden="false" customHeight="true" outlineLevel="0" collapsed="false">
      <c r="P777" s="10"/>
      <c r="Q777" s="10"/>
      <c r="R777" s="10"/>
    </row>
    <row r="778" customFormat="false" ht="14.25" hidden="false" customHeight="true" outlineLevel="0" collapsed="false">
      <c r="P778" s="10"/>
      <c r="Q778" s="10"/>
      <c r="R778" s="10"/>
    </row>
    <row r="779" customFormat="false" ht="14.25" hidden="false" customHeight="true" outlineLevel="0" collapsed="false">
      <c r="P779" s="10"/>
      <c r="Q779" s="10"/>
      <c r="R779" s="10"/>
    </row>
    <row r="780" customFormat="false" ht="14.25" hidden="false" customHeight="true" outlineLevel="0" collapsed="false">
      <c r="P780" s="10"/>
      <c r="Q780" s="10"/>
      <c r="R780" s="10"/>
    </row>
    <row r="781" customFormat="false" ht="14.25" hidden="false" customHeight="true" outlineLevel="0" collapsed="false">
      <c r="P781" s="10"/>
      <c r="Q781" s="10"/>
      <c r="R781" s="10"/>
    </row>
    <row r="782" customFormat="false" ht="14.25" hidden="false" customHeight="true" outlineLevel="0" collapsed="false">
      <c r="P782" s="10"/>
      <c r="Q782" s="10"/>
      <c r="R782" s="10"/>
    </row>
    <row r="783" customFormat="false" ht="14.25" hidden="false" customHeight="true" outlineLevel="0" collapsed="false">
      <c r="P783" s="10"/>
      <c r="Q783" s="10"/>
      <c r="R783" s="10"/>
    </row>
    <row r="784" customFormat="false" ht="14.25" hidden="false" customHeight="true" outlineLevel="0" collapsed="false">
      <c r="P784" s="10"/>
      <c r="Q784" s="10"/>
      <c r="R784" s="10"/>
    </row>
    <row r="785" customFormat="false" ht="14.25" hidden="false" customHeight="true" outlineLevel="0" collapsed="false">
      <c r="P785" s="10"/>
      <c r="Q785" s="10"/>
      <c r="R785" s="10"/>
    </row>
    <row r="786" customFormat="false" ht="14.25" hidden="false" customHeight="true" outlineLevel="0" collapsed="false">
      <c r="P786" s="10"/>
      <c r="Q786" s="10"/>
      <c r="R786" s="10"/>
    </row>
    <row r="787" customFormat="false" ht="14.25" hidden="false" customHeight="true" outlineLevel="0" collapsed="false">
      <c r="P787" s="10"/>
      <c r="Q787" s="10"/>
      <c r="R787" s="10"/>
    </row>
    <row r="788" customFormat="false" ht="14.25" hidden="false" customHeight="true" outlineLevel="0" collapsed="false">
      <c r="P788" s="10"/>
      <c r="Q788" s="10"/>
      <c r="R788" s="10"/>
    </row>
    <row r="789" customFormat="false" ht="14.25" hidden="false" customHeight="true" outlineLevel="0" collapsed="false">
      <c r="P789" s="10"/>
      <c r="Q789" s="10"/>
      <c r="R789" s="10"/>
    </row>
    <row r="790" customFormat="false" ht="14.25" hidden="false" customHeight="true" outlineLevel="0" collapsed="false">
      <c r="P790" s="10"/>
      <c r="Q790" s="10"/>
      <c r="R790" s="10"/>
    </row>
    <row r="791" customFormat="false" ht="14.25" hidden="false" customHeight="true" outlineLevel="0" collapsed="false">
      <c r="P791" s="10"/>
      <c r="Q791" s="10"/>
      <c r="R791" s="10"/>
    </row>
    <row r="792" customFormat="false" ht="14.25" hidden="false" customHeight="true" outlineLevel="0" collapsed="false">
      <c r="P792" s="10"/>
      <c r="Q792" s="10"/>
      <c r="R792" s="10"/>
    </row>
    <row r="793" customFormat="false" ht="14.25" hidden="false" customHeight="true" outlineLevel="0" collapsed="false">
      <c r="P793" s="10"/>
      <c r="Q793" s="10"/>
      <c r="R793" s="10"/>
    </row>
    <row r="794" customFormat="false" ht="14.25" hidden="false" customHeight="true" outlineLevel="0" collapsed="false">
      <c r="P794" s="10"/>
      <c r="Q794" s="10"/>
      <c r="R794" s="10"/>
    </row>
    <row r="795" customFormat="false" ht="14.25" hidden="false" customHeight="true" outlineLevel="0" collapsed="false">
      <c r="P795" s="10"/>
      <c r="Q795" s="10"/>
      <c r="R795" s="10"/>
    </row>
    <row r="796" customFormat="false" ht="14.25" hidden="false" customHeight="true" outlineLevel="0" collapsed="false">
      <c r="P796" s="10"/>
      <c r="Q796" s="10"/>
      <c r="R796" s="10"/>
    </row>
    <row r="797" customFormat="false" ht="14.25" hidden="false" customHeight="true" outlineLevel="0" collapsed="false">
      <c r="P797" s="10"/>
      <c r="Q797" s="10"/>
      <c r="R797" s="10"/>
    </row>
    <row r="798" customFormat="false" ht="14.25" hidden="false" customHeight="true" outlineLevel="0" collapsed="false">
      <c r="P798" s="10"/>
      <c r="Q798" s="10"/>
      <c r="R798" s="10"/>
    </row>
    <row r="799" customFormat="false" ht="14.25" hidden="false" customHeight="true" outlineLevel="0" collapsed="false">
      <c r="P799" s="10"/>
      <c r="Q799" s="10"/>
      <c r="R799" s="10"/>
    </row>
    <row r="800" customFormat="false" ht="14.25" hidden="false" customHeight="true" outlineLevel="0" collapsed="false">
      <c r="P800" s="10"/>
      <c r="Q800" s="10"/>
      <c r="R800" s="10"/>
    </row>
    <row r="801" customFormat="false" ht="14.25" hidden="false" customHeight="true" outlineLevel="0" collapsed="false">
      <c r="P801" s="10"/>
      <c r="Q801" s="10"/>
      <c r="R801" s="10"/>
    </row>
    <row r="802" customFormat="false" ht="14.25" hidden="false" customHeight="true" outlineLevel="0" collapsed="false">
      <c r="P802" s="10"/>
      <c r="Q802" s="10"/>
      <c r="R802" s="10"/>
    </row>
    <row r="803" customFormat="false" ht="14.25" hidden="false" customHeight="true" outlineLevel="0" collapsed="false">
      <c r="P803" s="10"/>
      <c r="Q803" s="10"/>
      <c r="R803" s="10"/>
    </row>
    <row r="804" customFormat="false" ht="14.25" hidden="false" customHeight="true" outlineLevel="0" collapsed="false">
      <c r="P804" s="10"/>
      <c r="Q804" s="10"/>
      <c r="R804" s="10"/>
    </row>
    <row r="805" customFormat="false" ht="14.25" hidden="false" customHeight="true" outlineLevel="0" collapsed="false">
      <c r="P805" s="10"/>
      <c r="Q805" s="10"/>
      <c r="R805" s="10"/>
    </row>
    <row r="806" customFormat="false" ht="14.25" hidden="false" customHeight="true" outlineLevel="0" collapsed="false">
      <c r="P806" s="10"/>
      <c r="Q806" s="10"/>
      <c r="R806" s="10"/>
    </row>
    <row r="807" customFormat="false" ht="14.25" hidden="false" customHeight="true" outlineLevel="0" collapsed="false">
      <c r="P807" s="10"/>
      <c r="Q807" s="10"/>
      <c r="R807" s="10"/>
    </row>
    <row r="808" customFormat="false" ht="14.25" hidden="false" customHeight="true" outlineLevel="0" collapsed="false">
      <c r="P808" s="10"/>
      <c r="Q808" s="10"/>
      <c r="R808" s="10"/>
    </row>
    <row r="809" customFormat="false" ht="14.25" hidden="false" customHeight="true" outlineLevel="0" collapsed="false">
      <c r="P809" s="10"/>
      <c r="Q809" s="10"/>
      <c r="R809" s="10"/>
    </row>
    <row r="810" customFormat="false" ht="14.25" hidden="false" customHeight="true" outlineLevel="0" collapsed="false">
      <c r="P810" s="10"/>
      <c r="Q810" s="10"/>
      <c r="R810" s="10"/>
    </row>
    <row r="811" customFormat="false" ht="14.25" hidden="false" customHeight="true" outlineLevel="0" collapsed="false">
      <c r="P811" s="10"/>
      <c r="Q811" s="10"/>
      <c r="R811" s="10"/>
    </row>
    <row r="812" customFormat="false" ht="14.25" hidden="false" customHeight="true" outlineLevel="0" collapsed="false">
      <c r="P812" s="10"/>
      <c r="Q812" s="10"/>
      <c r="R812" s="10"/>
    </row>
    <row r="813" customFormat="false" ht="14.25" hidden="false" customHeight="true" outlineLevel="0" collapsed="false">
      <c r="P813" s="10"/>
      <c r="Q813" s="10"/>
      <c r="R813" s="10"/>
    </row>
    <row r="814" customFormat="false" ht="14.25" hidden="false" customHeight="true" outlineLevel="0" collapsed="false">
      <c r="P814" s="10"/>
      <c r="Q814" s="10"/>
      <c r="R814" s="10"/>
    </row>
    <row r="815" customFormat="false" ht="14.25" hidden="false" customHeight="true" outlineLevel="0" collapsed="false">
      <c r="P815" s="10"/>
      <c r="Q815" s="10"/>
      <c r="R815" s="10"/>
    </row>
    <row r="816" customFormat="false" ht="14.25" hidden="false" customHeight="true" outlineLevel="0" collapsed="false">
      <c r="P816" s="10"/>
      <c r="Q816" s="10"/>
      <c r="R816" s="10"/>
    </row>
    <row r="817" customFormat="false" ht="14.25" hidden="false" customHeight="true" outlineLevel="0" collapsed="false">
      <c r="P817" s="10"/>
      <c r="Q817" s="10"/>
      <c r="R817" s="10"/>
    </row>
    <row r="818" customFormat="false" ht="14.25" hidden="false" customHeight="true" outlineLevel="0" collapsed="false">
      <c r="P818" s="10"/>
      <c r="Q818" s="10"/>
      <c r="R818" s="10"/>
    </row>
    <row r="819" customFormat="false" ht="14.25" hidden="false" customHeight="true" outlineLevel="0" collapsed="false">
      <c r="P819" s="10"/>
      <c r="Q819" s="10"/>
      <c r="R819" s="10"/>
    </row>
    <row r="820" customFormat="false" ht="14.25" hidden="false" customHeight="true" outlineLevel="0" collapsed="false">
      <c r="P820" s="10"/>
      <c r="Q820" s="10"/>
      <c r="R820" s="10"/>
    </row>
    <row r="821" customFormat="false" ht="14.25" hidden="false" customHeight="true" outlineLevel="0" collapsed="false">
      <c r="P821" s="10"/>
      <c r="Q821" s="10"/>
      <c r="R821" s="10"/>
    </row>
    <row r="822" customFormat="false" ht="14.25" hidden="false" customHeight="true" outlineLevel="0" collapsed="false">
      <c r="P822" s="10"/>
      <c r="Q822" s="10"/>
      <c r="R822" s="10"/>
    </row>
    <row r="823" customFormat="false" ht="14.25" hidden="false" customHeight="true" outlineLevel="0" collapsed="false">
      <c r="P823" s="10"/>
      <c r="Q823" s="10"/>
      <c r="R823" s="10"/>
    </row>
    <row r="824" customFormat="false" ht="14.25" hidden="false" customHeight="true" outlineLevel="0" collapsed="false">
      <c r="P824" s="10"/>
      <c r="Q824" s="10"/>
      <c r="R824" s="10"/>
    </row>
    <row r="825" customFormat="false" ht="14.25" hidden="false" customHeight="true" outlineLevel="0" collapsed="false">
      <c r="P825" s="10"/>
      <c r="Q825" s="10"/>
      <c r="R825" s="10"/>
    </row>
    <row r="826" customFormat="false" ht="14.25" hidden="false" customHeight="true" outlineLevel="0" collapsed="false">
      <c r="P826" s="10"/>
      <c r="Q826" s="10"/>
      <c r="R826" s="10"/>
    </row>
    <row r="827" customFormat="false" ht="14.25" hidden="false" customHeight="true" outlineLevel="0" collapsed="false">
      <c r="P827" s="10"/>
      <c r="Q827" s="10"/>
      <c r="R827" s="10"/>
    </row>
    <row r="828" customFormat="false" ht="14.25" hidden="false" customHeight="true" outlineLevel="0" collapsed="false">
      <c r="P828" s="10"/>
      <c r="Q828" s="10"/>
      <c r="R828" s="10"/>
    </row>
    <row r="829" customFormat="false" ht="14.25" hidden="false" customHeight="true" outlineLevel="0" collapsed="false">
      <c r="P829" s="10"/>
      <c r="Q829" s="10"/>
      <c r="R829" s="10"/>
    </row>
    <row r="830" customFormat="false" ht="14.25" hidden="false" customHeight="true" outlineLevel="0" collapsed="false">
      <c r="P830" s="10"/>
      <c r="Q830" s="10"/>
      <c r="R830" s="10"/>
    </row>
    <row r="831" customFormat="false" ht="14.25" hidden="false" customHeight="true" outlineLevel="0" collapsed="false">
      <c r="P831" s="10"/>
      <c r="Q831" s="10"/>
      <c r="R831" s="10"/>
    </row>
    <row r="832" customFormat="false" ht="14.25" hidden="false" customHeight="true" outlineLevel="0" collapsed="false">
      <c r="P832" s="10"/>
      <c r="Q832" s="10"/>
      <c r="R832" s="10"/>
    </row>
    <row r="833" customFormat="false" ht="14.25" hidden="false" customHeight="true" outlineLevel="0" collapsed="false">
      <c r="P833" s="10"/>
      <c r="Q833" s="10"/>
      <c r="R833" s="10"/>
    </row>
    <row r="834" customFormat="false" ht="14.25" hidden="false" customHeight="true" outlineLevel="0" collapsed="false">
      <c r="P834" s="10"/>
      <c r="Q834" s="10"/>
      <c r="R834" s="10"/>
    </row>
    <row r="835" customFormat="false" ht="14.25" hidden="false" customHeight="true" outlineLevel="0" collapsed="false">
      <c r="P835" s="10"/>
      <c r="Q835" s="10"/>
      <c r="R835" s="10"/>
    </row>
    <row r="836" customFormat="false" ht="14.25" hidden="false" customHeight="true" outlineLevel="0" collapsed="false">
      <c r="P836" s="10"/>
      <c r="Q836" s="10"/>
      <c r="R836" s="10"/>
    </row>
    <row r="837" customFormat="false" ht="14.25" hidden="false" customHeight="true" outlineLevel="0" collapsed="false">
      <c r="P837" s="10"/>
      <c r="Q837" s="10"/>
      <c r="R837" s="10"/>
    </row>
    <row r="838" customFormat="false" ht="14.25" hidden="false" customHeight="true" outlineLevel="0" collapsed="false">
      <c r="P838" s="10"/>
      <c r="Q838" s="10"/>
      <c r="R838" s="10"/>
    </row>
    <row r="839" customFormat="false" ht="14.25" hidden="false" customHeight="true" outlineLevel="0" collapsed="false">
      <c r="P839" s="10"/>
      <c r="Q839" s="10"/>
      <c r="R839" s="10"/>
    </row>
    <row r="840" customFormat="false" ht="14.25" hidden="false" customHeight="true" outlineLevel="0" collapsed="false">
      <c r="P840" s="10"/>
      <c r="Q840" s="10"/>
      <c r="R840" s="10"/>
    </row>
    <row r="841" customFormat="false" ht="14.25" hidden="false" customHeight="true" outlineLevel="0" collapsed="false">
      <c r="P841" s="10"/>
      <c r="Q841" s="10"/>
      <c r="R841" s="10"/>
    </row>
    <row r="842" customFormat="false" ht="14.25" hidden="false" customHeight="true" outlineLevel="0" collapsed="false">
      <c r="P842" s="10"/>
      <c r="Q842" s="10"/>
      <c r="R842" s="10"/>
    </row>
  </sheetData>
  <mergeCells count="16">
    <mergeCell ref="I2:R2"/>
    <mergeCell ref="I4:J4"/>
    <mergeCell ref="K4:L4"/>
    <mergeCell ref="H5:H6"/>
    <mergeCell ref="I5:M5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7:A26"/>
    <mergeCell ref="A27:A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2018-05-15T17:14:02Z</dcterms:created>
  <dc:creator>Gana Pradipa</dc:creator>
  <dc:description/>
  <dc:language>en-US</dc:language>
  <cp:lastModifiedBy/>
  <cp:lastPrinted>2026-09-12T09:11:56Z</cp:lastPrinted>
  <dcterms:modified xsi:type="dcterms:W3CDTF">2026-09-14T10:20:03Z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